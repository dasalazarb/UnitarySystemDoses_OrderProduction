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7" codeName="{3D1A710C-6663-3D7B-7F91-EC182F24A4BC}"/>
  <workbookPr filterPrivacy="1" codeName="ThisWorkbook" defaultThemeVersion="124226"/>
  <xr:revisionPtr revIDLastSave="0" documentId="13_ncr:1_{0DBE9B53-99D8-4385-862B-B0BCD1FBD32F}" xr6:coauthVersionLast="36" xr6:coauthVersionMax="36" xr10:uidLastSave="{00000000-0000-0000-0000-000000000000}"/>
  <bookViews>
    <workbookView xWindow="0" yWindow="2340" windowWidth="20460" windowHeight="5565" tabRatio="760" firstSheet="3" activeTab="4" xr2:uid="{00000000-000D-0000-FFFF-FFFF00000000}"/>
  </bookViews>
  <sheets>
    <sheet name="ETIQ (2)" sheetId="50" state="hidden" r:id="rId1"/>
    <sheet name="ETIQ  ONCO" sheetId="51" state="hidden" r:id="rId2"/>
    <sheet name="CAMPAÑA" sheetId="41" state="hidden" r:id="rId3"/>
    <sheet name="ESTANDAR" sheetId="20" r:id="rId4"/>
    <sheet name="FORMATO DIL" sheetId="43" r:id="rId5"/>
    <sheet name="FR PD 001 V1" sheetId="22" r:id="rId6"/>
    <sheet name="FR PD 011 V3" sheetId="39" r:id="rId7"/>
    <sheet name="FR CC 016 V2" sheetId="38" r:id="rId8"/>
    <sheet name="FRPD011 V2" sheetId="37" state="hidden" r:id="rId9"/>
    <sheet name="Hoja3" sheetId="36" state="hidden" r:id="rId10"/>
    <sheet name="FR PD 011" sheetId="34" state="hidden" r:id="rId11"/>
    <sheet name="ETIQ" sheetId="49" r:id="rId12"/>
    <sheet name="ETIQHSJ" sheetId="52" r:id="rId13"/>
    <sheet name="ETIQHSC" sheetId="53" r:id="rId14"/>
    <sheet name="FR CC 010" sheetId="45" state="hidden" r:id="rId15"/>
    <sheet name="FR PD 015" sheetId="46" state="hidden" r:id="rId16"/>
    <sheet name="FR CC 019" sheetId="47" state="hidden" r:id="rId17"/>
    <sheet name="R&amp;T" sheetId="54" r:id="rId18"/>
    <sheet name="FORMATO DIL_MAG" sheetId="55" r:id="rId19"/>
    <sheet name="FR CC 016_MAG" sheetId="56" r:id="rId20"/>
    <sheet name="LOTES" sheetId="42" r:id="rId21"/>
    <sheet name="DATOS ETIQ" sheetId="48" r:id="rId22"/>
    <sheet name="ALMACEN" sheetId="57" r:id="rId23"/>
  </sheets>
  <functionGroups builtInGroupCount="19"/>
  <externalReferences>
    <externalReference r:id="rId24"/>
    <externalReference r:id="rId25"/>
  </externalReferences>
  <definedNames>
    <definedName name="_xlnm._FilterDatabase" localSheetId="3" hidden="1">ESTANDAR!$A$1:$X$120</definedName>
    <definedName name="_xlnm._FilterDatabase" localSheetId="11" hidden="1">ETIQ!$A$1:$E$354</definedName>
    <definedName name="_xlnm._FilterDatabase" localSheetId="13" hidden="1">ETIQHSC!$A$1:$E$355</definedName>
    <definedName name="_xlnm._FilterDatabase" localSheetId="12" hidden="1">ETIQHSJ!$A$4:$E$4</definedName>
    <definedName name="_xlnm._FilterDatabase" localSheetId="7" hidden="1">'FR CC 016 V2'!$A$6:$P$6</definedName>
    <definedName name="_xlnm._FilterDatabase" localSheetId="19" hidden="1">'FR CC 016_MAG'!$A$6:$P$6</definedName>
    <definedName name="_xlnm._FilterDatabase" localSheetId="5" hidden="1">'FR PD 001 V1'!$A$1:$W$76</definedName>
    <definedName name="_xlnm._FilterDatabase" localSheetId="6" hidden="1">'FR PD 011 V3'!$A$8:$J$85</definedName>
    <definedName name="CLIENTES" localSheetId="18">#REF!</definedName>
    <definedName name="CLIENTES" localSheetId="19">#REF!</definedName>
    <definedName name="CLIENTES_MAG">'FORMATO DIL_MAG'!$W$3:$W$75</definedName>
    <definedName name="ENCABEZA_ETQ">ETIQ!$4:$4,ETIQ!$12:$12,ETIQ!$20:$20,ETIQ!$28:$28,ETIQ!$36:$36,ETIQ!$44:$44,ETIQ!$52:$52,ETIQ!$60:$60,ETIQ!$68:$68,ETIQ!$76:$76,ETIQ!$84:$84,ETIQ!$92:$92,ETIQ!$100:$100,ETIQ!$108:$108,ETIQ!$116:$116,ETIQ!$124:$124,ETIQ!$132:$132,ETIQ!$140:$140,ETIQ!$148:$148,ETIQ!$156:$156,ETIQ!$164:$164,ETIQ!$172:$172,ETIQ!$180:$180,ETIQ!$188:$188,ETIQ!$196:$196,ETIQ!$204:$204,ETIQ!$212:$212,ETIQ!$220:$220,ETIQ!$228:$228,ETIQ!$236:$236,ETIQ!$244:$244,ETIQ!$252:$252,ETIQ!$260:$260,ETIQ!$268:$268,ETIQ!$276:$276,ETIQ!$284:$284,ETIQ!$292:$292,ETIQ!$300:$300,ETIQ!$308:$308,ETIQ!$316:$316,ETIQ!$324:$324,ETIQ!$332:$332,ETIQ!$340:$340,ETIQ!$348:$348</definedName>
    <definedName name="MEDICAMENTO" localSheetId="11">'[1]FR PD 001'!#REF!</definedName>
    <definedName name="MEDICAMENTO" localSheetId="1">'[1]FR PD 001'!#REF!</definedName>
    <definedName name="MEDICAMENTO" localSheetId="0">'[1]FR PD 001'!#REF!</definedName>
    <definedName name="MEDICAMENTO" localSheetId="13">'[1]FR PD 001'!#REF!</definedName>
    <definedName name="MEDICAMENTO" localSheetId="12">'[1]FR PD 001'!#REF!</definedName>
    <definedName name="MEDICAMENTO" localSheetId="18">'[1]FR PD 001'!#REF!</definedName>
    <definedName name="MEDICAMENTO" localSheetId="19">'[1]FR PD 001'!#REF!</definedName>
    <definedName name="No_CLIENTES">LOTES!$M$3:$M$80</definedName>
    <definedName name="NPT_LIST">LOTES!$A$22:$A$45</definedName>
    <definedName name="_xlnm.Print_Area" localSheetId="11">ETIQ!$A$4:$E$355</definedName>
    <definedName name="_xlnm.Print_Area" localSheetId="1">'ETIQ  ONCO'!$A$4:$E$1367</definedName>
    <definedName name="_xlnm.Print_Area" localSheetId="0">'ETIQ (2)'!$A$4:$E$663</definedName>
    <definedName name="_xlnm.Print_Area" localSheetId="13">ETIQHSC!$A$4:$E$355</definedName>
    <definedName name="_xlnm.Print_Area" localSheetId="12">ETIQHSJ!$A$4:$E$355</definedName>
    <definedName name="_xlnm.Print_Area" localSheetId="4">'FORMATO DIL'!$A$2:$P$55</definedName>
    <definedName name="_xlnm.Print_Area" localSheetId="18">'FORMATO DIL_MAG'!$A$2:$P$55</definedName>
    <definedName name="_xlnm.Print_Area" localSheetId="7">'FR CC 016 V2'!$A$2:$Q$91</definedName>
    <definedName name="_xlnm.Print_Area" localSheetId="19">'FR CC 016_MAG'!$A$2:$Q$91</definedName>
    <definedName name="_xlnm.Print_Area" localSheetId="5">'FR PD 001 V1'!$A$2:$S$76</definedName>
    <definedName name="_xlnm.Print_Area" localSheetId="6">'FR PD 011 V3'!$A$2:$K$95</definedName>
    <definedName name="_xlnm.Print_Area" localSheetId="8">'FRPD011 V2'!$A$1:$O$82</definedName>
  </definedNames>
  <calcPr calcId="191029"/>
</workbook>
</file>

<file path=xl/calcChain.xml><?xml version="1.0" encoding="utf-8"?>
<calcChain xmlns="http://schemas.openxmlformats.org/spreadsheetml/2006/main">
  <c r="R68" i="22" l="1"/>
  <c r="Q68" i="22"/>
  <c r="N68" i="22" s="1"/>
  <c r="J68" i="22"/>
  <c r="G68" i="22"/>
  <c r="S68" i="22" s="1"/>
  <c r="F68" i="22"/>
  <c r="E68" i="22"/>
  <c r="D68" i="22"/>
  <c r="C68" i="22"/>
  <c r="B68" i="22"/>
  <c r="R67" i="22"/>
  <c r="Q67" i="22"/>
  <c r="N67" i="22" s="1"/>
  <c r="J67" i="22"/>
  <c r="G67" i="22"/>
  <c r="S67" i="22" s="1"/>
  <c r="F67" i="22"/>
  <c r="E67" i="22"/>
  <c r="D67" i="22"/>
  <c r="C67" i="22"/>
  <c r="B67" i="22"/>
  <c r="R66" i="22"/>
  <c r="Q66" i="22"/>
  <c r="N66" i="22" s="1"/>
  <c r="J66" i="22"/>
  <c r="G66" i="22"/>
  <c r="I66" i="22" s="1"/>
  <c r="F66" i="22"/>
  <c r="E66" i="22"/>
  <c r="D66" i="22"/>
  <c r="C66" i="22"/>
  <c r="B66" i="22"/>
  <c r="R65" i="22"/>
  <c r="Q65" i="22"/>
  <c r="N65" i="22"/>
  <c r="J65" i="22"/>
  <c r="G65" i="22"/>
  <c r="L65" i="22" s="1"/>
  <c r="F65" i="22"/>
  <c r="E65" i="22"/>
  <c r="D65" i="22"/>
  <c r="C65" i="22"/>
  <c r="B65" i="22"/>
  <c r="R64" i="22"/>
  <c r="Q64" i="22"/>
  <c r="J64" i="22"/>
  <c r="G64" i="22"/>
  <c r="S64" i="22" s="1"/>
  <c r="F64" i="22"/>
  <c r="E64" i="22"/>
  <c r="D64" i="22"/>
  <c r="C64" i="22"/>
  <c r="B64" i="22"/>
  <c r="R63" i="22"/>
  <c r="Q63" i="22"/>
  <c r="N63" i="22" s="1"/>
  <c r="J63" i="22"/>
  <c r="G63" i="22"/>
  <c r="S63" i="22" s="1"/>
  <c r="F63" i="22"/>
  <c r="E63" i="22"/>
  <c r="D63" i="22"/>
  <c r="C63" i="22"/>
  <c r="B63" i="22"/>
  <c r="R62" i="22"/>
  <c r="Q62" i="22"/>
  <c r="N62" i="22" s="1"/>
  <c r="J62" i="22"/>
  <c r="G62" i="22"/>
  <c r="I62" i="22" s="1"/>
  <c r="F62" i="22"/>
  <c r="E62" i="22"/>
  <c r="D62" i="22"/>
  <c r="C62" i="22"/>
  <c r="B62" i="22"/>
  <c r="R61" i="22"/>
  <c r="Q61" i="22"/>
  <c r="N61" i="22" s="1"/>
  <c r="J61" i="22"/>
  <c r="G61" i="22"/>
  <c r="L61" i="22" s="1"/>
  <c r="F61" i="22"/>
  <c r="E61" i="22"/>
  <c r="D61" i="22"/>
  <c r="C61" i="22"/>
  <c r="B61" i="22"/>
  <c r="R60" i="22"/>
  <c r="Q60" i="22"/>
  <c r="J60" i="22"/>
  <c r="G60" i="22"/>
  <c r="S60" i="22" s="1"/>
  <c r="F60" i="22"/>
  <c r="E60" i="22"/>
  <c r="D60" i="22"/>
  <c r="C60" i="22"/>
  <c r="B60" i="22"/>
  <c r="R59" i="22"/>
  <c r="Q59" i="22"/>
  <c r="N59" i="22" s="1"/>
  <c r="J59" i="22"/>
  <c r="G59" i="22"/>
  <c r="S59" i="22" s="1"/>
  <c r="F59" i="22"/>
  <c r="E59" i="22"/>
  <c r="D59" i="22"/>
  <c r="C59" i="22"/>
  <c r="B59" i="22"/>
  <c r="R58" i="22"/>
  <c r="Q58" i="22"/>
  <c r="N58" i="22" s="1"/>
  <c r="J58" i="22"/>
  <c r="G58" i="22"/>
  <c r="I58" i="22" s="1"/>
  <c r="F58" i="22"/>
  <c r="E58" i="22"/>
  <c r="D58" i="22"/>
  <c r="C58" i="22"/>
  <c r="B58" i="22"/>
  <c r="R57" i="22"/>
  <c r="Q57" i="22"/>
  <c r="N57" i="22"/>
  <c r="J57" i="22"/>
  <c r="G57" i="22"/>
  <c r="L57" i="22" s="1"/>
  <c r="F57" i="22"/>
  <c r="E57" i="22"/>
  <c r="D57" i="22"/>
  <c r="C57" i="22"/>
  <c r="B57" i="22"/>
  <c r="R56" i="22"/>
  <c r="Q56" i="22"/>
  <c r="J56" i="22"/>
  <c r="G56" i="22"/>
  <c r="S56" i="22" s="1"/>
  <c r="F56" i="22"/>
  <c r="E56" i="22"/>
  <c r="D56" i="22"/>
  <c r="C56" i="22"/>
  <c r="B56" i="22"/>
  <c r="R55" i="22"/>
  <c r="Q55" i="22"/>
  <c r="N55" i="22" s="1"/>
  <c r="J55" i="22"/>
  <c r="G55" i="22"/>
  <c r="S55" i="22" s="1"/>
  <c r="F55" i="22"/>
  <c r="E55" i="22"/>
  <c r="D55" i="22"/>
  <c r="C55" i="22"/>
  <c r="B55" i="22"/>
  <c r="R54" i="22"/>
  <c r="Q54" i="22"/>
  <c r="N54" i="22" s="1"/>
  <c r="J54" i="22"/>
  <c r="G54" i="22"/>
  <c r="I54" i="22" s="1"/>
  <c r="F54" i="22"/>
  <c r="E54" i="22"/>
  <c r="D54" i="22"/>
  <c r="C54" i="22"/>
  <c r="B54" i="22"/>
  <c r="R53" i="22"/>
  <c r="Q53" i="22"/>
  <c r="N53" i="22"/>
  <c r="J53" i="22"/>
  <c r="K53" i="22" s="1"/>
  <c r="G53" i="22"/>
  <c r="L53" i="22" s="1"/>
  <c r="F53" i="22"/>
  <c r="E53" i="22"/>
  <c r="D53" i="22"/>
  <c r="C53" i="22"/>
  <c r="B53" i="22"/>
  <c r="R52" i="22"/>
  <c r="Q52" i="22"/>
  <c r="J52" i="22"/>
  <c r="G52" i="22"/>
  <c r="S52" i="22" s="1"/>
  <c r="F52" i="22"/>
  <c r="E52" i="22"/>
  <c r="D52" i="22"/>
  <c r="C52" i="22"/>
  <c r="B52" i="22"/>
  <c r="R51" i="22"/>
  <c r="Q51" i="22"/>
  <c r="N51" i="22" s="1"/>
  <c r="J51" i="22"/>
  <c r="G51" i="22"/>
  <c r="S51" i="22" s="1"/>
  <c r="F51" i="22"/>
  <c r="E51" i="22"/>
  <c r="D51" i="22"/>
  <c r="C51" i="22"/>
  <c r="B51" i="22"/>
  <c r="R50" i="22"/>
  <c r="Q50" i="22"/>
  <c r="N50" i="22" s="1"/>
  <c r="J50" i="22"/>
  <c r="G50" i="22"/>
  <c r="S50" i="22" s="1"/>
  <c r="F50" i="22"/>
  <c r="E50" i="22"/>
  <c r="D50" i="22"/>
  <c r="C50" i="22"/>
  <c r="B50" i="22"/>
  <c r="Q49" i="22"/>
  <c r="N49" i="22" s="1"/>
  <c r="J49" i="22"/>
  <c r="G49" i="22"/>
  <c r="L49" i="22" s="1"/>
  <c r="F49" i="22"/>
  <c r="E49" i="22"/>
  <c r="D49" i="22"/>
  <c r="C49" i="22"/>
  <c r="B49" i="22"/>
  <c r="Q48" i="22"/>
  <c r="J48" i="22"/>
  <c r="I48" i="22"/>
  <c r="G48" i="22"/>
  <c r="S48" i="22" s="1"/>
  <c r="F48" i="22"/>
  <c r="E48" i="22"/>
  <c r="D48" i="22"/>
  <c r="C48" i="22"/>
  <c r="B48" i="22"/>
  <c r="Q47" i="22"/>
  <c r="J47" i="22"/>
  <c r="I47" i="22"/>
  <c r="G47" i="22"/>
  <c r="S47" i="22" s="1"/>
  <c r="F47" i="22"/>
  <c r="E47" i="22"/>
  <c r="D47" i="22"/>
  <c r="C47" i="22"/>
  <c r="B47" i="22"/>
  <c r="Q46" i="22"/>
  <c r="N46" i="22" s="1"/>
  <c r="J46" i="22"/>
  <c r="G46" i="22"/>
  <c r="I46" i="22" s="1"/>
  <c r="F46" i="22"/>
  <c r="E46" i="22"/>
  <c r="D46" i="22"/>
  <c r="C46" i="22"/>
  <c r="B46" i="22"/>
  <c r="Q45" i="22"/>
  <c r="N45" i="22" s="1"/>
  <c r="J45" i="22"/>
  <c r="G45" i="22"/>
  <c r="S45" i="22" s="1"/>
  <c r="F45" i="22"/>
  <c r="E45" i="22"/>
  <c r="D45" i="22"/>
  <c r="C45" i="22"/>
  <c r="B45" i="22"/>
  <c r="Q44" i="22"/>
  <c r="N44" i="22" s="1"/>
  <c r="J44" i="22"/>
  <c r="G44" i="22"/>
  <c r="S44" i="22" s="1"/>
  <c r="F44" i="22"/>
  <c r="E44" i="22"/>
  <c r="D44" i="22"/>
  <c r="C44" i="22"/>
  <c r="B44" i="22"/>
  <c r="Q43" i="22"/>
  <c r="L43" i="22"/>
  <c r="J43" i="22"/>
  <c r="I43" i="22"/>
  <c r="G43" i="22"/>
  <c r="S43" i="22" s="1"/>
  <c r="F43" i="22"/>
  <c r="E43" i="22"/>
  <c r="D43" i="22"/>
  <c r="C43" i="22"/>
  <c r="B43" i="22"/>
  <c r="Q42" i="22"/>
  <c r="N42" i="22" s="1"/>
  <c r="J42" i="22"/>
  <c r="G42" i="22"/>
  <c r="I42" i="22" s="1"/>
  <c r="F42" i="22"/>
  <c r="E42" i="22"/>
  <c r="D42" i="22"/>
  <c r="C42" i="22"/>
  <c r="B42" i="22"/>
  <c r="Q41" i="22"/>
  <c r="N41" i="22"/>
  <c r="J41" i="22"/>
  <c r="G41" i="22"/>
  <c r="S41" i="22" s="1"/>
  <c r="F41" i="22"/>
  <c r="E41" i="22"/>
  <c r="D41" i="22"/>
  <c r="C41" i="22"/>
  <c r="B41" i="22"/>
  <c r="Q40" i="22"/>
  <c r="N40" i="22" s="1"/>
  <c r="J40" i="22"/>
  <c r="G40" i="22"/>
  <c r="F40" i="22"/>
  <c r="E40" i="22"/>
  <c r="D40" i="22"/>
  <c r="C40" i="22"/>
  <c r="B40" i="22"/>
  <c r="Q39" i="22"/>
  <c r="J39" i="22"/>
  <c r="G39" i="22"/>
  <c r="S39" i="22" s="1"/>
  <c r="F39" i="22"/>
  <c r="E39" i="22"/>
  <c r="D39" i="22"/>
  <c r="C39" i="22"/>
  <c r="B39" i="22"/>
  <c r="Q38" i="22"/>
  <c r="N38" i="22" s="1"/>
  <c r="J38" i="22"/>
  <c r="G38" i="22"/>
  <c r="S38" i="22" s="1"/>
  <c r="F38" i="22"/>
  <c r="E38" i="22"/>
  <c r="D38" i="22"/>
  <c r="C38" i="22"/>
  <c r="B38" i="22"/>
  <c r="Q37" i="22"/>
  <c r="N37" i="22" s="1"/>
  <c r="J37" i="22"/>
  <c r="G37" i="22"/>
  <c r="I37" i="22" s="1"/>
  <c r="F37" i="22"/>
  <c r="E37" i="22"/>
  <c r="D37" i="22"/>
  <c r="C37" i="22"/>
  <c r="B37" i="22"/>
  <c r="Q36" i="22"/>
  <c r="N36" i="22" s="1"/>
  <c r="J36" i="22"/>
  <c r="G36" i="22"/>
  <c r="L36" i="22" s="1"/>
  <c r="F36" i="22"/>
  <c r="E36" i="22"/>
  <c r="D36" i="22"/>
  <c r="C36" i="22"/>
  <c r="B36" i="22"/>
  <c r="Q35" i="22"/>
  <c r="N35" i="22" s="1"/>
  <c r="J35" i="22"/>
  <c r="G35" i="22"/>
  <c r="S35" i="22" s="1"/>
  <c r="H35" i="22" s="1"/>
  <c r="F35" i="22"/>
  <c r="E35" i="22"/>
  <c r="D35" i="22"/>
  <c r="C35" i="22"/>
  <c r="B35" i="22"/>
  <c r="Q34" i="22"/>
  <c r="N34" i="22" s="1"/>
  <c r="J34" i="22"/>
  <c r="G34" i="22"/>
  <c r="S34" i="22" s="1"/>
  <c r="F34" i="22"/>
  <c r="E34" i="22"/>
  <c r="D34" i="22"/>
  <c r="C34" i="22"/>
  <c r="B34" i="22"/>
  <c r="Q33" i="22"/>
  <c r="N33" i="22" s="1"/>
  <c r="J33" i="22"/>
  <c r="G33" i="22"/>
  <c r="I33" i="22" s="1"/>
  <c r="F33" i="22"/>
  <c r="E33" i="22"/>
  <c r="D33" i="22"/>
  <c r="C33" i="22"/>
  <c r="B33" i="22"/>
  <c r="Q32" i="22"/>
  <c r="N32" i="22"/>
  <c r="J32" i="22"/>
  <c r="I32" i="22"/>
  <c r="G32" i="22"/>
  <c r="S32" i="22" s="1"/>
  <c r="F32" i="22"/>
  <c r="E32" i="22"/>
  <c r="D32" i="22"/>
  <c r="C32" i="22"/>
  <c r="B32" i="22"/>
  <c r="Q31" i="22"/>
  <c r="N31" i="22" s="1"/>
  <c r="J31" i="22"/>
  <c r="G31" i="22"/>
  <c r="S31" i="22" s="1"/>
  <c r="F31" i="22"/>
  <c r="E31" i="22"/>
  <c r="D31" i="22"/>
  <c r="C31" i="22"/>
  <c r="B31" i="22"/>
  <c r="Q30" i="22"/>
  <c r="N30" i="22" s="1"/>
  <c r="J30" i="22"/>
  <c r="G30" i="22"/>
  <c r="I30" i="22" s="1"/>
  <c r="F30" i="22"/>
  <c r="E30" i="22"/>
  <c r="D30" i="22"/>
  <c r="C30" i="22"/>
  <c r="B30" i="22"/>
  <c r="Q29" i="22"/>
  <c r="N29" i="22" s="1"/>
  <c r="J29" i="22"/>
  <c r="G29" i="22"/>
  <c r="L29" i="22" s="1"/>
  <c r="F29" i="22"/>
  <c r="E29" i="22"/>
  <c r="D29" i="22"/>
  <c r="C29" i="22"/>
  <c r="B29" i="22"/>
  <c r="Q28" i="22"/>
  <c r="N28" i="22" s="1"/>
  <c r="J28" i="22"/>
  <c r="G28" i="22"/>
  <c r="S28" i="22" s="1"/>
  <c r="F28" i="22"/>
  <c r="E28" i="22"/>
  <c r="D28" i="22"/>
  <c r="C28" i="22"/>
  <c r="B28" i="22"/>
  <c r="Q27" i="22"/>
  <c r="N27" i="22" s="1"/>
  <c r="J27" i="22"/>
  <c r="G27" i="22"/>
  <c r="S27" i="22" s="1"/>
  <c r="F27" i="22"/>
  <c r="E27" i="22"/>
  <c r="D27" i="22"/>
  <c r="C27" i="22"/>
  <c r="B27" i="22"/>
  <c r="Q26" i="22"/>
  <c r="N26" i="22" s="1"/>
  <c r="J26" i="22"/>
  <c r="G26" i="22"/>
  <c r="I26" i="22" s="1"/>
  <c r="F26" i="22"/>
  <c r="E26" i="22"/>
  <c r="D26" i="22"/>
  <c r="C26" i="22"/>
  <c r="B26" i="22"/>
  <c r="Q25" i="22"/>
  <c r="N25" i="22" s="1"/>
  <c r="J25" i="22"/>
  <c r="G25" i="22"/>
  <c r="F25" i="22"/>
  <c r="E25" i="22"/>
  <c r="D25" i="22"/>
  <c r="C25" i="22"/>
  <c r="B25" i="22"/>
  <c r="Q24" i="22"/>
  <c r="N24" i="22" s="1"/>
  <c r="J24" i="22"/>
  <c r="I24" i="22"/>
  <c r="G24" i="22"/>
  <c r="S24" i="22" s="1"/>
  <c r="F24" i="22"/>
  <c r="E24" i="22"/>
  <c r="D24" i="22"/>
  <c r="C24" i="22"/>
  <c r="B24" i="22"/>
  <c r="Q23" i="22"/>
  <c r="J23" i="22"/>
  <c r="I23" i="22"/>
  <c r="G23" i="22"/>
  <c r="S23" i="22" s="1"/>
  <c r="F23" i="22"/>
  <c r="E23" i="22"/>
  <c r="D23" i="22"/>
  <c r="C23" i="22"/>
  <c r="B23" i="22"/>
  <c r="Q22" i="22"/>
  <c r="N22" i="22" s="1"/>
  <c r="J22" i="22"/>
  <c r="G22" i="22"/>
  <c r="I22" i="22" s="1"/>
  <c r="F22" i="22"/>
  <c r="E22" i="22"/>
  <c r="D22" i="22"/>
  <c r="C22" i="22"/>
  <c r="B22" i="22"/>
  <c r="Q21" i="22"/>
  <c r="N21" i="22" s="1"/>
  <c r="J21" i="22"/>
  <c r="G21" i="22"/>
  <c r="F21" i="22"/>
  <c r="E21" i="22"/>
  <c r="D21" i="22"/>
  <c r="C21" i="22"/>
  <c r="B21" i="22"/>
  <c r="Q20" i="22"/>
  <c r="J20" i="22"/>
  <c r="G20" i="22"/>
  <c r="I20" i="22" s="1"/>
  <c r="F20" i="22"/>
  <c r="E20" i="22"/>
  <c r="D20" i="22"/>
  <c r="C20" i="22"/>
  <c r="B20" i="22"/>
  <c r="Q19" i="22"/>
  <c r="N19" i="22"/>
  <c r="J19" i="22"/>
  <c r="G19" i="22"/>
  <c r="I19" i="22" s="1"/>
  <c r="F19" i="22"/>
  <c r="E19" i="22"/>
  <c r="D19" i="22"/>
  <c r="C19" i="22"/>
  <c r="B19" i="22"/>
  <c r="Q18" i="22"/>
  <c r="N18" i="22" s="1"/>
  <c r="J18" i="22"/>
  <c r="G18" i="22"/>
  <c r="I18" i="22" s="1"/>
  <c r="F18" i="22"/>
  <c r="E18" i="22"/>
  <c r="D18" i="22"/>
  <c r="C18" i="22"/>
  <c r="B18" i="22"/>
  <c r="Q17" i="22"/>
  <c r="J17" i="22"/>
  <c r="G17" i="22"/>
  <c r="F17" i="22"/>
  <c r="E17" i="22"/>
  <c r="D17" i="22"/>
  <c r="C17" i="22"/>
  <c r="B17" i="22"/>
  <c r="Q16" i="22"/>
  <c r="N16" i="22" s="1"/>
  <c r="J16" i="22"/>
  <c r="G16" i="22"/>
  <c r="L16" i="22" s="1"/>
  <c r="M16" i="22" s="1"/>
  <c r="F16" i="22"/>
  <c r="E16" i="22"/>
  <c r="D16" i="22"/>
  <c r="C16" i="22"/>
  <c r="B16" i="22"/>
  <c r="Q15" i="22"/>
  <c r="J15" i="22"/>
  <c r="I15" i="22"/>
  <c r="G15" i="22"/>
  <c r="L15" i="22" s="1"/>
  <c r="M15" i="22" s="1"/>
  <c r="F15" i="22"/>
  <c r="E15" i="22"/>
  <c r="D15" i="22"/>
  <c r="C15" i="22"/>
  <c r="B15" i="22"/>
  <c r="Q14" i="22"/>
  <c r="N14" i="22" s="1"/>
  <c r="J14" i="22"/>
  <c r="G14" i="22"/>
  <c r="I14" i="22" s="1"/>
  <c r="F14" i="22"/>
  <c r="E14" i="22"/>
  <c r="D14" i="22"/>
  <c r="C14" i="22"/>
  <c r="B14" i="22"/>
  <c r="Q13" i="22"/>
  <c r="N13" i="22"/>
  <c r="J13" i="22"/>
  <c r="G13" i="22"/>
  <c r="F13" i="22"/>
  <c r="E13" i="22"/>
  <c r="D13" i="22"/>
  <c r="C13" i="22"/>
  <c r="B13" i="22"/>
  <c r="Q12" i="22"/>
  <c r="K12" i="22" s="1"/>
  <c r="J12" i="22"/>
  <c r="M12" i="22" s="1"/>
  <c r="I12" i="22"/>
  <c r="G12" i="22"/>
  <c r="L12" i="22" s="1"/>
  <c r="F12" i="22"/>
  <c r="E12" i="22"/>
  <c r="D12" i="22"/>
  <c r="C12" i="22"/>
  <c r="B12" i="22"/>
  <c r="Q11" i="22"/>
  <c r="K11" i="22" s="1"/>
  <c r="J11" i="22"/>
  <c r="G11" i="22"/>
  <c r="L11" i="22" s="1"/>
  <c r="M11" i="22" s="1"/>
  <c r="F11" i="22"/>
  <c r="E11" i="22"/>
  <c r="D11" i="22"/>
  <c r="C11" i="22"/>
  <c r="B11" i="22"/>
  <c r="Q10" i="22"/>
  <c r="N10" i="22" s="1"/>
  <c r="J10" i="22"/>
  <c r="G10" i="22"/>
  <c r="I10" i="22" s="1"/>
  <c r="F10" i="22"/>
  <c r="E10" i="22"/>
  <c r="D10" i="22"/>
  <c r="C10" i="22"/>
  <c r="B10" i="22"/>
  <c r="Q9" i="22"/>
  <c r="N9" i="22" s="1"/>
  <c r="J9" i="22"/>
  <c r="K9" i="22" s="1"/>
  <c r="G9" i="22"/>
  <c r="F9" i="22"/>
  <c r="E9" i="22"/>
  <c r="D9" i="22"/>
  <c r="C9" i="22"/>
  <c r="B9" i="22"/>
  <c r="Q8" i="22"/>
  <c r="N8" i="22" s="1"/>
  <c r="J8" i="22"/>
  <c r="G8" i="22"/>
  <c r="I8" i="22" s="1"/>
  <c r="F8" i="22"/>
  <c r="E8" i="22"/>
  <c r="D8" i="22"/>
  <c r="C8" i="22"/>
  <c r="B8" i="22"/>
  <c r="Q7" i="22"/>
  <c r="J7" i="22"/>
  <c r="G7" i="22"/>
  <c r="L7" i="22" s="1"/>
  <c r="M7" i="22" s="1"/>
  <c r="F7" i="22"/>
  <c r="E7" i="22"/>
  <c r="D7" i="22"/>
  <c r="C7" i="22"/>
  <c r="B7" i="22"/>
  <c r="Q6" i="22"/>
  <c r="N6" i="22" s="1"/>
  <c r="J6" i="22"/>
  <c r="G6" i="22"/>
  <c r="I6" i="22" s="1"/>
  <c r="F6" i="22"/>
  <c r="E6" i="22"/>
  <c r="D6" i="22"/>
  <c r="C6" i="22"/>
  <c r="B6" i="22"/>
  <c r="L31" i="22" l="1"/>
  <c r="M31" i="22" s="1"/>
  <c r="L39" i="22"/>
  <c r="K65" i="22"/>
  <c r="I16" i="22"/>
  <c r="I27" i="22"/>
  <c r="I34" i="22"/>
  <c r="I7" i="22"/>
  <c r="K15" i="22"/>
  <c r="M27" i="22"/>
  <c r="K61" i="22"/>
  <c r="K7" i="22"/>
  <c r="K17" i="22"/>
  <c r="L27" i="22"/>
  <c r="I28" i="22"/>
  <c r="I35" i="22"/>
  <c r="I68" i="22"/>
  <c r="I11" i="22"/>
  <c r="K20" i="22"/>
  <c r="I31" i="22"/>
  <c r="I39" i="22"/>
  <c r="K57" i="22"/>
  <c r="L22" i="22"/>
  <c r="M22" i="22" s="1"/>
  <c r="M39" i="22"/>
  <c r="N17" i="22"/>
  <c r="L23" i="22"/>
  <c r="M23" i="22" s="1"/>
  <c r="L26" i="22"/>
  <c r="M26" i="22" s="1"/>
  <c r="K28" i="22"/>
  <c r="K34" i="22"/>
  <c r="L35" i="22"/>
  <c r="M35" i="22" s="1"/>
  <c r="K36" i="22"/>
  <c r="L38" i="22"/>
  <c r="M38" i="22" s="1"/>
  <c r="K39" i="22"/>
  <c r="K42" i="22"/>
  <c r="I44" i="22"/>
  <c r="L47" i="22"/>
  <c r="M47" i="22" s="1"/>
  <c r="N7" i="22"/>
  <c r="K8" i="22"/>
  <c r="N11" i="22"/>
  <c r="N12" i="22"/>
  <c r="N15" i="22"/>
  <c r="L19" i="22"/>
  <c r="M19" i="22" s="1"/>
  <c r="N20" i="22"/>
  <c r="K46" i="22"/>
  <c r="L51" i="22"/>
  <c r="M51" i="22" s="1"/>
  <c r="L55" i="22"/>
  <c r="M55" i="22" s="1"/>
  <c r="K56" i="22"/>
  <c r="L59" i="22"/>
  <c r="M59" i="22" s="1"/>
  <c r="K60" i="22"/>
  <c r="L63" i="22"/>
  <c r="M63" i="22" s="1"/>
  <c r="K64" i="22"/>
  <c r="L67" i="22"/>
  <c r="M67" i="22" s="1"/>
  <c r="K68" i="22"/>
  <c r="K19" i="22"/>
  <c r="L30" i="22"/>
  <c r="M30" i="22" s="1"/>
  <c r="K32" i="22"/>
  <c r="I36" i="22"/>
  <c r="S36" i="22"/>
  <c r="H36" i="22" s="1"/>
  <c r="S37" i="22"/>
  <c r="K40" i="22"/>
  <c r="M43" i="22"/>
  <c r="I51" i="22"/>
  <c r="I52" i="22"/>
  <c r="I55" i="22"/>
  <c r="I56" i="22"/>
  <c r="I59" i="22"/>
  <c r="I60" i="22"/>
  <c r="I63" i="22"/>
  <c r="I64" i="22"/>
  <c r="I67" i="22"/>
  <c r="S11" i="22"/>
  <c r="I13" i="22"/>
  <c r="L13" i="22"/>
  <c r="M13" i="22" s="1"/>
  <c r="S13" i="22" s="1"/>
  <c r="L18" i="22"/>
  <c r="M18" i="22" s="1"/>
  <c r="L21" i="22"/>
  <c r="M21" i="22" s="1"/>
  <c r="I21" i="22"/>
  <c r="K6" i="22"/>
  <c r="K14" i="22"/>
  <c r="S18" i="22"/>
  <c r="H23" i="22"/>
  <c r="H24" i="22"/>
  <c r="K24" i="22"/>
  <c r="L25" i="22"/>
  <c r="S25" i="22"/>
  <c r="K25" i="22"/>
  <c r="I25" i="22"/>
  <c r="H27" i="22"/>
  <c r="H28" i="22"/>
  <c r="M29" i="22"/>
  <c r="H41" i="22"/>
  <c r="H50" i="22"/>
  <c r="S7" i="22"/>
  <c r="I9" i="22"/>
  <c r="L9" i="22"/>
  <c r="M9" i="22" s="1"/>
  <c r="S9" i="22" s="1"/>
  <c r="K13" i="22"/>
  <c r="L14" i="22"/>
  <c r="M14" i="22" s="1"/>
  <c r="S15" i="22"/>
  <c r="K16" i="22"/>
  <c r="L17" i="22"/>
  <c r="M17" i="22" s="1"/>
  <c r="S17" i="22" s="1"/>
  <c r="I17" i="22"/>
  <c r="K21" i="22"/>
  <c r="S21" i="22"/>
  <c r="N23" i="22"/>
  <c r="K23" i="22"/>
  <c r="M25" i="22"/>
  <c r="H45" i="22"/>
  <c r="L6" i="22"/>
  <c r="M6" i="22" s="1"/>
  <c r="S6" i="22"/>
  <c r="K10" i="22"/>
  <c r="S14" i="22"/>
  <c r="K18" i="22"/>
  <c r="H38" i="22"/>
  <c r="L10" i="22"/>
  <c r="M10" i="22" s="1"/>
  <c r="S10" i="22" s="1"/>
  <c r="S19" i="22"/>
  <c r="H31" i="22"/>
  <c r="H32" i="22"/>
  <c r="S12" i="22"/>
  <c r="S16" i="22"/>
  <c r="L8" i="22"/>
  <c r="M8" i="22" s="1"/>
  <c r="S8" i="22" s="1"/>
  <c r="L20" i="22"/>
  <c r="M20" i="22" s="1"/>
  <c r="S20" i="22" s="1"/>
  <c r="L24" i="22"/>
  <c r="M24" i="22" s="1"/>
  <c r="K27" i="22"/>
  <c r="L28" i="22"/>
  <c r="M28" i="22" s="1"/>
  <c r="I29" i="22"/>
  <c r="K31" i="22"/>
  <c r="L32" i="22"/>
  <c r="M32" i="22" s="1"/>
  <c r="S33" i="22"/>
  <c r="H34" i="22"/>
  <c r="L34" i="22"/>
  <c r="M34" i="22" s="1"/>
  <c r="K35" i="22"/>
  <c r="M36" i="22"/>
  <c r="L37" i="22"/>
  <c r="N39" i="22"/>
  <c r="H44" i="22"/>
  <c r="H48" i="22"/>
  <c r="K48" i="22"/>
  <c r="N48" i="22"/>
  <c r="K49" i="22"/>
  <c r="M49" i="22"/>
  <c r="K50" i="22"/>
  <c r="H51" i="22"/>
  <c r="K22" i="22"/>
  <c r="S22" i="22"/>
  <c r="K26" i="22"/>
  <c r="S26" i="22"/>
  <c r="K30" i="22"/>
  <c r="S30" i="22"/>
  <c r="K33" i="22"/>
  <c r="H37" i="22"/>
  <c r="K38" i="22"/>
  <c r="L41" i="22"/>
  <c r="M41" i="22" s="1"/>
  <c r="I41" i="22"/>
  <c r="N43" i="22"/>
  <c r="K43" i="22"/>
  <c r="K44" i="22"/>
  <c r="L45" i="22"/>
  <c r="M45" i="22" s="1"/>
  <c r="I45" i="22"/>
  <c r="N47" i="22"/>
  <c r="K47" i="22"/>
  <c r="H52" i="22"/>
  <c r="K52" i="22"/>
  <c r="N52" i="22"/>
  <c r="K29" i="22"/>
  <c r="S29" i="22"/>
  <c r="L33" i="22"/>
  <c r="M33" i="22" s="1"/>
  <c r="M37" i="22"/>
  <c r="S40" i="22"/>
  <c r="L40" i="22"/>
  <c r="M40" i="22" s="1"/>
  <c r="I50" i="22"/>
  <c r="L50" i="22"/>
  <c r="M50" i="22" s="1"/>
  <c r="H55" i="22"/>
  <c r="H56" i="22"/>
  <c r="H59" i="22"/>
  <c r="H60" i="22"/>
  <c r="H63" i="22"/>
  <c r="H64" i="22"/>
  <c r="H67" i="22"/>
  <c r="H68" i="22"/>
  <c r="K37" i="22"/>
  <c r="I38" i="22"/>
  <c r="H39" i="22"/>
  <c r="I40" i="22"/>
  <c r="K41" i="22"/>
  <c r="L42" i="22"/>
  <c r="M42" i="22" s="1"/>
  <c r="S42" i="22"/>
  <c r="H43" i="22"/>
  <c r="K45" i="22"/>
  <c r="L46" i="22"/>
  <c r="M46" i="22" s="1"/>
  <c r="S46" i="22"/>
  <c r="H47" i="22"/>
  <c r="L44" i="22"/>
  <c r="M44" i="22" s="1"/>
  <c r="L48" i="22"/>
  <c r="M48" i="22" s="1"/>
  <c r="I49" i="22"/>
  <c r="K51" i="22"/>
  <c r="L52" i="22"/>
  <c r="M52" i="22" s="1"/>
  <c r="I53" i="22"/>
  <c r="M53" i="22"/>
  <c r="K55" i="22"/>
  <c r="L56" i="22"/>
  <c r="M56" i="22" s="1"/>
  <c r="I57" i="22"/>
  <c r="M57" i="22"/>
  <c r="K59" i="22"/>
  <c r="L60" i="22"/>
  <c r="M60" i="22" s="1"/>
  <c r="I61" i="22"/>
  <c r="M61" i="22"/>
  <c r="K63" i="22"/>
  <c r="L64" i="22"/>
  <c r="M64" i="22" s="1"/>
  <c r="I65" i="22"/>
  <c r="M65" i="22"/>
  <c r="K67" i="22"/>
  <c r="L68" i="22"/>
  <c r="M68" i="22" s="1"/>
  <c r="K54" i="22"/>
  <c r="S54" i="22"/>
  <c r="K58" i="22"/>
  <c r="S58" i="22"/>
  <c r="K62" i="22"/>
  <c r="S62" i="22"/>
  <c r="K66" i="22"/>
  <c r="S66" i="22"/>
  <c r="S49" i="22"/>
  <c r="S53" i="22"/>
  <c r="L54" i="22"/>
  <c r="M54" i="22" s="1"/>
  <c r="N56" i="22"/>
  <c r="S57" i="22"/>
  <c r="L58" i="22"/>
  <c r="M58" i="22" s="1"/>
  <c r="N60" i="22"/>
  <c r="S61" i="22"/>
  <c r="L62" i="22"/>
  <c r="M62" i="22" s="1"/>
  <c r="N64" i="22"/>
  <c r="S65" i="22"/>
  <c r="L66" i="22"/>
  <c r="M66" i="22" s="1"/>
  <c r="T65" i="42"/>
  <c r="H8" i="22" l="1"/>
  <c r="H10" i="22"/>
  <c r="H9" i="22"/>
  <c r="H13" i="22"/>
  <c r="H17" i="22"/>
  <c r="H20" i="22"/>
  <c r="H58" i="22"/>
  <c r="H29" i="22"/>
  <c r="H53" i="22"/>
  <c r="H62" i="22"/>
  <c r="H54" i="22"/>
  <c r="H46" i="22"/>
  <c r="H42" i="22"/>
  <c r="H40" i="22"/>
  <c r="H16" i="22"/>
  <c r="H7" i="22"/>
  <c r="H25" i="22"/>
  <c r="H57" i="22"/>
  <c r="H30" i="22"/>
  <c r="H22" i="22"/>
  <c r="H12" i="22"/>
  <c r="H19" i="22"/>
  <c r="H11" i="22"/>
  <c r="H49" i="22"/>
  <c r="H66" i="22"/>
  <c r="H33" i="22"/>
  <c r="H21" i="22"/>
  <c r="H18" i="22"/>
  <c r="H61" i="22"/>
  <c r="H65" i="22"/>
  <c r="H26" i="22"/>
  <c r="H14" i="22"/>
  <c r="H6" i="22"/>
  <c r="H15" i="22"/>
  <c r="B5" i="43"/>
  <c r="C6" i="43"/>
  <c r="Q9" i="43" l="1"/>
  <c r="T2" i="54"/>
  <c r="T3" i="54"/>
  <c r="T4" i="54"/>
  <c r="T5" i="54"/>
  <c r="T6" i="54"/>
  <c r="T7" i="54"/>
  <c r="T8" i="54"/>
  <c r="T9" i="54"/>
  <c r="T10" i="54"/>
  <c r="T11" i="54"/>
  <c r="T12" i="54"/>
  <c r="T13" i="54"/>
  <c r="T14" i="54"/>
  <c r="T15" i="54"/>
  <c r="T16" i="54"/>
  <c r="T17" i="54"/>
  <c r="T18" i="54"/>
  <c r="T19" i="54"/>
  <c r="T20" i="54"/>
  <c r="T21" i="54"/>
  <c r="T22" i="54"/>
  <c r="T23" i="54"/>
  <c r="T24" i="54"/>
  <c r="T25" i="54"/>
  <c r="T26" i="54"/>
  <c r="T27" i="54"/>
  <c r="T28" i="54"/>
  <c r="T29" i="54"/>
  <c r="T30" i="54"/>
  <c r="T31" i="54"/>
  <c r="T32" i="54"/>
  <c r="T33" i="54"/>
  <c r="T34" i="54"/>
  <c r="T35" i="54"/>
  <c r="T36" i="54"/>
  <c r="T37" i="54"/>
  <c r="T38" i="54"/>
  <c r="T39" i="54"/>
  <c r="T40" i="54"/>
  <c r="T41" i="54"/>
  <c r="T42" i="54"/>
  <c r="T43" i="54"/>
  <c r="T44" i="54"/>
  <c r="T45" i="54"/>
  <c r="T46" i="54"/>
  <c r="T47" i="54"/>
  <c r="T48" i="54"/>
  <c r="T49" i="54"/>
  <c r="T50" i="54"/>
  <c r="T51" i="54"/>
  <c r="T52" i="54"/>
  <c r="T53" i="54"/>
  <c r="T54" i="54"/>
  <c r="T55" i="54"/>
  <c r="T56" i="54"/>
  <c r="T57" i="54"/>
  <c r="T58" i="54"/>
  <c r="T59" i="54"/>
  <c r="T60" i="54"/>
  <c r="T61" i="54"/>
  <c r="T62" i="54"/>
  <c r="T63" i="54"/>
  <c r="T64" i="54"/>
  <c r="T65" i="54"/>
  <c r="T66" i="54"/>
  <c r="T67" i="54"/>
  <c r="T68" i="54"/>
  <c r="T69" i="54"/>
  <c r="T70" i="54"/>
  <c r="T71" i="54"/>
  <c r="T72" i="54"/>
  <c r="T73" i="54"/>
  <c r="T74" i="54"/>
  <c r="T75" i="54"/>
  <c r="T76" i="54"/>
  <c r="T77" i="54"/>
  <c r="T78" i="54"/>
  <c r="T79" i="54"/>
  <c r="T80" i="54"/>
  <c r="T81" i="54"/>
  <c r="T82" i="54"/>
  <c r="T83" i="54"/>
  <c r="T84" i="54"/>
  <c r="T85" i="54"/>
  <c r="T86" i="54"/>
  <c r="T87" i="54"/>
  <c r="T88" i="54"/>
  <c r="T89" i="54"/>
  <c r="T90" i="54"/>
  <c r="T91" i="54"/>
  <c r="T92" i="54"/>
  <c r="T93" i="54"/>
  <c r="T94" i="54"/>
  <c r="T95" i="54"/>
  <c r="T96" i="54"/>
  <c r="T97" i="54"/>
  <c r="T98" i="54"/>
  <c r="T99" i="54"/>
  <c r="T100" i="54"/>
  <c r="T101" i="54"/>
  <c r="T102" i="54"/>
  <c r="T103" i="54"/>
  <c r="T104" i="54"/>
  <c r="T105" i="54"/>
  <c r="T106" i="54"/>
  <c r="T107" i="54"/>
  <c r="T108" i="54"/>
  <c r="T109" i="54"/>
  <c r="T110" i="54"/>
  <c r="T111" i="54"/>
  <c r="T112" i="54"/>
  <c r="T113" i="54"/>
  <c r="T114" i="54"/>
  <c r="T115" i="54"/>
  <c r="T116" i="54"/>
  <c r="T117" i="54"/>
  <c r="T118" i="54"/>
  <c r="T119" i="54"/>
  <c r="T120" i="54"/>
  <c r="T121" i="54"/>
  <c r="G11" i="43" l="1"/>
  <c r="T63" i="42" l="1"/>
  <c r="T62" i="42"/>
  <c r="T61" i="42"/>
  <c r="T74" i="42" l="1"/>
  <c r="T73" i="42"/>
  <c r="T70" i="42"/>
  <c r="T67" i="42"/>
  <c r="M63" i="42"/>
  <c r="M62" i="42"/>
  <c r="M61" i="42"/>
  <c r="W65" i="42" l="1"/>
  <c r="W63" i="42" l="1"/>
  <c r="W62" i="42"/>
  <c r="W61" i="42"/>
  <c r="U63" i="42"/>
  <c r="U62" i="42"/>
  <c r="U61" i="42"/>
  <c r="U65" i="42"/>
  <c r="U73" i="42"/>
  <c r="U67" i="42"/>
  <c r="U70" i="42"/>
  <c r="U74" i="42"/>
  <c r="AC9" i="22"/>
  <c r="B3" i="43" l="1"/>
  <c r="B3" i="55" l="1"/>
  <c r="N4" i="56"/>
  <c r="AQ7" i="55" l="1"/>
  <c r="AP7" i="55" l="1"/>
  <c r="AN7" i="55"/>
  <c r="AM7" i="55"/>
  <c r="AL7" i="55"/>
  <c r="AJ4" i="55"/>
  <c r="K8" i="56"/>
  <c r="K9" i="56"/>
  <c r="K10" i="56"/>
  <c r="K11" i="56"/>
  <c r="K12" i="56"/>
  <c r="K13" i="56"/>
  <c r="K14" i="56"/>
  <c r="K15" i="56"/>
  <c r="K16" i="56"/>
  <c r="K17" i="56"/>
  <c r="K18" i="56"/>
  <c r="K19" i="56"/>
  <c r="K20" i="56"/>
  <c r="K21" i="56"/>
  <c r="K22" i="56"/>
  <c r="K23" i="56"/>
  <c r="K24" i="56"/>
  <c r="K25" i="56"/>
  <c r="K26" i="56"/>
  <c r="K27" i="56"/>
  <c r="K28" i="56"/>
  <c r="K29" i="56"/>
  <c r="K30" i="56"/>
  <c r="K31" i="56"/>
  <c r="K32" i="56"/>
  <c r="K33" i="56"/>
  <c r="K34" i="56"/>
  <c r="K35" i="56"/>
  <c r="K36" i="56"/>
  <c r="K37" i="56"/>
  <c r="K38" i="56"/>
  <c r="K39" i="56"/>
  <c r="K40" i="56"/>
  <c r="K41" i="56"/>
  <c r="K42" i="56"/>
  <c r="K43" i="56"/>
  <c r="K44" i="56"/>
  <c r="K45" i="56"/>
  <c r="K46" i="56"/>
  <c r="K47" i="56"/>
  <c r="K48" i="56"/>
  <c r="K49" i="56"/>
  <c r="K50" i="56"/>
  <c r="K51" i="56"/>
  <c r="K52" i="56"/>
  <c r="K53" i="56"/>
  <c r="K54" i="56"/>
  <c r="K55" i="56"/>
  <c r="K56" i="56"/>
  <c r="K57" i="56"/>
  <c r="K58" i="56"/>
  <c r="K59" i="56"/>
  <c r="K60" i="56"/>
  <c r="K61" i="56"/>
  <c r="K62" i="56"/>
  <c r="K63" i="56"/>
  <c r="K64" i="56"/>
  <c r="K65" i="56"/>
  <c r="K66" i="56"/>
  <c r="K67" i="56"/>
  <c r="K68" i="56"/>
  <c r="K69" i="56"/>
  <c r="K70" i="56"/>
  <c r="L19" i="56"/>
  <c r="L20" i="56"/>
  <c r="L21" i="56"/>
  <c r="L22" i="56"/>
  <c r="L23" i="56"/>
  <c r="L24" i="56"/>
  <c r="L25" i="56"/>
  <c r="L26" i="56"/>
  <c r="L27" i="56"/>
  <c r="L28" i="56"/>
  <c r="L29" i="56"/>
  <c r="L30" i="56"/>
  <c r="L31" i="56"/>
  <c r="L32" i="56"/>
  <c r="L33" i="56"/>
  <c r="L34" i="56"/>
  <c r="L35" i="56"/>
  <c r="L36" i="56"/>
  <c r="L37" i="56"/>
  <c r="L38" i="56"/>
  <c r="L39" i="56"/>
  <c r="L40" i="56"/>
  <c r="L41" i="56"/>
  <c r="L42" i="56"/>
  <c r="L43" i="56"/>
  <c r="L44" i="56"/>
  <c r="L45" i="56"/>
  <c r="L46" i="56"/>
  <c r="L47" i="56"/>
  <c r="L48" i="56"/>
  <c r="L49" i="56"/>
  <c r="L50" i="56"/>
  <c r="L51" i="56"/>
  <c r="L52" i="56"/>
  <c r="L53" i="56"/>
  <c r="L54" i="56"/>
  <c r="L55" i="56"/>
  <c r="L56" i="56"/>
  <c r="L57" i="56"/>
  <c r="L58" i="56"/>
  <c r="L59" i="56"/>
  <c r="L60" i="56"/>
  <c r="L61" i="56"/>
  <c r="L62" i="56"/>
  <c r="L63" i="56"/>
  <c r="L64" i="56"/>
  <c r="L65" i="56"/>
  <c r="L66" i="56"/>
  <c r="L67" i="56"/>
  <c r="L68" i="56"/>
  <c r="L69" i="56"/>
  <c r="L70" i="56"/>
  <c r="K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36" i="56"/>
  <c r="J37" i="56"/>
  <c r="J38" i="56"/>
  <c r="J39" i="56"/>
  <c r="J40" i="56"/>
  <c r="J41" i="56"/>
  <c r="J42" i="56"/>
  <c r="J43" i="56"/>
  <c r="J44" i="56"/>
  <c r="J45" i="56"/>
  <c r="J46" i="56"/>
  <c r="J47" i="56"/>
  <c r="J48" i="56"/>
  <c r="J49" i="56"/>
  <c r="J50" i="56"/>
  <c r="J51" i="56"/>
  <c r="J52" i="56"/>
  <c r="J53" i="56"/>
  <c r="J54" i="56"/>
  <c r="J55" i="56"/>
  <c r="J56" i="56"/>
  <c r="J57" i="56"/>
  <c r="J58" i="56"/>
  <c r="J59" i="56"/>
  <c r="J60" i="56"/>
  <c r="J61" i="56"/>
  <c r="J62" i="56"/>
  <c r="J63" i="56"/>
  <c r="J64" i="56"/>
  <c r="J65" i="56"/>
  <c r="J66" i="56"/>
  <c r="J67" i="56"/>
  <c r="J68" i="56"/>
  <c r="J69" i="56"/>
  <c r="J70" i="56"/>
  <c r="J7" i="56"/>
  <c r="H8" i="56"/>
  <c r="H9" i="56"/>
  <c r="H10" i="56"/>
  <c r="H11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6" i="56"/>
  <c r="H37" i="56"/>
  <c r="H38" i="56"/>
  <c r="H39" i="56"/>
  <c r="H40" i="56"/>
  <c r="H41" i="56"/>
  <c r="H42" i="56"/>
  <c r="H43" i="56"/>
  <c r="H44" i="56"/>
  <c r="H45" i="56"/>
  <c r="H46" i="56"/>
  <c r="H47" i="56"/>
  <c r="H48" i="56"/>
  <c r="H49" i="56"/>
  <c r="H50" i="56"/>
  <c r="H51" i="56"/>
  <c r="H52" i="56"/>
  <c r="H53" i="56"/>
  <c r="H54" i="56"/>
  <c r="H55" i="56"/>
  <c r="H56" i="56"/>
  <c r="H57" i="56"/>
  <c r="H58" i="56"/>
  <c r="H59" i="56"/>
  <c r="H60" i="56"/>
  <c r="H61" i="56"/>
  <c r="H62" i="56"/>
  <c r="H63" i="56"/>
  <c r="H64" i="56"/>
  <c r="H65" i="56"/>
  <c r="H66" i="56"/>
  <c r="H67" i="56"/>
  <c r="H68" i="56"/>
  <c r="H69" i="56"/>
  <c r="H70" i="56"/>
  <c r="H7" i="56"/>
  <c r="F70" i="56"/>
  <c r="E70" i="56"/>
  <c r="D70" i="56"/>
  <c r="F69" i="56"/>
  <c r="E69" i="56"/>
  <c r="D69" i="56"/>
  <c r="F68" i="56"/>
  <c r="E68" i="56"/>
  <c r="D68" i="56"/>
  <c r="F67" i="56"/>
  <c r="E67" i="56"/>
  <c r="D67" i="56"/>
  <c r="F66" i="56"/>
  <c r="E66" i="56"/>
  <c r="D66" i="56"/>
  <c r="F65" i="56"/>
  <c r="E65" i="56"/>
  <c r="D65" i="56"/>
  <c r="F64" i="56"/>
  <c r="E64" i="56"/>
  <c r="D64" i="56"/>
  <c r="F63" i="56"/>
  <c r="E63" i="56"/>
  <c r="D63" i="56"/>
  <c r="F62" i="56"/>
  <c r="E62" i="56"/>
  <c r="D62" i="56"/>
  <c r="F61" i="56"/>
  <c r="E61" i="56"/>
  <c r="D61" i="56"/>
  <c r="F60" i="56"/>
  <c r="E60" i="56"/>
  <c r="D60" i="56"/>
  <c r="F59" i="56"/>
  <c r="E59" i="56"/>
  <c r="D59" i="56"/>
  <c r="F58" i="56"/>
  <c r="E58" i="56"/>
  <c r="D58" i="56"/>
  <c r="F57" i="56"/>
  <c r="E57" i="56"/>
  <c r="D57" i="56"/>
  <c r="F56" i="56"/>
  <c r="E56" i="56"/>
  <c r="D56" i="56"/>
  <c r="F55" i="56"/>
  <c r="E55" i="56"/>
  <c r="D55" i="56"/>
  <c r="F54" i="56"/>
  <c r="E54" i="56"/>
  <c r="D54" i="56"/>
  <c r="F53" i="56"/>
  <c r="E53" i="56"/>
  <c r="D53" i="56"/>
  <c r="F52" i="56"/>
  <c r="E52" i="56"/>
  <c r="D52" i="56"/>
  <c r="F51" i="56"/>
  <c r="E51" i="56"/>
  <c r="D51" i="56"/>
  <c r="F50" i="56"/>
  <c r="E50" i="56"/>
  <c r="D50" i="56"/>
  <c r="F49" i="56"/>
  <c r="E49" i="56"/>
  <c r="D49" i="56"/>
  <c r="F48" i="56"/>
  <c r="E48" i="56"/>
  <c r="D48" i="56"/>
  <c r="F47" i="56"/>
  <c r="E47" i="56"/>
  <c r="D47" i="56"/>
  <c r="F46" i="56"/>
  <c r="E46" i="56"/>
  <c r="D46" i="56"/>
  <c r="F45" i="56"/>
  <c r="E45" i="56"/>
  <c r="D45" i="56"/>
  <c r="F44" i="56"/>
  <c r="E44" i="56"/>
  <c r="D44" i="56"/>
  <c r="F43" i="56"/>
  <c r="E43" i="56"/>
  <c r="D43" i="56"/>
  <c r="F42" i="56"/>
  <c r="E42" i="56"/>
  <c r="D42" i="56"/>
  <c r="F41" i="56"/>
  <c r="E41" i="56"/>
  <c r="D41" i="56"/>
  <c r="F40" i="56"/>
  <c r="E40" i="56"/>
  <c r="D40" i="56"/>
  <c r="F39" i="56"/>
  <c r="E39" i="56"/>
  <c r="D39" i="56"/>
  <c r="F38" i="56"/>
  <c r="E38" i="56"/>
  <c r="D38" i="56"/>
  <c r="F37" i="56"/>
  <c r="E37" i="56"/>
  <c r="D37" i="56"/>
  <c r="F36" i="56"/>
  <c r="E36" i="56"/>
  <c r="D36" i="56"/>
  <c r="F35" i="56"/>
  <c r="E35" i="56"/>
  <c r="D35" i="56"/>
  <c r="F34" i="56"/>
  <c r="E34" i="56"/>
  <c r="D34" i="56"/>
  <c r="F33" i="56"/>
  <c r="E33" i="56"/>
  <c r="D33" i="56"/>
  <c r="F32" i="56"/>
  <c r="E32" i="56"/>
  <c r="D32" i="56"/>
  <c r="F31" i="56"/>
  <c r="E31" i="56"/>
  <c r="D31" i="56"/>
  <c r="F30" i="56"/>
  <c r="E30" i="56"/>
  <c r="D30" i="56"/>
  <c r="F29" i="56"/>
  <c r="E29" i="56"/>
  <c r="D29" i="56"/>
  <c r="F28" i="56"/>
  <c r="E28" i="56"/>
  <c r="D28" i="56"/>
  <c r="F27" i="56"/>
  <c r="E27" i="56"/>
  <c r="D27" i="56"/>
  <c r="F26" i="56"/>
  <c r="E26" i="56"/>
  <c r="D26" i="56"/>
  <c r="F25" i="56"/>
  <c r="E25" i="56"/>
  <c r="D25" i="56"/>
  <c r="F24" i="56"/>
  <c r="E24" i="56"/>
  <c r="D24" i="56"/>
  <c r="F23" i="56"/>
  <c r="E23" i="56"/>
  <c r="D23" i="56"/>
  <c r="F22" i="56"/>
  <c r="E22" i="56"/>
  <c r="D22" i="56"/>
  <c r="F21" i="56"/>
  <c r="E21" i="56"/>
  <c r="D21" i="56"/>
  <c r="F20" i="56"/>
  <c r="E20" i="56"/>
  <c r="D20" i="56"/>
  <c r="F19" i="56"/>
  <c r="E19" i="56"/>
  <c r="D19" i="56"/>
  <c r="F18" i="56"/>
  <c r="E18" i="56"/>
  <c r="D18" i="56"/>
  <c r="F17" i="56"/>
  <c r="E17" i="56"/>
  <c r="D17" i="56"/>
  <c r="F16" i="56"/>
  <c r="E16" i="56"/>
  <c r="D16" i="56"/>
  <c r="F15" i="56"/>
  <c r="E15" i="56"/>
  <c r="D15" i="56"/>
  <c r="F14" i="56"/>
  <c r="E14" i="56"/>
  <c r="D14" i="56"/>
  <c r="F13" i="56"/>
  <c r="E13" i="56"/>
  <c r="D13" i="56"/>
  <c r="F12" i="56"/>
  <c r="E12" i="56"/>
  <c r="D12" i="56"/>
  <c r="F11" i="56"/>
  <c r="E11" i="56"/>
  <c r="D11" i="56"/>
  <c r="F10" i="56"/>
  <c r="E10" i="56"/>
  <c r="D10" i="56"/>
  <c r="F9" i="56"/>
  <c r="E9" i="56"/>
  <c r="D9" i="56"/>
  <c r="F8" i="56"/>
  <c r="E8" i="56"/>
  <c r="D8" i="56"/>
  <c r="F7" i="56"/>
  <c r="E7" i="56"/>
  <c r="D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C35" i="56"/>
  <c r="C36" i="56"/>
  <c r="C37" i="56"/>
  <c r="C38" i="56"/>
  <c r="C39" i="56"/>
  <c r="C40" i="56"/>
  <c r="C41" i="56"/>
  <c r="C42" i="56"/>
  <c r="C43" i="56"/>
  <c r="C44" i="56"/>
  <c r="C45" i="56"/>
  <c r="C46" i="56"/>
  <c r="C47" i="56"/>
  <c r="C48" i="56"/>
  <c r="C49" i="56"/>
  <c r="C50" i="56"/>
  <c r="C51" i="56"/>
  <c r="C52" i="56"/>
  <c r="C53" i="56"/>
  <c r="C54" i="56"/>
  <c r="C55" i="56"/>
  <c r="C56" i="56"/>
  <c r="C57" i="56"/>
  <c r="C58" i="56"/>
  <c r="C59" i="56"/>
  <c r="C60" i="56"/>
  <c r="C61" i="56"/>
  <c r="C62" i="56"/>
  <c r="C63" i="56"/>
  <c r="C64" i="56"/>
  <c r="C65" i="56"/>
  <c r="C66" i="56"/>
  <c r="C67" i="56"/>
  <c r="C68" i="56"/>
  <c r="C69" i="56"/>
  <c r="C70" i="56"/>
  <c r="C7" i="56"/>
  <c r="B8" i="56"/>
  <c r="B9" i="56"/>
  <c r="B10" i="56"/>
  <c r="B11" i="56"/>
  <c r="B12" i="56"/>
  <c r="B13" i="56"/>
  <c r="B14" i="56"/>
  <c r="B15" i="56"/>
  <c r="B16" i="56"/>
  <c r="B17" i="56"/>
  <c r="B18" i="56"/>
  <c r="B19" i="56"/>
  <c r="B20" i="56"/>
  <c r="B21" i="56"/>
  <c r="B22" i="56"/>
  <c r="B23" i="56"/>
  <c r="B24" i="56"/>
  <c r="B25" i="56"/>
  <c r="B26" i="56"/>
  <c r="B27" i="56"/>
  <c r="B28" i="56"/>
  <c r="B29" i="56"/>
  <c r="B30" i="56"/>
  <c r="B31" i="56"/>
  <c r="B32" i="56"/>
  <c r="B33" i="56"/>
  <c r="B34" i="56"/>
  <c r="B35" i="56"/>
  <c r="B36" i="56"/>
  <c r="B37" i="56"/>
  <c r="B38" i="56"/>
  <c r="B39" i="56"/>
  <c r="B40" i="56"/>
  <c r="B41" i="56"/>
  <c r="B42" i="56"/>
  <c r="B43" i="56"/>
  <c r="B44" i="56"/>
  <c r="B45" i="56"/>
  <c r="B46" i="56"/>
  <c r="B47" i="56"/>
  <c r="B48" i="56"/>
  <c r="B49" i="56"/>
  <c r="B50" i="56"/>
  <c r="B51" i="56"/>
  <c r="B52" i="56"/>
  <c r="B53" i="56"/>
  <c r="B54" i="56"/>
  <c r="B55" i="56"/>
  <c r="B56" i="56"/>
  <c r="B57" i="56"/>
  <c r="B58" i="56"/>
  <c r="B59" i="56"/>
  <c r="B60" i="56"/>
  <c r="B61" i="56"/>
  <c r="B62" i="56"/>
  <c r="B63" i="56"/>
  <c r="B64" i="56"/>
  <c r="B65" i="56"/>
  <c r="B66" i="56"/>
  <c r="B67" i="56"/>
  <c r="B68" i="56"/>
  <c r="B69" i="56"/>
  <c r="B70" i="56"/>
  <c r="B7" i="56"/>
  <c r="C4" i="56"/>
  <c r="F3" i="56"/>
  <c r="G8" i="55"/>
  <c r="AK4" i="55" s="1"/>
  <c r="G6" i="55"/>
  <c r="G5" i="55"/>
  <c r="AK7" i="55" s="1"/>
  <c r="S17" i="55"/>
  <c r="S21" i="55"/>
  <c r="S25" i="55"/>
  <c r="S29" i="55"/>
  <c r="S33" i="55"/>
  <c r="S37" i="55"/>
  <c r="S41" i="55"/>
  <c r="S45" i="55"/>
  <c r="S49" i="55"/>
  <c r="S53" i="55"/>
  <c r="S57" i="55"/>
  <c r="S61" i="55"/>
  <c r="S65" i="55"/>
  <c r="S69" i="55"/>
  <c r="S72" i="55"/>
  <c r="S73" i="55"/>
  <c r="S75" i="55"/>
  <c r="S12" i="55"/>
  <c r="S13" i="55"/>
  <c r="M70" i="56"/>
  <c r="M69" i="56"/>
  <c r="M68" i="56"/>
  <c r="M67" i="56"/>
  <c r="M66" i="56"/>
  <c r="M65" i="56"/>
  <c r="M64" i="56"/>
  <c r="M63" i="56"/>
  <c r="M62" i="56"/>
  <c r="M61" i="56"/>
  <c r="M60" i="56"/>
  <c r="M59" i="56"/>
  <c r="M58" i="56"/>
  <c r="M57" i="56"/>
  <c r="M56" i="56"/>
  <c r="M55" i="56"/>
  <c r="M54" i="56"/>
  <c r="M53" i="56"/>
  <c r="M52" i="56"/>
  <c r="M51" i="56"/>
  <c r="M50" i="56"/>
  <c r="M49" i="56"/>
  <c r="M48" i="56"/>
  <c r="M47" i="56"/>
  <c r="M46" i="56"/>
  <c r="M45" i="56"/>
  <c r="M44" i="56"/>
  <c r="M43" i="56"/>
  <c r="M42" i="56"/>
  <c r="M41" i="56"/>
  <c r="M40" i="56"/>
  <c r="M39" i="56"/>
  <c r="M38" i="56"/>
  <c r="M37" i="56"/>
  <c r="M36" i="56"/>
  <c r="M35" i="56"/>
  <c r="M34" i="56"/>
  <c r="M33" i="56"/>
  <c r="M32" i="56"/>
  <c r="M31" i="56"/>
  <c r="M30" i="56"/>
  <c r="M29" i="56"/>
  <c r="M28" i="56"/>
  <c r="M27" i="56"/>
  <c r="M26" i="56"/>
  <c r="M25" i="56"/>
  <c r="M24" i="56"/>
  <c r="M23" i="56"/>
  <c r="M22" i="56"/>
  <c r="M21" i="56"/>
  <c r="M20" i="56"/>
  <c r="M19" i="56"/>
  <c r="J72" i="56"/>
  <c r="U75" i="55"/>
  <c r="A75" i="55"/>
  <c r="A70" i="56" s="1"/>
  <c r="Q70" i="56" s="1"/>
  <c r="U74" i="55"/>
  <c r="S74" i="55"/>
  <c r="A74" i="55"/>
  <c r="A69" i="56" s="1"/>
  <c r="Q69" i="56" s="1"/>
  <c r="U73" i="55"/>
  <c r="A73" i="55"/>
  <c r="A68" i="56" s="1"/>
  <c r="Q68" i="56" s="1"/>
  <c r="U72" i="55"/>
  <c r="A72" i="55"/>
  <c r="A67" i="56" s="1"/>
  <c r="Q67" i="56" s="1"/>
  <c r="U71" i="55"/>
  <c r="S71" i="55"/>
  <c r="A71" i="55"/>
  <c r="A66" i="56" s="1"/>
  <c r="Q66" i="56" s="1"/>
  <c r="U70" i="55"/>
  <c r="S70" i="55"/>
  <c r="A70" i="55"/>
  <c r="A65" i="56" s="1"/>
  <c r="Q65" i="56" s="1"/>
  <c r="U69" i="55"/>
  <c r="A69" i="55"/>
  <c r="A64" i="56" s="1"/>
  <c r="Q64" i="56" s="1"/>
  <c r="U68" i="55"/>
  <c r="S68" i="55"/>
  <c r="A68" i="55"/>
  <c r="A63" i="56" s="1"/>
  <c r="Q63" i="56" s="1"/>
  <c r="U67" i="55"/>
  <c r="S67" i="55"/>
  <c r="A67" i="55"/>
  <c r="A62" i="56" s="1"/>
  <c r="Q62" i="56" s="1"/>
  <c r="U66" i="55"/>
  <c r="S66" i="55"/>
  <c r="A66" i="55"/>
  <c r="A61" i="56" s="1"/>
  <c r="Q61" i="56" s="1"/>
  <c r="U65" i="55"/>
  <c r="A65" i="55"/>
  <c r="A60" i="56" s="1"/>
  <c r="Q60" i="56" s="1"/>
  <c r="U64" i="55"/>
  <c r="S64" i="55"/>
  <c r="A64" i="55"/>
  <c r="A59" i="56" s="1"/>
  <c r="Q59" i="56" s="1"/>
  <c r="U63" i="55"/>
  <c r="S63" i="55"/>
  <c r="A63" i="55"/>
  <c r="A58" i="56" s="1"/>
  <c r="Q58" i="56" s="1"/>
  <c r="U62" i="55"/>
  <c r="S62" i="55"/>
  <c r="A62" i="55"/>
  <c r="A57" i="56" s="1"/>
  <c r="Q57" i="56" s="1"/>
  <c r="U61" i="55"/>
  <c r="A61" i="55"/>
  <c r="A56" i="56" s="1"/>
  <c r="Q56" i="56" s="1"/>
  <c r="U60" i="55"/>
  <c r="S60" i="55"/>
  <c r="A60" i="55"/>
  <c r="A55" i="56" s="1"/>
  <c r="Q55" i="56" s="1"/>
  <c r="U59" i="55"/>
  <c r="S59" i="55"/>
  <c r="A59" i="55"/>
  <c r="A54" i="56" s="1"/>
  <c r="Q54" i="56" s="1"/>
  <c r="U58" i="55"/>
  <c r="S58" i="55"/>
  <c r="A58" i="55"/>
  <c r="A53" i="56" s="1"/>
  <c r="Q53" i="56" s="1"/>
  <c r="U57" i="55"/>
  <c r="A57" i="55"/>
  <c r="A52" i="56" s="1"/>
  <c r="Q52" i="56" s="1"/>
  <c r="U56" i="55"/>
  <c r="S56" i="55"/>
  <c r="A56" i="55"/>
  <c r="A51" i="56" s="1"/>
  <c r="Q51" i="56" s="1"/>
  <c r="U55" i="55"/>
  <c r="S55" i="55"/>
  <c r="A55" i="55"/>
  <c r="A50" i="56" s="1"/>
  <c r="Q50" i="56" s="1"/>
  <c r="U54" i="55"/>
  <c r="S54" i="55"/>
  <c r="A54" i="55"/>
  <c r="A49" i="56" s="1"/>
  <c r="Q49" i="56" s="1"/>
  <c r="U53" i="55"/>
  <c r="A53" i="55"/>
  <c r="A48" i="56" s="1"/>
  <c r="Q48" i="56" s="1"/>
  <c r="U52" i="55"/>
  <c r="S52" i="55"/>
  <c r="A52" i="55"/>
  <c r="A47" i="56" s="1"/>
  <c r="Q47" i="56" s="1"/>
  <c r="U51" i="55"/>
  <c r="S51" i="55"/>
  <c r="A51" i="55"/>
  <c r="A46" i="56" s="1"/>
  <c r="Q46" i="56" s="1"/>
  <c r="U50" i="55"/>
  <c r="S50" i="55"/>
  <c r="A50" i="55"/>
  <c r="A45" i="56" s="1"/>
  <c r="Q45" i="56" s="1"/>
  <c r="U49" i="55"/>
  <c r="A49" i="55"/>
  <c r="A44" i="56" s="1"/>
  <c r="Q44" i="56" s="1"/>
  <c r="U48" i="55"/>
  <c r="S48" i="55"/>
  <c r="A48" i="55"/>
  <c r="A43" i="56" s="1"/>
  <c r="Q43" i="56" s="1"/>
  <c r="U47" i="55"/>
  <c r="S47" i="55"/>
  <c r="A47" i="55"/>
  <c r="A42" i="56" s="1"/>
  <c r="Q42" i="56" s="1"/>
  <c r="U46" i="55"/>
  <c r="S46" i="55"/>
  <c r="A46" i="55"/>
  <c r="A41" i="56" s="1"/>
  <c r="Q41" i="56" s="1"/>
  <c r="U45" i="55"/>
  <c r="A45" i="55"/>
  <c r="A40" i="56" s="1"/>
  <c r="Q40" i="56" s="1"/>
  <c r="U44" i="55"/>
  <c r="S44" i="55"/>
  <c r="A44" i="55"/>
  <c r="A39" i="56" s="1"/>
  <c r="Q39" i="56" s="1"/>
  <c r="U43" i="55"/>
  <c r="S43" i="55"/>
  <c r="A43" i="55"/>
  <c r="A38" i="56" s="1"/>
  <c r="Q38" i="56" s="1"/>
  <c r="U42" i="55"/>
  <c r="S42" i="55"/>
  <c r="A42" i="55"/>
  <c r="A37" i="56" s="1"/>
  <c r="Q37" i="56" s="1"/>
  <c r="U41" i="55"/>
  <c r="A41" i="55"/>
  <c r="A36" i="56" s="1"/>
  <c r="Q36" i="56" s="1"/>
  <c r="U40" i="55"/>
  <c r="S40" i="55"/>
  <c r="A40" i="55"/>
  <c r="A35" i="56" s="1"/>
  <c r="Q35" i="56" s="1"/>
  <c r="U39" i="55"/>
  <c r="S39" i="55"/>
  <c r="A39" i="55"/>
  <c r="A34" i="56" s="1"/>
  <c r="Q34" i="56" s="1"/>
  <c r="U38" i="55"/>
  <c r="S38" i="55"/>
  <c r="A38" i="55"/>
  <c r="A33" i="56" s="1"/>
  <c r="Q33" i="56" s="1"/>
  <c r="U37" i="55"/>
  <c r="A37" i="55"/>
  <c r="A32" i="56" s="1"/>
  <c r="Q32" i="56" s="1"/>
  <c r="U36" i="55"/>
  <c r="S36" i="55"/>
  <c r="A36" i="55"/>
  <c r="A31" i="56" s="1"/>
  <c r="Q31" i="56" s="1"/>
  <c r="U35" i="55"/>
  <c r="S35" i="55"/>
  <c r="A35" i="55"/>
  <c r="A30" i="56" s="1"/>
  <c r="Q30" i="56" s="1"/>
  <c r="U34" i="55"/>
  <c r="S34" i="55"/>
  <c r="A34" i="55"/>
  <c r="A29" i="56" s="1"/>
  <c r="Q29" i="56" s="1"/>
  <c r="U33" i="55"/>
  <c r="A33" i="55"/>
  <c r="A28" i="56" s="1"/>
  <c r="Q28" i="56" s="1"/>
  <c r="U32" i="55"/>
  <c r="S32" i="55"/>
  <c r="A32" i="55"/>
  <c r="A27" i="56" s="1"/>
  <c r="Q27" i="56" s="1"/>
  <c r="U31" i="55"/>
  <c r="S31" i="55"/>
  <c r="A31" i="55"/>
  <c r="A26" i="56" s="1"/>
  <c r="Q26" i="56" s="1"/>
  <c r="S30" i="55"/>
  <c r="S28" i="55"/>
  <c r="S27" i="55"/>
  <c r="S26" i="55"/>
  <c r="S24" i="55"/>
  <c r="S23" i="55"/>
  <c r="S22" i="55"/>
  <c r="S20" i="55"/>
  <c r="S19" i="55"/>
  <c r="S18" i="55"/>
  <c r="S16" i="55"/>
  <c r="S15" i="55"/>
  <c r="S14" i="55"/>
  <c r="A12" i="55"/>
  <c r="A7" i="56" s="1"/>
  <c r="B5" i="55"/>
  <c r="H4" i="55"/>
  <c r="AT4" i="55" s="1"/>
  <c r="AI4" i="55" l="1"/>
  <c r="G10" i="56"/>
  <c r="G14" i="56"/>
  <c r="G18" i="56"/>
  <c r="G22" i="56"/>
  <c r="G26" i="56"/>
  <c r="G30" i="56"/>
  <c r="G34" i="56"/>
  <c r="G38" i="56"/>
  <c r="G42" i="56"/>
  <c r="G46" i="56"/>
  <c r="G50" i="56"/>
  <c r="G54" i="56"/>
  <c r="G58" i="56"/>
  <c r="G62" i="56"/>
  <c r="G66" i="56"/>
  <c r="G70" i="56"/>
  <c r="G19" i="56"/>
  <c r="G27" i="56"/>
  <c r="G35" i="56"/>
  <c r="G55" i="56"/>
  <c r="G63" i="56"/>
  <c r="G7" i="56"/>
  <c r="G32" i="56"/>
  <c r="G48" i="56"/>
  <c r="G64" i="56"/>
  <c r="G11" i="56"/>
  <c r="G47" i="56"/>
  <c r="G40" i="56"/>
  <c r="G56" i="56"/>
  <c r="G68" i="56"/>
  <c r="G8" i="56"/>
  <c r="G12" i="56"/>
  <c r="G16" i="56"/>
  <c r="G20" i="56"/>
  <c r="G28" i="56"/>
  <c r="G44" i="56"/>
  <c r="G9" i="56"/>
  <c r="G13" i="56"/>
  <c r="G17" i="56"/>
  <c r="G21" i="56"/>
  <c r="G25" i="56"/>
  <c r="G29" i="56"/>
  <c r="G33" i="56"/>
  <c r="G37" i="56"/>
  <c r="G41" i="56"/>
  <c r="G45" i="56"/>
  <c r="G49" i="56"/>
  <c r="G53" i="56"/>
  <c r="G57" i="56"/>
  <c r="G61" i="56"/>
  <c r="G65" i="56"/>
  <c r="G69" i="56"/>
  <c r="G15" i="56"/>
  <c r="G23" i="56"/>
  <c r="G31" i="56"/>
  <c r="G39" i="56"/>
  <c r="G43" i="56"/>
  <c r="G51" i="56"/>
  <c r="G59" i="56"/>
  <c r="G67" i="56"/>
  <c r="G24" i="56"/>
  <c r="G36" i="56"/>
  <c r="G52" i="56"/>
  <c r="G60" i="56"/>
  <c r="AA7" i="55"/>
  <c r="AA11" i="55"/>
  <c r="AA10" i="55"/>
  <c r="AA9" i="55"/>
  <c r="AA3" i="55"/>
  <c r="AA4" i="55"/>
  <c r="AA5" i="55"/>
  <c r="C3" i="56"/>
  <c r="R2" i="56" s="1"/>
  <c r="Q7" i="56"/>
  <c r="J3" i="56"/>
  <c r="J2" i="56" s="1"/>
  <c r="U12" i="55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AH7" i="55"/>
  <c r="AJ7" i="55" s="1"/>
  <c r="AH4" i="55"/>
  <c r="AO7" i="55"/>
  <c r="A13" i="55" l="1"/>
  <c r="J4" i="55"/>
  <c r="L4" i="55" s="1"/>
  <c r="L18" i="56"/>
  <c r="C2" i="56" l="1"/>
  <c r="AU4" i="55"/>
  <c r="A14" i="55"/>
  <c r="A8" i="56"/>
  <c r="Q8" i="56" s="1"/>
  <c r="L12" i="56"/>
  <c r="L13" i="56"/>
  <c r="L15" i="56"/>
  <c r="L17" i="56"/>
  <c r="L14" i="56"/>
  <c r="L16" i="56"/>
  <c r="A15" i="55" l="1"/>
  <c r="A9" i="56"/>
  <c r="Q9" i="56" s="1"/>
  <c r="M18" i="56"/>
  <c r="L8" i="56"/>
  <c r="L7" i="56"/>
  <c r="L11" i="56"/>
  <c r="L10" i="56"/>
  <c r="A16" i="55" l="1"/>
  <c r="A10" i="56"/>
  <c r="Q10" i="56" s="1"/>
  <c r="L9" i="56"/>
  <c r="A17" i="55" l="1"/>
  <c r="A11" i="56"/>
  <c r="Q11" i="56" s="1"/>
  <c r="M15" i="56"/>
  <c r="M11" i="56"/>
  <c r="M7" i="56"/>
  <c r="M12" i="56"/>
  <c r="A12" i="56" l="1"/>
  <c r="Q12" i="56" s="1"/>
  <c r="A18" i="55"/>
  <c r="M9" i="56"/>
  <c r="M13" i="56"/>
  <c r="M8" i="56"/>
  <c r="M17" i="56"/>
  <c r="M16" i="56"/>
  <c r="M14" i="56"/>
  <c r="M10" i="56"/>
  <c r="A19" i="55" l="1"/>
  <c r="A13" i="56"/>
  <c r="Q13" i="56" s="1"/>
  <c r="A14" i="56" l="1"/>
  <c r="Q14" i="56" s="1"/>
  <c r="A20" i="55"/>
  <c r="A15" i="56" l="1"/>
  <c r="Q15" i="56" s="1"/>
  <c r="A21" i="55"/>
  <c r="A16" i="56" l="1"/>
  <c r="Q16" i="56" s="1"/>
  <c r="A22" i="55"/>
  <c r="A17" i="56" l="1"/>
  <c r="Q17" i="56" s="1"/>
  <c r="A23" i="55"/>
  <c r="AC7" i="22"/>
  <c r="AC8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60" i="22"/>
  <c r="AC61" i="22"/>
  <c r="AC62" i="22"/>
  <c r="AC63" i="22"/>
  <c r="AC64" i="22"/>
  <c r="AC65" i="22"/>
  <c r="AC66" i="22"/>
  <c r="AC67" i="22"/>
  <c r="AC68" i="22"/>
  <c r="AC69" i="22"/>
  <c r="AC6" i="22"/>
  <c r="A24" i="55" l="1"/>
  <c r="A18" i="56"/>
  <c r="Q18" i="56" s="1"/>
  <c r="A19" i="56" l="1"/>
  <c r="Q19" i="56" s="1"/>
  <c r="A25" i="55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A20" i="56" l="1"/>
  <c r="Q20" i="56" s="1"/>
  <c r="A26" i="55"/>
  <c r="R1" i="56" l="1"/>
  <c r="A27" i="55"/>
  <c r="A21" i="56"/>
  <c r="Q21" i="56" s="1"/>
  <c r="S68" i="43"/>
  <c r="S62" i="43"/>
  <c r="S33" i="43"/>
  <c r="S30" i="43"/>
  <c r="S23" i="43"/>
  <c r="S42" i="43"/>
  <c r="S25" i="43"/>
  <c r="S46" i="43"/>
  <c r="S31" i="43"/>
  <c r="S66" i="43"/>
  <c r="S49" i="43"/>
  <c r="S15" i="43"/>
  <c r="S63" i="43"/>
  <c r="A22" i="56" l="1"/>
  <c r="Q22" i="56" s="1"/>
  <c r="A28" i="55"/>
  <c r="S37" i="43"/>
  <c r="A23" i="56" l="1"/>
  <c r="Q23" i="56" s="1"/>
  <c r="A29" i="55"/>
  <c r="B24" i="54"/>
  <c r="B23" i="54"/>
  <c r="B22" i="54"/>
  <c r="B21" i="54"/>
  <c r="B20" i="54"/>
  <c r="B19" i="54"/>
  <c r="B18" i="54"/>
  <c r="B17" i="54"/>
  <c r="B16" i="54"/>
  <c r="B15" i="54"/>
  <c r="B14" i="54"/>
  <c r="B13" i="54"/>
  <c r="B12" i="54"/>
  <c r="B11" i="54"/>
  <c r="B10" i="54"/>
  <c r="T59" i="42"/>
  <c r="T58" i="42"/>
  <c r="T57" i="42"/>
  <c r="T56" i="42"/>
  <c r="T55" i="42"/>
  <c r="T54" i="42"/>
  <c r="T53" i="42"/>
  <c r="T52" i="42"/>
  <c r="T51" i="42"/>
  <c r="T49" i="42"/>
  <c r="T48" i="42"/>
  <c r="T47" i="42"/>
  <c r="T46" i="42"/>
  <c r="T45" i="42"/>
  <c r="T44" i="42"/>
  <c r="T42" i="42"/>
  <c r="T41" i="42"/>
  <c r="T40" i="42"/>
  <c r="T38" i="42"/>
  <c r="T37" i="42"/>
  <c r="T35" i="42"/>
  <c r="T34" i="42"/>
  <c r="T33" i="42"/>
  <c r="T32" i="42"/>
  <c r="T31" i="42"/>
  <c r="T29" i="42"/>
  <c r="T28" i="42"/>
  <c r="T27" i="42"/>
  <c r="T25" i="42"/>
  <c r="T24" i="42"/>
  <c r="T23" i="42"/>
  <c r="T22" i="42"/>
  <c r="T20" i="42"/>
  <c r="T19" i="42"/>
  <c r="T18" i="42"/>
  <c r="T17" i="42"/>
  <c r="T15" i="42"/>
  <c r="T14" i="42"/>
  <c r="T13" i="42"/>
  <c r="T11" i="42"/>
  <c r="T10" i="42"/>
  <c r="T9" i="42"/>
  <c r="T8" i="42"/>
  <c r="T7" i="42"/>
  <c r="T5" i="42"/>
  <c r="T4" i="42"/>
  <c r="T3" i="42"/>
  <c r="A24" i="56" l="1"/>
  <c r="Q24" i="56" s="1"/>
  <c r="A30" i="55"/>
  <c r="A25" i="56" s="1"/>
  <c r="Q25" i="56" s="1"/>
  <c r="H4" i="43"/>
  <c r="M3" i="54" s="1"/>
  <c r="F10" i="54" l="1"/>
  <c r="F11" i="54"/>
  <c r="F15" i="54"/>
  <c r="F19" i="54"/>
  <c r="F23" i="54"/>
  <c r="F12" i="54"/>
  <c r="F16" i="54"/>
  <c r="F20" i="54"/>
  <c r="F24" i="54"/>
  <c r="F13" i="54"/>
  <c r="F17" i="54"/>
  <c r="F21" i="54"/>
  <c r="F14" i="54"/>
  <c r="F18" i="54"/>
  <c r="F22" i="54"/>
  <c r="D10" i="54"/>
  <c r="D11" i="54"/>
  <c r="D15" i="54"/>
  <c r="D19" i="54"/>
  <c r="D23" i="54"/>
  <c r="D18" i="54"/>
  <c r="D12" i="54"/>
  <c r="D16" i="54"/>
  <c r="D20" i="54"/>
  <c r="D24" i="54"/>
  <c r="D22" i="54"/>
  <c r="D13" i="54"/>
  <c r="D17" i="54"/>
  <c r="D21" i="54"/>
  <c r="D14" i="54"/>
  <c r="C3" i="54"/>
  <c r="AA1" i="38" l="1"/>
  <c r="J6" i="54" s="1"/>
  <c r="W1" i="38"/>
  <c r="F6" i="54" s="1"/>
  <c r="B2" i="43" l="1"/>
  <c r="A6" i="43" l="1"/>
  <c r="Z20" i="22"/>
  <c r="Z6" i="22"/>
  <c r="Y6" i="22"/>
  <c r="Y67" i="22" l="1"/>
  <c r="Y53" i="22"/>
  <c r="Y57" i="22"/>
  <c r="Y61" i="22"/>
  <c r="Y65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4" i="22"/>
  <c r="Y58" i="22"/>
  <c r="Y62" i="22"/>
  <c r="Y66" i="22"/>
  <c r="Y51" i="22"/>
  <c r="Y55" i="22"/>
  <c r="Y59" i="22"/>
  <c r="Y63" i="22"/>
  <c r="Y52" i="22"/>
  <c r="Y56" i="22"/>
  <c r="Y60" i="22"/>
  <c r="Y64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Z65" i="22"/>
  <c r="Z54" i="22"/>
  <c r="Z58" i="22"/>
  <c r="Z62" i="22"/>
  <c r="Z52" i="22"/>
  <c r="Z56" i="22"/>
  <c r="Z60" i="22"/>
  <c r="Z64" i="22"/>
  <c r="Z53" i="22"/>
  <c r="Z57" i="22"/>
  <c r="Z61" i="22"/>
  <c r="Z7" i="22"/>
  <c r="Z9" i="22"/>
  <c r="Z10" i="22"/>
  <c r="Z11" i="22"/>
  <c r="Z12" i="22"/>
  <c r="Z13" i="22"/>
  <c r="Z14" i="22"/>
  <c r="Z15" i="22"/>
  <c r="Z16" i="22"/>
  <c r="Z21" i="22"/>
  <c r="Z22" i="22"/>
  <c r="Z23" i="22"/>
  <c r="Z24" i="22"/>
  <c r="Z25" i="22"/>
  <c r="Z26" i="22"/>
  <c r="Z27" i="22"/>
  <c r="Z28" i="22"/>
  <c r="Z29" i="22"/>
  <c r="Z30" i="22"/>
  <c r="Z31" i="22"/>
  <c r="Z32" i="22"/>
  <c r="Z33" i="22"/>
  <c r="Z34" i="22"/>
  <c r="Z35" i="22"/>
  <c r="Z36" i="22"/>
  <c r="Z37" i="22"/>
  <c r="Z38" i="22"/>
  <c r="Z39" i="22"/>
  <c r="Z40" i="22"/>
  <c r="Z41" i="22"/>
  <c r="Z42" i="22"/>
  <c r="Z43" i="22"/>
  <c r="Z44" i="22"/>
  <c r="Z45" i="22"/>
  <c r="Z46" i="22"/>
  <c r="Z47" i="22"/>
  <c r="Z48" i="22"/>
  <c r="Z49" i="22"/>
  <c r="Z50" i="22"/>
  <c r="Z66" i="22"/>
  <c r="Z8" i="22"/>
  <c r="Z51" i="22"/>
  <c r="Z55" i="22"/>
  <c r="Z59" i="22"/>
  <c r="Z63" i="22"/>
  <c r="Z67" i="22"/>
  <c r="Z18" i="22"/>
  <c r="Z19" i="22"/>
  <c r="Z17" i="22"/>
  <c r="A12" i="43"/>
  <c r="A6" i="22" s="1"/>
  <c r="O6" i="22" s="1"/>
  <c r="U19" i="42" l="1"/>
  <c r="W19" i="42"/>
  <c r="U20" i="42"/>
  <c r="U23" i="42"/>
  <c r="U25" i="42"/>
  <c r="U28" i="42"/>
  <c r="U31" i="42"/>
  <c r="U33" i="42"/>
  <c r="U35" i="42"/>
  <c r="U38" i="42"/>
  <c r="U41" i="42"/>
  <c r="W44" i="42"/>
  <c r="W46" i="42"/>
  <c r="W48" i="42"/>
  <c r="W51" i="42"/>
  <c r="W53" i="42"/>
  <c r="W55" i="42"/>
  <c r="W57" i="42"/>
  <c r="W59" i="42"/>
  <c r="W20" i="42"/>
  <c r="W23" i="42"/>
  <c r="W25" i="42"/>
  <c r="W28" i="42"/>
  <c r="W31" i="42"/>
  <c r="W33" i="42"/>
  <c r="W35" i="42"/>
  <c r="W38" i="42"/>
  <c r="W41" i="42"/>
  <c r="U45" i="42"/>
  <c r="U47" i="42"/>
  <c r="U49" i="42"/>
  <c r="U52" i="42"/>
  <c r="U54" i="42"/>
  <c r="U56" i="42"/>
  <c r="U58" i="42"/>
  <c r="U22" i="42"/>
  <c r="U24" i="42"/>
  <c r="U27" i="42"/>
  <c r="U29" i="42"/>
  <c r="U32" i="42"/>
  <c r="U34" i="42"/>
  <c r="U37" i="42"/>
  <c r="U40" i="42"/>
  <c r="U42" i="42"/>
  <c r="W45" i="42"/>
  <c r="W47" i="42"/>
  <c r="W49" i="42"/>
  <c r="W52" i="42"/>
  <c r="W54" i="42"/>
  <c r="W56" i="42"/>
  <c r="W58" i="42"/>
  <c r="W22" i="42"/>
  <c r="W24" i="42"/>
  <c r="W27" i="42"/>
  <c r="W29" i="42"/>
  <c r="W32" i="42"/>
  <c r="W34" i="42"/>
  <c r="W37" i="42"/>
  <c r="W40" i="42"/>
  <c r="U44" i="42"/>
  <c r="U46" i="42"/>
  <c r="U48" i="42"/>
  <c r="U51" i="42"/>
  <c r="U53" i="42"/>
  <c r="U55" i="42"/>
  <c r="U57" i="42"/>
  <c r="U59" i="42"/>
  <c r="AA51" i="22"/>
  <c r="AB51" i="22" s="1"/>
  <c r="W4" i="42"/>
  <c r="W8" i="42"/>
  <c r="W5" i="42"/>
  <c r="W9" i="42"/>
  <c r="W13" i="42"/>
  <c r="W17" i="42"/>
  <c r="W10" i="42"/>
  <c r="W14" i="42"/>
  <c r="W18" i="42"/>
  <c r="W7" i="42"/>
  <c r="W11" i="42"/>
  <c r="W15" i="42"/>
  <c r="W3" i="42"/>
  <c r="AA58" i="22" l="1"/>
  <c r="AB58" i="22" s="1"/>
  <c r="AA53" i="22"/>
  <c r="AB53" i="22" s="1"/>
  <c r="AA55" i="22"/>
  <c r="AB55" i="22" s="1"/>
  <c r="AA67" i="22"/>
  <c r="AB67" i="22" s="1"/>
  <c r="AA65" i="22"/>
  <c r="AB65" i="22" s="1"/>
  <c r="AA61" i="22"/>
  <c r="AB61" i="22" s="1"/>
  <c r="AA63" i="22"/>
  <c r="AB63" i="22" s="1"/>
  <c r="AA49" i="22"/>
  <c r="AB49" i="22" s="1"/>
  <c r="AA46" i="22"/>
  <c r="AB46" i="22" s="1"/>
  <c r="AA57" i="22"/>
  <c r="AB57" i="22" s="1"/>
  <c r="AA59" i="22"/>
  <c r="AB59" i="22" s="1"/>
  <c r="AA48" i="22"/>
  <c r="AB48" i="22" s="1"/>
  <c r="AA54" i="22"/>
  <c r="AB54" i="22" s="1"/>
  <c r="AA66" i="22"/>
  <c r="AB66" i="22" s="1"/>
  <c r="AA50" i="22"/>
  <c r="AB50" i="22" s="1"/>
  <c r="AA56" i="22"/>
  <c r="AB56" i="22" s="1"/>
  <c r="AA52" i="22"/>
  <c r="AB52" i="22" s="1"/>
  <c r="AA62" i="22"/>
  <c r="AB62" i="22" s="1"/>
  <c r="AA47" i="22"/>
  <c r="AB47" i="22" s="1"/>
  <c r="AA64" i="22"/>
  <c r="AB64" i="22" s="1"/>
  <c r="AA45" i="22"/>
  <c r="AB45" i="22" s="1"/>
  <c r="AA60" i="22"/>
  <c r="AB60" i="22" s="1"/>
  <c r="R69" i="22"/>
  <c r="U3" i="42" l="1"/>
  <c r="U4" i="42"/>
  <c r="U8" i="42"/>
  <c r="U10" i="42"/>
  <c r="U14" i="42"/>
  <c r="U18" i="42"/>
  <c r="U7" i="42"/>
  <c r="U11" i="42"/>
  <c r="U15" i="42"/>
  <c r="U5" i="42"/>
  <c r="U9" i="42"/>
  <c r="U13" i="42"/>
  <c r="U17" i="42"/>
  <c r="S73" i="43" l="1"/>
  <c r="S32" i="43"/>
  <c r="A72" i="22" l="1"/>
  <c r="G8" i="43"/>
  <c r="D3" i="54" s="1"/>
  <c r="B19" i="42" l="1"/>
  <c r="B18" i="42"/>
  <c r="B17" i="42"/>
  <c r="B16" i="42"/>
  <c r="B15" i="42"/>
  <c r="B14" i="42"/>
  <c r="B13" i="42"/>
  <c r="B12" i="42"/>
  <c r="B11" i="42"/>
  <c r="M45" i="48"/>
  <c r="L45" i="48"/>
  <c r="M44" i="48"/>
  <c r="L44" i="48"/>
  <c r="M43" i="48"/>
  <c r="L43" i="48"/>
  <c r="M42" i="48"/>
  <c r="L42" i="48"/>
  <c r="M41" i="48"/>
  <c r="L41" i="48"/>
  <c r="M40" i="48"/>
  <c r="L40" i="48"/>
  <c r="M39" i="48"/>
  <c r="L39" i="48"/>
  <c r="M38" i="48"/>
  <c r="L38" i="48"/>
  <c r="M37" i="48"/>
  <c r="L37" i="48"/>
  <c r="M36" i="48"/>
  <c r="L36" i="48"/>
  <c r="M35" i="48"/>
  <c r="L35" i="48"/>
  <c r="M34" i="48"/>
  <c r="L34" i="48"/>
  <c r="M33" i="48"/>
  <c r="L33" i="48"/>
  <c r="M32" i="48"/>
  <c r="L32" i="48"/>
  <c r="M31" i="48"/>
  <c r="L31" i="48"/>
  <c r="M30" i="48"/>
  <c r="L30" i="48"/>
  <c r="M29" i="48"/>
  <c r="L29" i="48"/>
  <c r="M28" i="48"/>
  <c r="L28" i="48"/>
  <c r="M27" i="48"/>
  <c r="L27" i="48"/>
  <c r="M26" i="48"/>
  <c r="L26" i="48"/>
  <c r="M25" i="48"/>
  <c r="L25" i="48"/>
  <c r="M24" i="48"/>
  <c r="L24" i="48"/>
  <c r="M23" i="48"/>
  <c r="L23" i="48"/>
  <c r="M22" i="48"/>
  <c r="L22" i="48"/>
  <c r="M21" i="48"/>
  <c r="L21" i="48"/>
  <c r="M20" i="48"/>
  <c r="L20" i="48"/>
  <c r="M19" i="48"/>
  <c r="L19" i="48"/>
  <c r="M18" i="48"/>
  <c r="L18" i="48"/>
  <c r="M17" i="48"/>
  <c r="L17" i="48"/>
  <c r="M16" i="48"/>
  <c r="L16" i="48"/>
  <c r="M15" i="48"/>
  <c r="L15" i="48"/>
  <c r="M14" i="48"/>
  <c r="L14" i="48"/>
  <c r="M13" i="48"/>
  <c r="L13" i="48"/>
  <c r="M12" i="48"/>
  <c r="L12" i="48"/>
  <c r="M11" i="48"/>
  <c r="L11" i="48"/>
  <c r="M10" i="48"/>
  <c r="L10" i="48"/>
  <c r="M9" i="48"/>
  <c r="L9" i="48"/>
  <c r="M8" i="48"/>
  <c r="L8" i="48"/>
  <c r="M7" i="48"/>
  <c r="L7" i="48"/>
  <c r="M6" i="48"/>
  <c r="L6" i="48"/>
  <c r="M5" i="48"/>
  <c r="L5" i="48"/>
  <c r="M4" i="48"/>
  <c r="L4" i="48"/>
  <c r="M3" i="48"/>
  <c r="L3" i="48"/>
  <c r="M2" i="48"/>
  <c r="L2" i="48"/>
  <c r="L16" i="47"/>
  <c r="K16" i="47"/>
  <c r="F16" i="47"/>
  <c r="E16" i="47"/>
  <c r="L15" i="47"/>
  <c r="K15" i="47"/>
  <c r="F15" i="47"/>
  <c r="E15" i="47"/>
  <c r="L14" i="47"/>
  <c r="K14" i="47"/>
  <c r="F14" i="47"/>
  <c r="E14" i="47"/>
  <c r="L13" i="47"/>
  <c r="K13" i="47"/>
  <c r="F13" i="47"/>
  <c r="E13" i="47"/>
  <c r="L12" i="47"/>
  <c r="K12" i="47"/>
  <c r="F12" i="47"/>
  <c r="E12" i="47"/>
  <c r="L11" i="47"/>
  <c r="K11" i="47"/>
  <c r="F11" i="47"/>
  <c r="E11" i="47"/>
  <c r="L10" i="47"/>
  <c r="K10" i="47"/>
  <c r="F10" i="47"/>
  <c r="E10" i="47"/>
  <c r="L9" i="47"/>
  <c r="K9" i="47"/>
  <c r="F9" i="47"/>
  <c r="E9" i="47"/>
  <c r="L8" i="47"/>
  <c r="K8" i="47"/>
  <c r="F8" i="47"/>
  <c r="E8" i="47"/>
  <c r="L7" i="47"/>
  <c r="K7" i="47"/>
  <c r="F7" i="47"/>
  <c r="E7" i="47"/>
  <c r="L6" i="47"/>
  <c r="K6" i="47"/>
  <c r="F6" i="47"/>
  <c r="E6" i="47"/>
  <c r="K5" i="47"/>
  <c r="E5" i="47"/>
  <c r="E3" i="46"/>
  <c r="B3" i="46"/>
  <c r="A19" i="45"/>
  <c r="A18" i="45"/>
  <c r="A17" i="45"/>
  <c r="A16" i="45"/>
  <c r="A15" i="45"/>
  <c r="A14" i="45"/>
  <c r="A13" i="45"/>
  <c r="A12" i="45"/>
  <c r="A11" i="45"/>
  <c r="A10" i="45"/>
  <c r="A9" i="45"/>
  <c r="A8" i="45"/>
  <c r="A7" i="45"/>
  <c r="A6" i="45"/>
  <c r="A5" i="45"/>
  <c r="A4" i="45"/>
  <c r="D355" i="53"/>
  <c r="D347" i="53"/>
  <c r="D339" i="53"/>
  <c r="D331" i="53"/>
  <c r="D323" i="53"/>
  <c r="D315" i="53"/>
  <c r="D307" i="53"/>
  <c r="D299" i="53"/>
  <c r="D291" i="53"/>
  <c r="D283" i="53"/>
  <c r="D275" i="53"/>
  <c r="D267" i="53"/>
  <c r="D259" i="53"/>
  <c r="D251" i="53"/>
  <c r="D243" i="53"/>
  <c r="D235" i="53"/>
  <c r="D227" i="53"/>
  <c r="D219" i="53"/>
  <c r="D211" i="53"/>
  <c r="D203" i="53"/>
  <c r="D195" i="53"/>
  <c r="D187" i="53"/>
  <c r="D179" i="53"/>
  <c r="D171" i="53"/>
  <c r="D163" i="53"/>
  <c r="D155" i="53"/>
  <c r="D147" i="53"/>
  <c r="D139" i="53"/>
  <c r="D131" i="53"/>
  <c r="D123" i="53"/>
  <c r="D115" i="53"/>
  <c r="D107" i="53"/>
  <c r="D99" i="53"/>
  <c r="D91" i="53"/>
  <c r="D83" i="53"/>
  <c r="D75" i="53"/>
  <c r="D67" i="53"/>
  <c r="D59" i="53"/>
  <c r="D51" i="53"/>
  <c r="D43" i="53"/>
  <c r="D35" i="53"/>
  <c r="D27" i="53"/>
  <c r="D19" i="53"/>
  <c r="D11" i="53"/>
  <c r="D355" i="52"/>
  <c r="D347" i="52"/>
  <c r="D339" i="52"/>
  <c r="D331" i="52"/>
  <c r="D323" i="52"/>
  <c r="D315" i="52"/>
  <c r="D307" i="52"/>
  <c r="D299" i="52"/>
  <c r="D291" i="52"/>
  <c r="D283" i="52"/>
  <c r="D275" i="52"/>
  <c r="D267" i="52"/>
  <c r="D259" i="52"/>
  <c r="D251" i="52"/>
  <c r="D243" i="52"/>
  <c r="D235" i="52"/>
  <c r="D227" i="52"/>
  <c r="D219" i="52"/>
  <c r="D211" i="52"/>
  <c r="D203" i="52"/>
  <c r="D195" i="52"/>
  <c r="D187" i="52"/>
  <c r="D179" i="52"/>
  <c r="D171" i="52"/>
  <c r="D163" i="52"/>
  <c r="D155" i="52"/>
  <c r="D147" i="52"/>
  <c r="D139" i="52"/>
  <c r="D131" i="52"/>
  <c r="D123" i="52"/>
  <c r="D115" i="52"/>
  <c r="D107" i="52"/>
  <c r="D99" i="52"/>
  <c r="D91" i="52"/>
  <c r="D83" i="52"/>
  <c r="D75" i="52"/>
  <c r="D67" i="52"/>
  <c r="D59" i="52"/>
  <c r="D51" i="52"/>
  <c r="D43" i="52"/>
  <c r="D35" i="52"/>
  <c r="D27" i="52"/>
  <c r="D19" i="52"/>
  <c r="D11" i="52"/>
  <c r="A22" i="34"/>
  <c r="A21" i="34"/>
  <c r="A20" i="34"/>
  <c r="A19" i="34"/>
  <c r="A18" i="34"/>
  <c r="A17" i="34"/>
  <c r="A16" i="34"/>
  <c r="E15" i="34"/>
  <c r="B15" i="34"/>
  <c r="D15" i="34" s="1"/>
  <c r="A15" i="34"/>
  <c r="E14" i="34"/>
  <c r="B14" i="34"/>
  <c r="D14" i="34" s="1"/>
  <c r="A14" i="34"/>
  <c r="E13" i="34"/>
  <c r="B13" i="34"/>
  <c r="D13" i="34" s="1"/>
  <c r="A13" i="34"/>
  <c r="E12" i="34"/>
  <c r="B12" i="34"/>
  <c r="D12" i="34" s="1"/>
  <c r="A12" i="34"/>
  <c r="E11" i="34"/>
  <c r="B11" i="34"/>
  <c r="D11" i="34" s="1"/>
  <c r="A11" i="34"/>
  <c r="B9" i="34"/>
  <c r="D9" i="34" s="1"/>
  <c r="A23" i="37"/>
  <c r="A22" i="37"/>
  <c r="A21" i="37"/>
  <c r="A20" i="37"/>
  <c r="A19" i="37"/>
  <c r="A18" i="37"/>
  <c r="A17" i="37"/>
  <c r="E16" i="37"/>
  <c r="J16" i="37" s="1"/>
  <c r="C16" i="37"/>
  <c r="D16" i="37" s="1"/>
  <c r="B16" i="37"/>
  <c r="A16" i="37"/>
  <c r="E15" i="37"/>
  <c r="J15" i="37" s="1"/>
  <c r="C15" i="37"/>
  <c r="D15" i="37" s="1"/>
  <c r="B15" i="37"/>
  <c r="A15" i="37"/>
  <c r="E14" i="37"/>
  <c r="J14" i="37" s="1"/>
  <c r="C14" i="37"/>
  <c r="D14" i="37" s="1"/>
  <c r="B14" i="37"/>
  <c r="A14" i="37"/>
  <c r="E13" i="37"/>
  <c r="J13" i="37" s="1"/>
  <c r="C13" i="37"/>
  <c r="D13" i="37" s="1"/>
  <c r="B13" i="37"/>
  <c r="A13" i="37"/>
  <c r="E12" i="37"/>
  <c r="J12" i="37" s="1"/>
  <c r="C12" i="37"/>
  <c r="D12" i="37" s="1"/>
  <c r="B12" i="37"/>
  <c r="A12" i="37"/>
  <c r="C10" i="37"/>
  <c r="D10" i="37" s="1"/>
  <c r="N4" i="38"/>
  <c r="V1" i="38" s="1"/>
  <c r="E6" i="54" s="1"/>
  <c r="F73" i="39"/>
  <c r="F72" i="39"/>
  <c r="A76" i="22"/>
  <c r="A75" i="22"/>
  <c r="C87" i="39"/>
  <c r="Q69" i="22"/>
  <c r="J70" i="38" s="1"/>
  <c r="J69" i="22"/>
  <c r="G69" i="22"/>
  <c r="F69" i="22"/>
  <c r="F70" i="38" s="1"/>
  <c r="E69" i="22"/>
  <c r="E70" i="38" s="1"/>
  <c r="D69" i="22"/>
  <c r="D70" i="38" s="1"/>
  <c r="C69" i="22"/>
  <c r="C70" i="38" s="1"/>
  <c r="B69" i="22"/>
  <c r="Y68" i="22" s="1"/>
  <c r="J69" i="38"/>
  <c r="K69" i="38"/>
  <c r="F69" i="38"/>
  <c r="E69" i="38"/>
  <c r="D69" i="38"/>
  <c r="C69" i="38"/>
  <c r="B69" i="38"/>
  <c r="J68" i="38"/>
  <c r="F68" i="38"/>
  <c r="E68" i="38"/>
  <c r="D68" i="38"/>
  <c r="C68" i="38"/>
  <c r="B68" i="38"/>
  <c r="J67" i="38"/>
  <c r="F67" i="38"/>
  <c r="E67" i="38"/>
  <c r="D67" i="38"/>
  <c r="C67" i="38"/>
  <c r="B67" i="38"/>
  <c r="J66" i="38"/>
  <c r="K66" i="38"/>
  <c r="F66" i="38"/>
  <c r="E66" i="38"/>
  <c r="D66" i="38"/>
  <c r="C66" i="38"/>
  <c r="B66" i="38"/>
  <c r="J65" i="38"/>
  <c r="K65" i="38"/>
  <c r="F65" i="38"/>
  <c r="E65" i="38"/>
  <c r="D65" i="38"/>
  <c r="C65" i="38"/>
  <c r="B65" i="38"/>
  <c r="J64" i="38"/>
  <c r="F64" i="38"/>
  <c r="E64" i="38"/>
  <c r="D64" i="38"/>
  <c r="C64" i="38"/>
  <c r="B64" i="38"/>
  <c r="J63" i="38"/>
  <c r="F63" i="38"/>
  <c r="E63" i="38"/>
  <c r="D63" i="38"/>
  <c r="C63" i="38"/>
  <c r="B63" i="38"/>
  <c r="J62" i="38"/>
  <c r="K62" i="38"/>
  <c r="F62" i="38"/>
  <c r="E62" i="38"/>
  <c r="D62" i="38"/>
  <c r="C62" i="38"/>
  <c r="B62" i="38"/>
  <c r="J61" i="38"/>
  <c r="K61" i="38"/>
  <c r="F61" i="38"/>
  <c r="E61" i="38"/>
  <c r="D61" i="38"/>
  <c r="C61" i="38"/>
  <c r="B61" i="38"/>
  <c r="J60" i="38"/>
  <c r="F60" i="38"/>
  <c r="E60" i="38"/>
  <c r="D60" i="38"/>
  <c r="C60" i="38"/>
  <c r="B60" i="38"/>
  <c r="J59" i="38"/>
  <c r="F59" i="38"/>
  <c r="E59" i="38"/>
  <c r="D59" i="38"/>
  <c r="C59" i="38"/>
  <c r="B59" i="38"/>
  <c r="F58" i="38"/>
  <c r="E58" i="38"/>
  <c r="D58" i="38"/>
  <c r="C58" i="38"/>
  <c r="B58" i="38"/>
  <c r="J57" i="38"/>
  <c r="K57" i="38"/>
  <c r="F57" i="38"/>
  <c r="E57" i="38"/>
  <c r="D57" i="38"/>
  <c r="C57" i="38"/>
  <c r="B57" i="38"/>
  <c r="F56" i="38"/>
  <c r="E56" i="38"/>
  <c r="D56" i="38"/>
  <c r="C56" i="38"/>
  <c r="B56" i="38"/>
  <c r="J55" i="38"/>
  <c r="F55" i="38"/>
  <c r="E55" i="38"/>
  <c r="D55" i="38"/>
  <c r="C55" i="38"/>
  <c r="B55" i="38"/>
  <c r="F54" i="38"/>
  <c r="E54" i="38"/>
  <c r="D54" i="38"/>
  <c r="C54" i="38"/>
  <c r="B54" i="38"/>
  <c r="J53" i="38"/>
  <c r="K53" i="38"/>
  <c r="F53" i="38"/>
  <c r="E53" i="38"/>
  <c r="D53" i="38"/>
  <c r="C53" i="38"/>
  <c r="B53" i="38"/>
  <c r="F52" i="38"/>
  <c r="E52" i="38"/>
  <c r="D52" i="38"/>
  <c r="C52" i="38"/>
  <c r="B52" i="38"/>
  <c r="J51" i="38"/>
  <c r="F51" i="38"/>
  <c r="E51" i="38"/>
  <c r="D51" i="38"/>
  <c r="C51" i="38"/>
  <c r="B51" i="38"/>
  <c r="F50" i="38"/>
  <c r="D50" i="38"/>
  <c r="F49" i="38"/>
  <c r="D49" i="38"/>
  <c r="J48" i="38"/>
  <c r="F48" i="38"/>
  <c r="D48" i="38"/>
  <c r="J47" i="38"/>
  <c r="F47" i="38"/>
  <c r="D47" i="38"/>
  <c r="F46" i="38"/>
  <c r="D46" i="38"/>
  <c r="F45" i="38"/>
  <c r="D45" i="38"/>
  <c r="F44" i="38"/>
  <c r="D44" i="38"/>
  <c r="F43" i="38"/>
  <c r="D43" i="38"/>
  <c r="J42" i="38"/>
  <c r="F42" i="38"/>
  <c r="D42" i="38"/>
  <c r="J41" i="38"/>
  <c r="F41" i="38"/>
  <c r="D41" i="38"/>
  <c r="F40" i="38"/>
  <c r="D40" i="38"/>
  <c r="F39" i="38"/>
  <c r="D39" i="38"/>
  <c r="J38" i="38"/>
  <c r="F38" i="38"/>
  <c r="D38" i="38"/>
  <c r="J37" i="38"/>
  <c r="F37" i="38"/>
  <c r="D37" i="38"/>
  <c r="F36" i="38"/>
  <c r="D36" i="38"/>
  <c r="F35" i="38"/>
  <c r="D35" i="38"/>
  <c r="J34" i="38"/>
  <c r="F34" i="38"/>
  <c r="D34" i="38"/>
  <c r="J33" i="38"/>
  <c r="F33" i="38"/>
  <c r="D33" i="38"/>
  <c r="J32" i="38"/>
  <c r="F32" i="38"/>
  <c r="D32" i="38"/>
  <c r="J31" i="38"/>
  <c r="F31" i="38"/>
  <c r="D31" i="38"/>
  <c r="J30" i="38"/>
  <c r="F30" i="38"/>
  <c r="D30" i="38"/>
  <c r="J29" i="38"/>
  <c r="F29" i="38"/>
  <c r="D29" i="38"/>
  <c r="J28" i="38"/>
  <c r="F28" i="38"/>
  <c r="D28" i="38"/>
  <c r="J27" i="38"/>
  <c r="F27" i="38"/>
  <c r="D27" i="38"/>
  <c r="J26" i="38"/>
  <c r="F26" i="38"/>
  <c r="D26" i="38"/>
  <c r="J25" i="38"/>
  <c r="F25" i="38"/>
  <c r="D25" i="38"/>
  <c r="J24" i="38"/>
  <c r="F24" i="38"/>
  <c r="D24" i="38"/>
  <c r="J23" i="38"/>
  <c r="F23" i="38"/>
  <c r="D23" i="38"/>
  <c r="J22" i="38"/>
  <c r="F22" i="38"/>
  <c r="D22" i="38"/>
  <c r="J21" i="38"/>
  <c r="F21" i="38"/>
  <c r="D21" i="38"/>
  <c r="J20" i="38"/>
  <c r="F20" i="38"/>
  <c r="D20" i="38"/>
  <c r="J19" i="38"/>
  <c r="F19" i="38"/>
  <c r="D19" i="38"/>
  <c r="J18" i="38"/>
  <c r="F18" i="38"/>
  <c r="D18" i="38"/>
  <c r="J17" i="38"/>
  <c r="F17" i="38"/>
  <c r="D17" i="38"/>
  <c r="F16" i="38"/>
  <c r="D16" i="38"/>
  <c r="F15" i="38"/>
  <c r="D15" i="38"/>
  <c r="F14" i="38"/>
  <c r="D14" i="38"/>
  <c r="F13" i="38"/>
  <c r="D13" i="38"/>
  <c r="F12" i="38"/>
  <c r="D12" i="38"/>
  <c r="F11" i="38"/>
  <c r="D11" i="38"/>
  <c r="F10" i="38"/>
  <c r="D10" i="38"/>
  <c r="F9" i="38"/>
  <c r="D9" i="38"/>
  <c r="F8" i="38"/>
  <c r="D8" i="38"/>
  <c r="K3" i="48"/>
  <c r="F7" i="38"/>
  <c r="D7" i="38"/>
  <c r="W75" i="43"/>
  <c r="S75" i="43"/>
  <c r="A75" i="43"/>
  <c r="A69" i="22" s="1"/>
  <c r="A70" i="38" s="1"/>
  <c r="Q70" i="38" s="1"/>
  <c r="S72" i="43"/>
  <c r="S70" i="43"/>
  <c r="S69" i="43"/>
  <c r="S71" i="43"/>
  <c r="S59" i="43"/>
  <c r="S44" i="43"/>
  <c r="S65" i="43"/>
  <c r="S64" i="43"/>
  <c r="S14" i="43"/>
  <c r="S19" i="43"/>
  <c r="S35" i="43"/>
  <c r="S20" i="43"/>
  <c r="S52" i="43"/>
  <c r="S61" i="43"/>
  <c r="S18" i="43"/>
  <c r="S41" i="43"/>
  <c r="S36" i="43"/>
  <c r="S38" i="43"/>
  <c r="S29" i="43"/>
  <c r="S51" i="43"/>
  <c r="S74" i="43"/>
  <c r="S16" i="43"/>
  <c r="S55" i="43"/>
  <c r="S60" i="43"/>
  <c r="S17" i="43"/>
  <c r="S56" i="43"/>
  <c r="S40" i="43"/>
  <c r="S22" i="43"/>
  <c r="S26" i="43"/>
  <c r="S45" i="43"/>
  <c r="S43" i="43"/>
  <c r="S48" i="43"/>
  <c r="S67" i="43"/>
  <c r="S54" i="43"/>
  <c r="S21" i="43"/>
  <c r="S27" i="43"/>
  <c r="S50" i="43"/>
  <c r="S57" i="43"/>
  <c r="S58" i="43"/>
  <c r="S39" i="43"/>
  <c r="S34" i="43"/>
  <c r="S24" i="43"/>
  <c r="S53" i="43"/>
  <c r="S47" i="43"/>
  <c r="S12" i="43"/>
  <c r="S28" i="43"/>
  <c r="S13" i="43"/>
  <c r="A1351" i="51"/>
  <c r="D1351" i="51" s="1"/>
  <c r="D1343" i="51"/>
  <c r="A1320" i="51"/>
  <c r="A1328" i="51" s="1"/>
  <c r="D1312" i="51"/>
  <c r="A1289" i="51"/>
  <c r="D1289" i="51" s="1"/>
  <c r="D1281" i="51"/>
  <c r="A1258" i="51"/>
  <c r="A1266" i="51" s="1"/>
  <c r="D1250" i="51"/>
  <c r="A1227" i="51"/>
  <c r="D1227" i="51" s="1"/>
  <c r="D1219" i="51"/>
  <c r="D1196" i="51"/>
  <c r="A1196" i="51"/>
  <c r="A1204" i="51" s="1"/>
  <c r="D1188" i="51"/>
  <c r="A1165" i="51"/>
  <c r="D1165" i="51" s="1"/>
  <c r="D1157" i="51"/>
  <c r="A1134" i="51"/>
  <c r="A1142" i="51" s="1"/>
  <c r="D1126" i="51"/>
  <c r="A1103" i="51"/>
  <c r="D1103" i="51" s="1"/>
  <c r="D1095" i="51"/>
  <c r="A1072" i="51"/>
  <c r="A1080" i="51" s="1"/>
  <c r="D1064" i="51"/>
  <c r="A1041" i="51"/>
  <c r="D1041" i="51" s="1"/>
  <c r="D1033" i="51"/>
  <c r="A1010" i="51"/>
  <c r="A1018" i="51" s="1"/>
  <c r="D1002" i="51"/>
  <c r="A979" i="51"/>
  <c r="D979" i="51" s="1"/>
  <c r="D971" i="51"/>
  <c r="A948" i="51"/>
  <c r="A956" i="51" s="1"/>
  <c r="D940" i="51"/>
  <c r="A917" i="51"/>
  <c r="D917" i="51" s="1"/>
  <c r="D909" i="51"/>
  <c r="A886" i="51"/>
  <c r="A894" i="51" s="1"/>
  <c r="D878" i="51"/>
  <c r="A855" i="51"/>
  <c r="D855" i="51" s="1"/>
  <c r="D847" i="51"/>
  <c r="A824" i="51"/>
  <c r="A832" i="51" s="1"/>
  <c r="D816" i="51"/>
  <c r="A793" i="51"/>
  <c r="D793" i="51" s="1"/>
  <c r="D785" i="51"/>
  <c r="A762" i="51"/>
  <c r="A770" i="51" s="1"/>
  <c r="D754" i="51"/>
  <c r="A731" i="51"/>
  <c r="D731" i="51" s="1"/>
  <c r="D723" i="51"/>
  <c r="A700" i="51"/>
  <c r="A708" i="51" s="1"/>
  <c r="D692" i="51"/>
  <c r="A669" i="51"/>
  <c r="D669" i="51" s="1"/>
  <c r="D661" i="51"/>
  <c r="A638" i="51"/>
  <c r="A646" i="51" s="1"/>
  <c r="D630" i="51"/>
  <c r="A607" i="51"/>
  <c r="D607" i="51" s="1"/>
  <c r="D599" i="51"/>
  <c r="A576" i="51"/>
  <c r="A584" i="51" s="1"/>
  <c r="D568" i="51"/>
  <c r="A545" i="51"/>
  <c r="D545" i="51" s="1"/>
  <c r="D537" i="51"/>
  <c r="A514" i="51"/>
  <c r="A522" i="51" s="1"/>
  <c r="D506" i="51"/>
  <c r="A483" i="51"/>
  <c r="D483" i="51" s="1"/>
  <c r="D475" i="51"/>
  <c r="A452" i="51"/>
  <c r="A460" i="51" s="1"/>
  <c r="D444" i="51"/>
  <c r="A421" i="51"/>
  <c r="D421" i="51" s="1"/>
  <c r="D413" i="51"/>
  <c r="A390" i="51"/>
  <c r="A398" i="51" s="1"/>
  <c r="D382" i="51"/>
  <c r="D359" i="51"/>
  <c r="A359" i="51"/>
  <c r="A367" i="51" s="1"/>
  <c r="D351" i="51"/>
  <c r="A328" i="51"/>
  <c r="A336" i="51" s="1"/>
  <c r="D320" i="51"/>
  <c r="A297" i="51"/>
  <c r="A305" i="51" s="1"/>
  <c r="D289" i="51"/>
  <c r="A266" i="51"/>
  <c r="A274" i="51" s="1"/>
  <c r="D258" i="51"/>
  <c r="A235" i="51"/>
  <c r="A243" i="51" s="1"/>
  <c r="D227" i="51"/>
  <c r="A204" i="51"/>
  <c r="A212" i="51" s="1"/>
  <c r="D196" i="51"/>
  <c r="A173" i="51"/>
  <c r="A181" i="51" s="1"/>
  <c r="D165" i="51"/>
  <c r="A142" i="51"/>
  <c r="A150" i="51" s="1"/>
  <c r="D134" i="51"/>
  <c r="A111" i="51"/>
  <c r="D111" i="51" s="1"/>
  <c r="D103" i="51"/>
  <c r="A80" i="51"/>
  <c r="A88" i="51" s="1"/>
  <c r="D72" i="51"/>
  <c r="A49" i="51"/>
  <c r="D49" i="51" s="1"/>
  <c r="D41" i="51"/>
  <c r="A18" i="51"/>
  <c r="A26" i="51" s="1"/>
  <c r="D10" i="51"/>
  <c r="A663" i="50"/>
  <c r="D663" i="50" s="1"/>
  <c r="D655" i="50"/>
  <c r="A648" i="50"/>
  <c r="D648" i="50" s="1"/>
  <c r="D640" i="50"/>
  <c r="A633" i="50"/>
  <c r="D633" i="50" s="1"/>
  <c r="D625" i="50"/>
  <c r="A618" i="50"/>
  <c r="D618" i="50" s="1"/>
  <c r="D610" i="50"/>
  <c r="A603" i="50"/>
  <c r="D603" i="50" s="1"/>
  <c r="D595" i="50"/>
  <c r="A588" i="50"/>
  <c r="D588" i="50" s="1"/>
  <c r="D580" i="50"/>
  <c r="A573" i="50"/>
  <c r="D573" i="50" s="1"/>
  <c r="D565" i="50"/>
  <c r="A558" i="50"/>
  <c r="D558" i="50" s="1"/>
  <c r="D550" i="50"/>
  <c r="A543" i="50"/>
  <c r="D543" i="50" s="1"/>
  <c r="D535" i="50"/>
  <c r="A528" i="50"/>
  <c r="D528" i="50" s="1"/>
  <c r="D520" i="50"/>
  <c r="A513" i="50"/>
  <c r="D513" i="50" s="1"/>
  <c r="D505" i="50"/>
  <c r="A498" i="50"/>
  <c r="D498" i="50" s="1"/>
  <c r="D490" i="50"/>
  <c r="A483" i="50"/>
  <c r="D483" i="50" s="1"/>
  <c r="D475" i="50"/>
  <c r="A468" i="50"/>
  <c r="D468" i="50" s="1"/>
  <c r="D460" i="50"/>
  <c r="A453" i="50"/>
  <c r="D453" i="50" s="1"/>
  <c r="D445" i="50"/>
  <c r="A438" i="50"/>
  <c r="D438" i="50" s="1"/>
  <c r="D430" i="50"/>
  <c r="A423" i="50"/>
  <c r="D423" i="50" s="1"/>
  <c r="D415" i="50"/>
  <c r="A408" i="50"/>
  <c r="D408" i="50" s="1"/>
  <c r="D400" i="50"/>
  <c r="A393" i="50"/>
  <c r="D393" i="50" s="1"/>
  <c r="D385" i="50"/>
  <c r="A378" i="50"/>
  <c r="D378" i="50" s="1"/>
  <c r="D370" i="50"/>
  <c r="A363" i="50"/>
  <c r="D363" i="50" s="1"/>
  <c r="D355" i="50"/>
  <c r="A348" i="50"/>
  <c r="D348" i="50" s="1"/>
  <c r="D340" i="50"/>
  <c r="A333" i="50"/>
  <c r="D333" i="50" s="1"/>
  <c r="D325" i="50"/>
  <c r="A318" i="50"/>
  <c r="D318" i="50" s="1"/>
  <c r="D310" i="50"/>
  <c r="A303" i="50"/>
  <c r="D303" i="50" s="1"/>
  <c r="D295" i="50"/>
  <c r="A288" i="50"/>
  <c r="D288" i="50" s="1"/>
  <c r="D280" i="50"/>
  <c r="A273" i="50"/>
  <c r="D273" i="50" s="1"/>
  <c r="D265" i="50"/>
  <c r="A258" i="50"/>
  <c r="D258" i="50" s="1"/>
  <c r="D250" i="50"/>
  <c r="A243" i="50"/>
  <c r="D243" i="50" s="1"/>
  <c r="D235" i="50"/>
  <c r="A228" i="50"/>
  <c r="D228" i="50" s="1"/>
  <c r="D220" i="50"/>
  <c r="A213" i="50"/>
  <c r="D213" i="50" s="1"/>
  <c r="D205" i="50"/>
  <c r="A198" i="50"/>
  <c r="D198" i="50" s="1"/>
  <c r="D190" i="50"/>
  <c r="A183" i="50"/>
  <c r="D183" i="50" s="1"/>
  <c r="D175" i="50"/>
  <c r="A168" i="50"/>
  <c r="D168" i="50" s="1"/>
  <c r="D160" i="50"/>
  <c r="A153" i="50"/>
  <c r="D153" i="50" s="1"/>
  <c r="D145" i="50"/>
  <c r="A138" i="50"/>
  <c r="D138" i="50" s="1"/>
  <c r="D130" i="50"/>
  <c r="A123" i="50"/>
  <c r="D123" i="50" s="1"/>
  <c r="D115" i="50"/>
  <c r="A108" i="50"/>
  <c r="D108" i="50" s="1"/>
  <c r="D100" i="50"/>
  <c r="A93" i="50"/>
  <c r="D93" i="50" s="1"/>
  <c r="D85" i="50"/>
  <c r="A78" i="50"/>
  <c r="D78" i="50" s="1"/>
  <c r="D70" i="50"/>
  <c r="A63" i="50"/>
  <c r="D63" i="50" s="1"/>
  <c r="D55" i="50"/>
  <c r="A48" i="50"/>
  <c r="D48" i="50" s="1"/>
  <c r="D40" i="50"/>
  <c r="A33" i="50"/>
  <c r="D33" i="50" s="1"/>
  <c r="D25" i="50"/>
  <c r="A18" i="50"/>
  <c r="D18" i="50" s="1"/>
  <c r="D10" i="50"/>
  <c r="D948" i="51" l="1"/>
  <c r="D173" i="51"/>
  <c r="D886" i="51"/>
  <c r="D1134" i="51"/>
  <c r="M11" i="38"/>
  <c r="E16" i="34"/>
  <c r="E10" i="39"/>
  <c r="M13" i="38"/>
  <c r="E18" i="34"/>
  <c r="M7" i="38"/>
  <c r="K70" i="38"/>
  <c r="Z69" i="22"/>
  <c r="Z68" i="22"/>
  <c r="B70" i="38"/>
  <c r="D297" i="51"/>
  <c r="D824" i="51"/>
  <c r="D1072" i="51"/>
  <c r="D1320" i="51"/>
  <c r="D235" i="51"/>
  <c r="D1010" i="51"/>
  <c r="D1258" i="51"/>
  <c r="A220" i="51"/>
  <c r="D220" i="51" s="1"/>
  <c r="D212" i="51"/>
  <c r="D243" i="51"/>
  <c r="A251" i="51"/>
  <c r="D251" i="51" s="1"/>
  <c r="A344" i="51"/>
  <c r="D344" i="51" s="1"/>
  <c r="D336" i="51"/>
  <c r="A34" i="51"/>
  <c r="D34" i="51" s="1"/>
  <c r="D26" i="51"/>
  <c r="A96" i="51"/>
  <c r="D96" i="51" s="1"/>
  <c r="D88" i="51"/>
  <c r="A158" i="51"/>
  <c r="D158" i="51" s="1"/>
  <c r="D150" i="51"/>
  <c r="D181" i="51"/>
  <c r="A189" i="51"/>
  <c r="D189" i="51" s="1"/>
  <c r="A282" i="51"/>
  <c r="D282" i="51" s="1"/>
  <c r="D274" i="51"/>
  <c r="D305" i="51"/>
  <c r="A313" i="51"/>
  <c r="D313" i="51" s="1"/>
  <c r="D18" i="51"/>
  <c r="A57" i="51"/>
  <c r="D80" i="51"/>
  <c r="A119" i="51"/>
  <c r="D142" i="51"/>
  <c r="D204" i="51"/>
  <c r="D266" i="51"/>
  <c r="D328" i="51"/>
  <c r="D367" i="51"/>
  <c r="A375" i="51"/>
  <c r="D375" i="51" s="1"/>
  <c r="A902" i="51"/>
  <c r="D902" i="51" s="1"/>
  <c r="D894" i="51"/>
  <c r="A1026" i="51"/>
  <c r="D1026" i="51" s="1"/>
  <c r="D1018" i="51"/>
  <c r="A1150" i="51"/>
  <c r="D1150" i="51" s="1"/>
  <c r="D1142" i="51"/>
  <c r="A1274" i="51"/>
  <c r="D1274" i="51" s="1"/>
  <c r="D1266" i="51"/>
  <c r="A406" i="51"/>
  <c r="D406" i="51" s="1"/>
  <c r="D398" i="51"/>
  <c r="A468" i="51"/>
  <c r="D468" i="51" s="1"/>
  <c r="D460" i="51"/>
  <c r="A530" i="51"/>
  <c r="D530" i="51" s="1"/>
  <c r="D522" i="51"/>
  <c r="A592" i="51"/>
  <c r="D592" i="51" s="1"/>
  <c r="D584" i="51"/>
  <c r="A654" i="51"/>
  <c r="D654" i="51" s="1"/>
  <c r="D646" i="51"/>
  <c r="A716" i="51"/>
  <c r="D716" i="51" s="1"/>
  <c r="D708" i="51"/>
  <c r="A778" i="51"/>
  <c r="D778" i="51" s="1"/>
  <c r="D770" i="51"/>
  <c r="A840" i="51"/>
  <c r="D840" i="51" s="1"/>
  <c r="D832" i="51"/>
  <c r="A964" i="51"/>
  <c r="D964" i="51" s="1"/>
  <c r="D956" i="51"/>
  <c r="A1088" i="51"/>
  <c r="D1088" i="51" s="1"/>
  <c r="D1080" i="51"/>
  <c r="A1212" i="51"/>
  <c r="D1212" i="51" s="1"/>
  <c r="D1204" i="51"/>
  <c r="A1336" i="51"/>
  <c r="D1336" i="51" s="1"/>
  <c r="D1328" i="51"/>
  <c r="D390" i="51"/>
  <c r="A429" i="51"/>
  <c r="D452" i="51"/>
  <c r="A491" i="51"/>
  <c r="D514" i="51"/>
  <c r="A553" i="51"/>
  <c r="D576" i="51"/>
  <c r="A615" i="51"/>
  <c r="D638" i="51"/>
  <c r="A677" i="51"/>
  <c r="D700" i="51"/>
  <c r="A739" i="51"/>
  <c r="D762" i="51"/>
  <c r="A801" i="51"/>
  <c r="A863" i="51"/>
  <c r="A925" i="51"/>
  <c r="A987" i="51"/>
  <c r="A1049" i="51"/>
  <c r="A1111" i="51"/>
  <c r="A1173" i="51"/>
  <c r="A1235" i="51"/>
  <c r="A1297" i="51"/>
  <c r="A1359" i="51"/>
  <c r="A9" i="37"/>
  <c r="W12" i="43"/>
  <c r="W13" i="43" s="1"/>
  <c r="A13" i="43" s="1"/>
  <c r="A7" i="22" s="1"/>
  <c r="O7" i="22" s="1"/>
  <c r="B47" i="39"/>
  <c r="D47" i="39" s="1"/>
  <c r="U46" i="22"/>
  <c r="U48" i="22"/>
  <c r="B53" i="39"/>
  <c r="D53" i="39" s="1"/>
  <c r="B55" i="39"/>
  <c r="D55" i="39" s="1"/>
  <c r="B57" i="39"/>
  <c r="D57" i="39" s="1"/>
  <c r="B59" i="39"/>
  <c r="D59" i="39" s="1"/>
  <c r="B61" i="39"/>
  <c r="C61" i="39" s="1"/>
  <c r="F61" i="39"/>
  <c r="B63" i="39"/>
  <c r="D63" i="39" s="1"/>
  <c r="F63" i="39"/>
  <c r="B65" i="39"/>
  <c r="C65" i="39" s="1"/>
  <c r="F65" i="39"/>
  <c r="B67" i="39"/>
  <c r="C67" i="39" s="1"/>
  <c r="F67" i="39"/>
  <c r="B69" i="39"/>
  <c r="C69" i="39" s="1"/>
  <c r="F69" i="39"/>
  <c r="B71" i="39"/>
  <c r="C71" i="39" s="1"/>
  <c r="H69" i="38"/>
  <c r="B54" i="39"/>
  <c r="D54" i="39" s="1"/>
  <c r="B56" i="39"/>
  <c r="D56" i="39" s="1"/>
  <c r="B60" i="39"/>
  <c r="D60" i="39" s="1"/>
  <c r="H58" i="38"/>
  <c r="B62" i="39"/>
  <c r="D62" i="39" s="1"/>
  <c r="H60" i="38"/>
  <c r="I60" i="38" s="1"/>
  <c r="B64" i="39"/>
  <c r="H62" i="38"/>
  <c r="I62" i="38" s="1"/>
  <c r="H64" i="38"/>
  <c r="I64" i="38" s="1"/>
  <c r="B68" i="39"/>
  <c r="D68" i="39" s="1"/>
  <c r="H66" i="38"/>
  <c r="B70" i="39"/>
  <c r="C70" i="39" s="1"/>
  <c r="A368" i="50"/>
  <c r="A376" i="50" s="1"/>
  <c r="D376" i="50" s="1"/>
  <c r="F3" i="38"/>
  <c r="Z1" i="38" s="1"/>
  <c r="I6" i="54" s="1"/>
  <c r="A128" i="50"/>
  <c r="A136" i="50" s="1"/>
  <c r="D136" i="50" s="1"/>
  <c r="A188" i="50"/>
  <c r="A196" i="50" s="1"/>
  <c r="D196" i="50" s="1"/>
  <c r="A248" i="50"/>
  <c r="A256" i="50" s="1"/>
  <c r="D256" i="50" s="1"/>
  <c r="A628" i="51"/>
  <c r="A636" i="51" s="1"/>
  <c r="D636" i="51" s="1"/>
  <c r="A428" i="50"/>
  <c r="A436" i="50" s="1"/>
  <c r="D436" i="50" s="1"/>
  <c r="A1000" i="51"/>
  <c r="A1008" i="51" s="1"/>
  <c r="A548" i="50"/>
  <c r="A556" i="50" s="1"/>
  <c r="D556" i="50" s="1"/>
  <c r="A1248" i="51"/>
  <c r="A1256" i="51" s="1"/>
  <c r="A1264" i="51" s="1"/>
  <c r="A25" i="53"/>
  <c r="D25" i="53" s="1"/>
  <c r="A58" i="52"/>
  <c r="D58" i="52" s="1"/>
  <c r="A89" i="53"/>
  <c r="D89" i="53" s="1"/>
  <c r="A122" i="52"/>
  <c r="D122" i="52" s="1"/>
  <c r="A154" i="52"/>
  <c r="D154" i="52" s="1"/>
  <c r="A185" i="53"/>
  <c r="D185" i="53" s="1"/>
  <c r="A218" i="52"/>
  <c r="D218" i="52" s="1"/>
  <c r="A250" i="52"/>
  <c r="D250" i="52" s="1"/>
  <c r="A281" i="53"/>
  <c r="D281" i="53" s="1"/>
  <c r="A313" i="53"/>
  <c r="D313" i="53" s="1"/>
  <c r="A608" i="50"/>
  <c r="A616" i="50" s="1"/>
  <c r="D616" i="50" s="1"/>
  <c r="A1124" i="51"/>
  <c r="A1132" i="51" s="1"/>
  <c r="A1140" i="51" s="1"/>
  <c r="A380" i="51"/>
  <c r="D380" i="51" s="1"/>
  <c r="A345" i="53"/>
  <c r="D345" i="53" s="1"/>
  <c r="A488" i="50"/>
  <c r="A496" i="50" s="1"/>
  <c r="D496" i="50" s="1"/>
  <c r="A265" i="53"/>
  <c r="D265" i="53" s="1"/>
  <c r="A41" i="53"/>
  <c r="D41" i="53" s="1"/>
  <c r="A73" i="53"/>
  <c r="D73" i="53" s="1"/>
  <c r="A106" i="52"/>
  <c r="D106" i="52" s="1"/>
  <c r="A137" i="53"/>
  <c r="D137" i="53" s="1"/>
  <c r="A170" i="52"/>
  <c r="D170" i="52" s="1"/>
  <c r="A201" i="53"/>
  <c r="D201" i="53" s="1"/>
  <c r="A233" i="53"/>
  <c r="D233" i="53" s="1"/>
  <c r="A266" i="52"/>
  <c r="D266" i="52" s="1"/>
  <c r="A297" i="53"/>
  <c r="D297" i="53" s="1"/>
  <c r="A329" i="53"/>
  <c r="D329" i="53" s="1"/>
  <c r="A83" i="50"/>
  <c r="A91" i="50" s="1"/>
  <c r="D91" i="50" s="1"/>
  <c r="A81" i="53"/>
  <c r="D81" i="53" s="1"/>
  <c r="A113" i="53"/>
  <c r="D113" i="53" s="1"/>
  <c r="A145" i="53"/>
  <c r="D145" i="53" s="1"/>
  <c r="A659" i="51"/>
  <c r="A667" i="51" s="1"/>
  <c r="D667" i="51" s="1"/>
  <c r="A383" i="50"/>
  <c r="A391" i="50" s="1"/>
  <c r="D391" i="50" s="1"/>
  <c r="A241" i="53"/>
  <c r="D241" i="53" s="1"/>
  <c r="A503" i="50"/>
  <c r="A511" i="50" s="1"/>
  <c r="D511" i="50" s="1"/>
  <c r="A306" i="52"/>
  <c r="D306" i="52" s="1"/>
  <c r="E10" i="34"/>
  <c r="J14" i="38"/>
  <c r="M14" i="38"/>
  <c r="J15" i="38"/>
  <c r="E22" i="37"/>
  <c r="J22" i="37" s="1"/>
  <c r="J16" i="38"/>
  <c r="E22" i="34"/>
  <c r="A845" i="51"/>
  <c r="A853" i="51" s="1"/>
  <c r="D853" i="51" s="1"/>
  <c r="A257" i="53"/>
  <c r="D257" i="53" s="1"/>
  <c r="A308" i="50"/>
  <c r="A316" i="50" s="1"/>
  <c r="D316" i="50" s="1"/>
  <c r="A876" i="51"/>
  <c r="A884" i="51" s="1"/>
  <c r="T24" i="22"/>
  <c r="P22" i="49" s="1"/>
  <c r="U26" i="22"/>
  <c r="U28" i="22"/>
  <c r="U30" i="22"/>
  <c r="U32" i="22"/>
  <c r="E31" i="48"/>
  <c r="U36" i="22"/>
  <c r="U37" i="22"/>
  <c r="U39" i="22"/>
  <c r="U40" i="22"/>
  <c r="U41" i="22"/>
  <c r="B46" i="39"/>
  <c r="D46" i="39" s="1"/>
  <c r="T34" i="22"/>
  <c r="P32" i="49" s="1"/>
  <c r="T38" i="22"/>
  <c r="P36" i="49" s="1"/>
  <c r="T47" i="22"/>
  <c r="P45" i="49" s="1"/>
  <c r="E22" i="48"/>
  <c r="U6" i="22"/>
  <c r="U7" i="22"/>
  <c r="U8" i="22"/>
  <c r="U10" i="22"/>
  <c r="U12" i="22"/>
  <c r="U14" i="22"/>
  <c r="U16" i="22"/>
  <c r="U18" i="22"/>
  <c r="U20" i="22"/>
  <c r="U22" i="22"/>
  <c r="T26" i="22"/>
  <c r="P24" i="49" s="1"/>
  <c r="A68" i="50"/>
  <c r="A76" i="50" s="1"/>
  <c r="D76" i="50" s="1"/>
  <c r="A132" i="51"/>
  <c r="A140" i="51" s="1"/>
  <c r="A148" i="51" s="1"/>
  <c r="U50" i="22"/>
  <c r="G20" i="48"/>
  <c r="E38" i="39"/>
  <c r="E34" i="48"/>
  <c r="E50" i="37"/>
  <c r="J50" i="37" s="1"/>
  <c r="U49" i="22"/>
  <c r="T62" i="22"/>
  <c r="E55" i="37"/>
  <c r="J55" i="37" s="1"/>
  <c r="T60" i="22"/>
  <c r="T68" i="22"/>
  <c r="U38" i="22"/>
  <c r="E43" i="48"/>
  <c r="T58" i="22"/>
  <c r="T66" i="22"/>
  <c r="U45" i="22"/>
  <c r="T64" i="22"/>
  <c r="E12" i="48"/>
  <c r="G14" i="48"/>
  <c r="U23" i="22"/>
  <c r="U24" i="22"/>
  <c r="T16" i="22"/>
  <c r="P14" i="49" s="1"/>
  <c r="T18" i="22"/>
  <c r="P16" i="49" s="1"/>
  <c r="U15" i="22"/>
  <c r="A346" i="52"/>
  <c r="D346" i="52" s="1"/>
  <c r="A330" i="52"/>
  <c r="D330" i="52" s="1"/>
  <c r="M24" i="38"/>
  <c r="E46" i="39"/>
  <c r="J8" i="38"/>
  <c r="J9" i="38"/>
  <c r="J10" i="38"/>
  <c r="J11" i="38"/>
  <c r="J12" i="38"/>
  <c r="J13" i="38"/>
  <c r="A9" i="53"/>
  <c r="D9" i="53" s="1"/>
  <c r="A256" i="51"/>
  <c r="A264" i="51" s="1"/>
  <c r="A272" i="51" s="1"/>
  <c r="A504" i="51"/>
  <c r="A512" i="51" s="1"/>
  <c r="D512" i="51" s="1"/>
  <c r="A752" i="51"/>
  <c r="A760" i="51" s="1"/>
  <c r="A768" i="51" s="1"/>
  <c r="T8" i="22"/>
  <c r="P6" i="49" s="1"/>
  <c r="T10" i="22"/>
  <c r="P8" i="49" s="1"/>
  <c r="A442" i="51"/>
  <c r="A450" i="51" s="1"/>
  <c r="A458" i="51" s="1"/>
  <c r="A398" i="50"/>
  <c r="A406" i="50" s="1"/>
  <c r="D406" i="50" s="1"/>
  <c r="A218" i="50"/>
  <c r="A226" i="50" s="1"/>
  <c r="D226" i="50" s="1"/>
  <c r="A814" i="51"/>
  <c r="A822" i="51" s="1"/>
  <c r="A830" i="51" s="1"/>
  <c r="A282" i="52"/>
  <c r="D282" i="52" s="1"/>
  <c r="A143" i="50"/>
  <c r="A151" i="50" s="1"/>
  <c r="D151" i="50" s="1"/>
  <c r="A74" i="52"/>
  <c r="D74" i="52" s="1"/>
  <c r="A298" i="52"/>
  <c r="D298" i="52" s="1"/>
  <c r="A169" i="53"/>
  <c r="D169" i="53" s="1"/>
  <c r="A138" i="52"/>
  <c r="D138" i="52" s="1"/>
  <c r="A105" i="53"/>
  <c r="D105" i="53" s="1"/>
  <c r="A249" i="53"/>
  <c r="D249" i="53" s="1"/>
  <c r="A202" i="52"/>
  <c r="D202" i="52" s="1"/>
  <c r="A234" i="52"/>
  <c r="D234" i="52" s="1"/>
  <c r="A26" i="52"/>
  <c r="D26" i="52" s="1"/>
  <c r="A42" i="52"/>
  <c r="D42" i="52" s="1"/>
  <c r="A121" i="53"/>
  <c r="D121" i="53" s="1"/>
  <c r="A278" i="50"/>
  <c r="A286" i="50" s="1"/>
  <c r="D286" i="50" s="1"/>
  <c r="A458" i="50"/>
  <c r="A466" i="50" s="1"/>
  <c r="D466" i="50" s="1"/>
  <c r="A578" i="50"/>
  <c r="A586" i="50" s="1"/>
  <c r="D586" i="50" s="1"/>
  <c r="A70" i="51"/>
  <c r="A78" i="51" s="1"/>
  <c r="A86" i="51" s="1"/>
  <c r="A566" i="51"/>
  <c r="A574" i="51" s="1"/>
  <c r="A582" i="51" s="1"/>
  <c r="A938" i="51"/>
  <c r="D938" i="51" s="1"/>
  <c r="A1186" i="51"/>
  <c r="A1194" i="51" s="1"/>
  <c r="D1194" i="51" s="1"/>
  <c r="A90" i="52"/>
  <c r="D90" i="52" s="1"/>
  <c r="A217" i="53"/>
  <c r="D217" i="53" s="1"/>
  <c r="A98" i="50"/>
  <c r="A106" i="50" s="1"/>
  <c r="D106" i="50" s="1"/>
  <c r="A158" i="50"/>
  <c r="A166" i="50" s="1"/>
  <c r="D166" i="50" s="1"/>
  <c r="A518" i="50"/>
  <c r="A526" i="50" s="1"/>
  <c r="D526" i="50" s="1"/>
  <c r="A318" i="51"/>
  <c r="A326" i="51" s="1"/>
  <c r="D326" i="51" s="1"/>
  <c r="A1062" i="51"/>
  <c r="D1062" i="51" s="1"/>
  <c r="A153" i="53"/>
  <c r="D153" i="53" s="1"/>
  <c r="A38" i="50"/>
  <c r="A46" i="50" s="1"/>
  <c r="D46" i="50" s="1"/>
  <c r="A338" i="50"/>
  <c r="A346" i="50" s="1"/>
  <c r="D346" i="50" s="1"/>
  <c r="A638" i="50"/>
  <c r="A646" i="50" s="1"/>
  <c r="D646" i="50" s="1"/>
  <c r="A194" i="51"/>
  <c r="A202" i="51" s="1"/>
  <c r="D202" i="51" s="1"/>
  <c r="A690" i="51"/>
  <c r="A698" i="51" s="1"/>
  <c r="D698" i="51" s="1"/>
  <c r="A1310" i="51"/>
  <c r="A1318" i="51" s="1"/>
  <c r="D1318" i="51" s="1"/>
  <c r="A314" i="52"/>
  <c r="D314" i="52" s="1"/>
  <c r="A57" i="53"/>
  <c r="D57" i="53" s="1"/>
  <c r="A64" i="49"/>
  <c r="D64" i="49" s="1"/>
  <c r="A104" i="49"/>
  <c r="D104" i="49" s="1"/>
  <c r="A186" i="52"/>
  <c r="D186" i="52" s="1"/>
  <c r="U9" i="22"/>
  <c r="U17" i="22"/>
  <c r="U25" i="22"/>
  <c r="U44" i="22"/>
  <c r="T56" i="22"/>
  <c r="U57" i="22"/>
  <c r="U59" i="22"/>
  <c r="U61" i="22"/>
  <c r="U63" i="22"/>
  <c r="U65" i="22"/>
  <c r="U67" i="22"/>
  <c r="A34" i="52"/>
  <c r="D34" i="52" s="1"/>
  <c r="A65" i="53"/>
  <c r="D65" i="53" s="1"/>
  <c r="A97" i="53"/>
  <c r="D97" i="53" s="1"/>
  <c r="A130" i="52"/>
  <c r="D130" i="52" s="1"/>
  <c r="A162" i="52"/>
  <c r="D162" i="52" s="1"/>
  <c r="A193" i="53"/>
  <c r="D193" i="53" s="1"/>
  <c r="A226" i="52"/>
  <c r="D226" i="52" s="1"/>
  <c r="A258" i="52"/>
  <c r="D258" i="52" s="1"/>
  <c r="A289" i="53"/>
  <c r="D289" i="53" s="1"/>
  <c r="T12" i="22"/>
  <c r="P10" i="49" s="1"/>
  <c r="T20" i="22"/>
  <c r="P18" i="49" s="1"/>
  <c r="T28" i="22"/>
  <c r="P26" i="49" s="1"/>
  <c r="E28" i="48"/>
  <c r="T32" i="22"/>
  <c r="P30" i="49" s="1"/>
  <c r="E54" i="37"/>
  <c r="J54" i="37" s="1"/>
  <c r="T54" i="22"/>
  <c r="U55" i="22"/>
  <c r="U56" i="22"/>
  <c r="U58" i="22"/>
  <c r="U60" i="22"/>
  <c r="U62" i="22"/>
  <c r="U64" i="22"/>
  <c r="U66" i="22"/>
  <c r="U68" i="22"/>
  <c r="U11" i="22"/>
  <c r="U19" i="22"/>
  <c r="U27" i="22"/>
  <c r="U31" i="22"/>
  <c r="E42" i="48"/>
  <c r="T46" i="22"/>
  <c r="P44" i="49" s="1"/>
  <c r="M49" i="38"/>
  <c r="T52" i="22"/>
  <c r="U53" i="22"/>
  <c r="U54" i="22"/>
  <c r="E16" i="48"/>
  <c r="E24" i="48"/>
  <c r="T35" i="22"/>
  <c r="P33" i="49" s="1"/>
  <c r="E45" i="37"/>
  <c r="J45" i="37" s="1"/>
  <c r="T39" i="22"/>
  <c r="P37" i="49" s="1"/>
  <c r="E49" i="37"/>
  <c r="J49" i="37" s="1"/>
  <c r="T50" i="22"/>
  <c r="U51" i="22"/>
  <c r="U52" i="22"/>
  <c r="K2" i="48"/>
  <c r="Z2" i="48" s="1"/>
  <c r="A5" i="52" s="1"/>
  <c r="D5" i="52" s="1"/>
  <c r="C7" i="38"/>
  <c r="A2" i="48"/>
  <c r="S2" i="48" s="1"/>
  <c r="B9" i="37"/>
  <c r="B9" i="39"/>
  <c r="T6" i="22"/>
  <c r="P4" i="49" s="1"/>
  <c r="A3" i="48"/>
  <c r="S3" i="48" s="1"/>
  <c r="B10" i="37"/>
  <c r="B10" i="39"/>
  <c r="T7" i="22"/>
  <c r="P5" i="49" s="1"/>
  <c r="K4" i="48"/>
  <c r="Z4" i="48" s="1"/>
  <c r="A21" i="52" s="1"/>
  <c r="D21" i="52" s="1"/>
  <c r="C9" i="38"/>
  <c r="A4" i="48"/>
  <c r="B11" i="37"/>
  <c r="B11" i="39"/>
  <c r="B10" i="38"/>
  <c r="B11" i="38"/>
  <c r="F6" i="48"/>
  <c r="K11" i="38"/>
  <c r="L13" i="39"/>
  <c r="O7" i="48"/>
  <c r="E12" i="38"/>
  <c r="F7" i="48"/>
  <c r="L14" i="39"/>
  <c r="K12" i="38"/>
  <c r="O8" i="48"/>
  <c r="B58" i="49" s="1"/>
  <c r="E58" i="49" s="1"/>
  <c r="E13" i="38"/>
  <c r="U13" i="22"/>
  <c r="T14" i="22"/>
  <c r="P12" i="49" s="1"/>
  <c r="K11" i="48"/>
  <c r="Z11" i="48" s="1"/>
  <c r="A77" i="52" s="1"/>
  <c r="D77" i="52" s="1"/>
  <c r="C16" i="38"/>
  <c r="A11" i="48"/>
  <c r="S11" i="48" s="1"/>
  <c r="B23" i="37"/>
  <c r="B18" i="39"/>
  <c r="E11" i="48"/>
  <c r="T15" i="22"/>
  <c r="P13" i="49" s="1"/>
  <c r="K12" i="48"/>
  <c r="Z12" i="48" s="1"/>
  <c r="A85" i="52" s="1"/>
  <c r="D85" i="52" s="1"/>
  <c r="C17" i="38"/>
  <c r="A12" i="48"/>
  <c r="S12" i="48" s="1"/>
  <c r="B24" i="37"/>
  <c r="B19" i="39"/>
  <c r="E19" i="39"/>
  <c r="B18" i="38"/>
  <c r="E20" i="39"/>
  <c r="B19" i="38"/>
  <c r="F14" i="48"/>
  <c r="K19" i="38"/>
  <c r="L21" i="39"/>
  <c r="O15" i="48"/>
  <c r="E20" i="38"/>
  <c r="F15" i="48"/>
  <c r="K20" i="38"/>
  <c r="L22" i="39"/>
  <c r="O16" i="48"/>
  <c r="B122" i="49" s="1"/>
  <c r="E122" i="49" s="1"/>
  <c r="E21" i="38"/>
  <c r="U21" i="22"/>
  <c r="G18" i="48"/>
  <c r="T22" i="22"/>
  <c r="P20" i="49" s="1"/>
  <c r="K19" i="48"/>
  <c r="Z19" i="48" s="1"/>
  <c r="A141" i="52" s="1"/>
  <c r="D141" i="52" s="1"/>
  <c r="C24" i="38"/>
  <c r="A19" i="48"/>
  <c r="S19" i="48" s="1"/>
  <c r="B31" i="37"/>
  <c r="B26" i="39"/>
  <c r="E19" i="48"/>
  <c r="T23" i="22"/>
  <c r="P21" i="49" s="1"/>
  <c r="K20" i="48"/>
  <c r="Z20" i="48" s="1"/>
  <c r="A149" i="52" s="1"/>
  <c r="D149" i="52" s="1"/>
  <c r="C25" i="38"/>
  <c r="A20" i="48"/>
  <c r="S20" i="48" s="1"/>
  <c r="B32" i="37"/>
  <c r="B27" i="39"/>
  <c r="E27" i="39"/>
  <c r="B26" i="38"/>
  <c r="M26" i="38"/>
  <c r="B27" i="38"/>
  <c r="F22" i="48"/>
  <c r="K27" i="38"/>
  <c r="L29" i="39"/>
  <c r="O23" i="48"/>
  <c r="E28" i="38"/>
  <c r="F23" i="48"/>
  <c r="K28" i="38"/>
  <c r="L30" i="39"/>
  <c r="O24" i="48"/>
  <c r="B186" i="49" s="1"/>
  <c r="E186" i="49" s="1"/>
  <c r="E29" i="38"/>
  <c r="U29" i="22"/>
  <c r="G26" i="48"/>
  <c r="B32" i="38"/>
  <c r="M32" i="38"/>
  <c r="B33" i="38"/>
  <c r="F28" i="48"/>
  <c r="K33" i="38"/>
  <c r="L35" i="39"/>
  <c r="U33" i="22"/>
  <c r="J35" i="38"/>
  <c r="B36" i="38"/>
  <c r="O32" i="48"/>
  <c r="B250" i="49" s="1"/>
  <c r="E250" i="49" s="1"/>
  <c r="E37" i="38"/>
  <c r="F32" i="48"/>
  <c r="K37" i="38"/>
  <c r="L39" i="39"/>
  <c r="O34" i="48"/>
  <c r="B266" i="49" s="1"/>
  <c r="E266" i="49" s="1"/>
  <c r="E39" i="38"/>
  <c r="J39" i="38"/>
  <c r="E41" i="39"/>
  <c r="E35" i="48"/>
  <c r="E36" i="48"/>
  <c r="T40" i="22"/>
  <c r="P38" i="49" s="1"/>
  <c r="K37" i="48"/>
  <c r="Z37" i="48" s="1"/>
  <c r="A285" i="52" s="1"/>
  <c r="D285" i="52" s="1"/>
  <c r="C42" i="38"/>
  <c r="A37" i="48"/>
  <c r="S37" i="48" s="1"/>
  <c r="B49" i="37"/>
  <c r="B44" i="39"/>
  <c r="E37" i="48"/>
  <c r="T41" i="22"/>
  <c r="P39" i="49" s="1"/>
  <c r="K38" i="48"/>
  <c r="Z38" i="48" s="1"/>
  <c r="A293" i="52" s="1"/>
  <c r="D293" i="52" s="1"/>
  <c r="C43" i="38"/>
  <c r="A38" i="48"/>
  <c r="S38" i="48" s="1"/>
  <c r="B50" i="37"/>
  <c r="T42" i="22"/>
  <c r="P40" i="49" s="1"/>
  <c r="E38" i="48"/>
  <c r="B45" i="39"/>
  <c r="U42" i="22"/>
  <c r="J43" i="38"/>
  <c r="K43" i="48"/>
  <c r="Z43" i="48" s="1"/>
  <c r="A333" i="52" s="1"/>
  <c r="D333" i="52" s="1"/>
  <c r="C48" i="38"/>
  <c r="A43" i="48"/>
  <c r="S43" i="48" s="1"/>
  <c r="B55" i="37"/>
  <c r="U47" i="22"/>
  <c r="B50" i="39"/>
  <c r="O45" i="48"/>
  <c r="E50" i="38"/>
  <c r="F45" i="48"/>
  <c r="K50" i="38"/>
  <c r="L52" i="39"/>
  <c r="K5" i="48"/>
  <c r="Z5" i="48" s="1"/>
  <c r="A29" i="52" s="1"/>
  <c r="D29" i="52" s="1"/>
  <c r="C10" i="38"/>
  <c r="A5" i="48"/>
  <c r="B17" i="37"/>
  <c r="B12" i="39"/>
  <c r="T9" i="22"/>
  <c r="P7" i="49" s="1"/>
  <c r="K6" i="48"/>
  <c r="Z6" i="48" s="1"/>
  <c r="A37" i="52" s="1"/>
  <c r="D37" i="52" s="1"/>
  <c r="C11" i="38"/>
  <c r="A6" i="48"/>
  <c r="B18" i="37"/>
  <c r="B13" i="39"/>
  <c r="B12" i="38"/>
  <c r="B13" i="38"/>
  <c r="F8" i="48"/>
  <c r="K13" i="38"/>
  <c r="L15" i="39"/>
  <c r="O9" i="48"/>
  <c r="E14" i="38"/>
  <c r="F9" i="48"/>
  <c r="K14" i="38"/>
  <c r="L16" i="39"/>
  <c r="O10" i="48"/>
  <c r="B74" i="49" s="1"/>
  <c r="E74" i="49" s="1"/>
  <c r="E15" i="38"/>
  <c r="K13" i="48"/>
  <c r="Z13" i="48" s="1"/>
  <c r="A93" i="52" s="1"/>
  <c r="D93" i="52" s="1"/>
  <c r="C18" i="38"/>
  <c r="A13" i="48"/>
  <c r="S13" i="48" s="1"/>
  <c r="B25" i="37"/>
  <c r="B20" i="39"/>
  <c r="E13" i="48"/>
  <c r="T17" i="22"/>
  <c r="P15" i="49" s="1"/>
  <c r="K14" i="48"/>
  <c r="Z14" i="48" s="1"/>
  <c r="A101" i="52" s="1"/>
  <c r="D101" i="52" s="1"/>
  <c r="C19" i="38"/>
  <c r="A14" i="48"/>
  <c r="S14" i="48" s="1"/>
  <c r="B26" i="37"/>
  <c r="B21" i="39"/>
  <c r="M19" i="38"/>
  <c r="B20" i="38"/>
  <c r="E27" i="37"/>
  <c r="J27" i="37" s="1"/>
  <c r="B21" i="38"/>
  <c r="F16" i="48"/>
  <c r="K21" i="38"/>
  <c r="L23" i="39"/>
  <c r="O17" i="48"/>
  <c r="E22" i="38"/>
  <c r="F17" i="48"/>
  <c r="K22" i="38"/>
  <c r="L24" i="39"/>
  <c r="O18" i="48"/>
  <c r="E23" i="38"/>
  <c r="K21" i="48"/>
  <c r="Z21" i="48" s="1"/>
  <c r="A157" i="52" s="1"/>
  <c r="D157" i="52" s="1"/>
  <c r="C26" i="38"/>
  <c r="A21" i="48"/>
  <c r="S21" i="48" s="1"/>
  <c r="B33" i="37"/>
  <c r="B28" i="39"/>
  <c r="E21" i="48"/>
  <c r="T25" i="22"/>
  <c r="P23" i="49" s="1"/>
  <c r="K22" i="48"/>
  <c r="Z22" i="48" s="1"/>
  <c r="A165" i="52" s="1"/>
  <c r="D165" i="52" s="1"/>
  <c r="C27" i="38"/>
  <c r="A22" i="48"/>
  <c r="S22" i="48" s="1"/>
  <c r="B34" i="37"/>
  <c r="B29" i="39"/>
  <c r="M27" i="38"/>
  <c r="B28" i="38"/>
  <c r="E35" i="37"/>
  <c r="J35" i="37" s="1"/>
  <c r="B29" i="38"/>
  <c r="F24" i="48"/>
  <c r="K29" i="38"/>
  <c r="L31" i="39"/>
  <c r="O25" i="48"/>
  <c r="E30" i="38"/>
  <c r="F25" i="48"/>
  <c r="K30" i="38"/>
  <c r="L32" i="39"/>
  <c r="O26" i="48"/>
  <c r="B202" i="49" s="1"/>
  <c r="E202" i="49" s="1"/>
  <c r="E31" i="38"/>
  <c r="T30" i="22"/>
  <c r="P28" i="49" s="1"/>
  <c r="K27" i="48"/>
  <c r="Z27" i="48" s="1"/>
  <c r="A205" i="52" s="1"/>
  <c r="D205" i="52" s="1"/>
  <c r="C32" i="38"/>
  <c r="A27" i="48"/>
  <c r="S27" i="48" s="1"/>
  <c r="B39" i="37"/>
  <c r="B34" i="39"/>
  <c r="E27" i="48"/>
  <c r="T31" i="22"/>
  <c r="P29" i="49" s="1"/>
  <c r="K28" i="48"/>
  <c r="Z28" i="48" s="1"/>
  <c r="A213" i="52" s="1"/>
  <c r="D213" i="52" s="1"/>
  <c r="C33" i="38"/>
  <c r="A28" i="48"/>
  <c r="S28" i="48" s="1"/>
  <c r="B40" i="37"/>
  <c r="B35" i="39"/>
  <c r="E35" i="39"/>
  <c r="O29" i="48"/>
  <c r="E34" i="38"/>
  <c r="F29" i="48"/>
  <c r="K34" i="38"/>
  <c r="L36" i="39"/>
  <c r="F30" i="48"/>
  <c r="K35" i="38"/>
  <c r="L37" i="39"/>
  <c r="K31" i="48"/>
  <c r="Z31" i="48" s="1"/>
  <c r="A237" i="52" s="1"/>
  <c r="D237" i="52" s="1"/>
  <c r="C36" i="38"/>
  <c r="A31" i="48"/>
  <c r="S31" i="48" s="1"/>
  <c r="B43" i="37"/>
  <c r="B38" i="39"/>
  <c r="U35" i="22"/>
  <c r="J36" i="38"/>
  <c r="B37" i="38"/>
  <c r="M37" i="38"/>
  <c r="B39" i="38"/>
  <c r="F34" i="48"/>
  <c r="K39" i="38"/>
  <c r="L41" i="39"/>
  <c r="K35" i="48"/>
  <c r="Z35" i="48" s="1"/>
  <c r="A269" i="52" s="1"/>
  <c r="D269" i="52" s="1"/>
  <c r="C40" i="38"/>
  <c r="A35" i="48"/>
  <c r="S35" i="48" s="1"/>
  <c r="B47" i="37"/>
  <c r="B42" i="39"/>
  <c r="O36" i="48"/>
  <c r="E41" i="38"/>
  <c r="F39" i="48"/>
  <c r="K44" i="38"/>
  <c r="L46" i="39"/>
  <c r="O40" i="48"/>
  <c r="B314" i="49" s="1"/>
  <c r="E314" i="49" s="1"/>
  <c r="E45" i="38"/>
  <c r="F40" i="48"/>
  <c r="K45" i="38"/>
  <c r="L47" i="39"/>
  <c r="O41" i="48"/>
  <c r="E46" i="38"/>
  <c r="F41" i="48"/>
  <c r="K46" i="38"/>
  <c r="L48" i="39"/>
  <c r="B49" i="38"/>
  <c r="K52" i="38"/>
  <c r="L54" i="39"/>
  <c r="K54" i="38"/>
  <c r="L56" i="39"/>
  <c r="K56" i="38"/>
  <c r="L58" i="39"/>
  <c r="K58" i="38"/>
  <c r="L60" i="39"/>
  <c r="O2" i="48"/>
  <c r="E7" i="38"/>
  <c r="F2" i="48"/>
  <c r="K7" i="38"/>
  <c r="L9" i="39"/>
  <c r="J7" i="38"/>
  <c r="Q70" i="22"/>
  <c r="E85" i="39" s="1"/>
  <c r="O3" i="48"/>
  <c r="E8" i="38"/>
  <c r="F3" i="48"/>
  <c r="L10" i="39"/>
  <c r="K8" i="38"/>
  <c r="O4" i="48"/>
  <c r="E9" i="38"/>
  <c r="K7" i="48"/>
  <c r="Z7" i="48" s="1"/>
  <c r="A45" i="52" s="1"/>
  <c r="D45" i="52" s="1"/>
  <c r="C12" i="38"/>
  <c r="A7" i="48"/>
  <c r="B19" i="37"/>
  <c r="B14" i="39"/>
  <c r="T11" i="22"/>
  <c r="P9" i="49" s="1"/>
  <c r="K8" i="48"/>
  <c r="Z8" i="48" s="1"/>
  <c r="A53" i="52" s="1"/>
  <c r="D53" i="52" s="1"/>
  <c r="C13" i="38"/>
  <c r="A8" i="48"/>
  <c r="S8" i="48" s="1"/>
  <c r="B20" i="37"/>
  <c r="B15" i="39"/>
  <c r="B14" i="38"/>
  <c r="B15" i="38"/>
  <c r="F10" i="48"/>
  <c r="K15" i="38"/>
  <c r="L17" i="39"/>
  <c r="O11" i="48"/>
  <c r="E16" i="38"/>
  <c r="F11" i="48"/>
  <c r="L18" i="39"/>
  <c r="K16" i="38"/>
  <c r="O12" i="48"/>
  <c r="B90" i="49" s="1"/>
  <c r="E90" i="49" s="1"/>
  <c r="E17" i="38"/>
  <c r="K15" i="48"/>
  <c r="Z15" i="48" s="1"/>
  <c r="A109" i="52" s="1"/>
  <c r="D109" i="52" s="1"/>
  <c r="C20" i="38"/>
  <c r="A15" i="48"/>
  <c r="S15" i="48" s="1"/>
  <c r="B27" i="37"/>
  <c r="B22" i="39"/>
  <c r="E15" i="48"/>
  <c r="T19" i="22"/>
  <c r="P17" i="49" s="1"/>
  <c r="K16" i="48"/>
  <c r="Z16" i="48" s="1"/>
  <c r="A117" i="52" s="1"/>
  <c r="D117" i="52" s="1"/>
  <c r="C21" i="38"/>
  <c r="A16" i="48"/>
  <c r="S16" i="48" s="1"/>
  <c r="B28" i="37"/>
  <c r="B23" i="39"/>
  <c r="E28" i="37"/>
  <c r="J28" i="37" s="1"/>
  <c r="B22" i="38"/>
  <c r="E24" i="39"/>
  <c r="B23" i="38"/>
  <c r="F18" i="48"/>
  <c r="L25" i="39"/>
  <c r="O19" i="48"/>
  <c r="E24" i="38"/>
  <c r="F19" i="48"/>
  <c r="K24" i="38"/>
  <c r="L26" i="39"/>
  <c r="O20" i="48"/>
  <c r="E25" i="38"/>
  <c r="K23" i="48"/>
  <c r="Z23" i="48" s="1"/>
  <c r="A173" i="52" s="1"/>
  <c r="D173" i="52" s="1"/>
  <c r="C28" i="38"/>
  <c r="A23" i="48"/>
  <c r="S23" i="48" s="1"/>
  <c r="B35" i="37"/>
  <c r="B30" i="39"/>
  <c r="E23" i="48"/>
  <c r="T27" i="22"/>
  <c r="P25" i="49" s="1"/>
  <c r="K24" i="48"/>
  <c r="Z24" i="48" s="1"/>
  <c r="A181" i="52" s="1"/>
  <c r="D181" i="52" s="1"/>
  <c r="C29" i="38"/>
  <c r="A24" i="48"/>
  <c r="S24" i="48" s="1"/>
  <c r="B36" i="37"/>
  <c r="B31" i="39"/>
  <c r="M29" i="38"/>
  <c r="B30" i="38"/>
  <c r="M30" i="38"/>
  <c r="B31" i="38"/>
  <c r="F26" i="48"/>
  <c r="K31" i="38"/>
  <c r="L33" i="39"/>
  <c r="B34" i="38"/>
  <c r="E40" i="34"/>
  <c r="B35" i="38"/>
  <c r="E42" i="37"/>
  <c r="J42" i="37" s="1"/>
  <c r="F31" i="48"/>
  <c r="K36" i="38"/>
  <c r="L38" i="39"/>
  <c r="K32" i="48"/>
  <c r="Z32" i="48" s="1"/>
  <c r="A245" i="52" s="1"/>
  <c r="D245" i="52" s="1"/>
  <c r="C37" i="38"/>
  <c r="A32" i="48"/>
  <c r="S32" i="48" s="1"/>
  <c r="B44" i="37"/>
  <c r="B39" i="39"/>
  <c r="T36" i="22"/>
  <c r="P34" i="49" s="1"/>
  <c r="E32" i="48"/>
  <c r="O33" i="48"/>
  <c r="E38" i="38"/>
  <c r="F33" i="48"/>
  <c r="K38" i="38"/>
  <c r="L40" i="39"/>
  <c r="J40" i="38"/>
  <c r="E47" i="37"/>
  <c r="J47" i="37" s="1"/>
  <c r="F38" i="48"/>
  <c r="K43" i="38"/>
  <c r="L45" i="39"/>
  <c r="O39" i="48"/>
  <c r="E44" i="38"/>
  <c r="B45" i="38"/>
  <c r="O42" i="48"/>
  <c r="B330" i="49" s="1"/>
  <c r="E330" i="49" s="1"/>
  <c r="E47" i="38"/>
  <c r="K44" i="48"/>
  <c r="Z44" i="48" s="1"/>
  <c r="A341" i="52" s="1"/>
  <c r="D341" i="52" s="1"/>
  <c r="C49" i="38"/>
  <c r="A44" i="48"/>
  <c r="S44" i="48" s="1"/>
  <c r="B56" i="37"/>
  <c r="E44" i="48"/>
  <c r="B51" i="39"/>
  <c r="T48" i="22"/>
  <c r="P46" i="49" s="1"/>
  <c r="J49" i="38"/>
  <c r="J50" i="38"/>
  <c r="E57" i="37"/>
  <c r="J57" i="37" s="1"/>
  <c r="J52" i="38"/>
  <c r="M52" i="38"/>
  <c r="J54" i="38"/>
  <c r="E56" i="39"/>
  <c r="J56" i="38"/>
  <c r="M56" i="38"/>
  <c r="J58" i="38"/>
  <c r="M58" i="38"/>
  <c r="B7" i="38"/>
  <c r="A12" i="52"/>
  <c r="D12" i="52" s="1"/>
  <c r="B8" i="38"/>
  <c r="B9" i="38"/>
  <c r="F4" i="48"/>
  <c r="K9" i="38"/>
  <c r="L11" i="39"/>
  <c r="O5" i="48"/>
  <c r="E10" i="38"/>
  <c r="F5" i="48"/>
  <c r="K10" i="38"/>
  <c r="L12" i="39"/>
  <c r="O6" i="48"/>
  <c r="E11" i="38"/>
  <c r="K9" i="48"/>
  <c r="Z9" i="48" s="1"/>
  <c r="A61" i="52" s="1"/>
  <c r="D61" i="52" s="1"/>
  <c r="C14" i="38"/>
  <c r="A9" i="48"/>
  <c r="S9" i="48" s="1"/>
  <c r="B21" i="37"/>
  <c r="B16" i="39"/>
  <c r="T13" i="22"/>
  <c r="P11" i="49" s="1"/>
  <c r="K10" i="48"/>
  <c r="Z10" i="48" s="1"/>
  <c r="A69" i="52" s="1"/>
  <c r="D69" i="52" s="1"/>
  <c r="C15" i="38"/>
  <c r="A10" i="48"/>
  <c r="S10" i="48" s="1"/>
  <c r="B22" i="37"/>
  <c r="B17" i="39"/>
  <c r="B16" i="38"/>
  <c r="B17" i="38"/>
  <c r="F12" i="48"/>
  <c r="K17" i="38"/>
  <c r="L19" i="39"/>
  <c r="O13" i="48"/>
  <c r="E18" i="38"/>
  <c r="F13" i="48"/>
  <c r="K18" i="38"/>
  <c r="L20" i="39"/>
  <c r="O14" i="48"/>
  <c r="B106" i="49" s="1"/>
  <c r="E106" i="49" s="1"/>
  <c r="E19" i="38"/>
  <c r="K17" i="48"/>
  <c r="Z17" i="48" s="1"/>
  <c r="A125" i="52" s="1"/>
  <c r="D125" i="52" s="1"/>
  <c r="C22" i="38"/>
  <c r="A17" i="48"/>
  <c r="S17" i="48" s="1"/>
  <c r="B29" i="37"/>
  <c r="B24" i="39"/>
  <c r="E17" i="48"/>
  <c r="T21" i="22"/>
  <c r="P19" i="49" s="1"/>
  <c r="K18" i="48"/>
  <c r="Z18" i="48" s="1"/>
  <c r="A133" i="52" s="1"/>
  <c r="D133" i="52" s="1"/>
  <c r="C23" i="38"/>
  <c r="A18" i="48"/>
  <c r="S18" i="48" s="1"/>
  <c r="B30" i="37"/>
  <c r="B25" i="39"/>
  <c r="E30" i="37"/>
  <c r="J30" i="37" s="1"/>
  <c r="B24" i="38"/>
  <c r="B25" i="38"/>
  <c r="F20" i="48"/>
  <c r="K25" i="38"/>
  <c r="L27" i="39"/>
  <c r="O21" i="48"/>
  <c r="E26" i="38"/>
  <c r="F21" i="48"/>
  <c r="K26" i="38"/>
  <c r="L28" i="39"/>
  <c r="O22" i="48"/>
  <c r="E27" i="38"/>
  <c r="K25" i="48"/>
  <c r="Z25" i="48" s="1"/>
  <c r="A189" i="52" s="1"/>
  <c r="D189" i="52" s="1"/>
  <c r="C30" i="38"/>
  <c r="A25" i="48"/>
  <c r="S25" i="48" s="1"/>
  <c r="B37" i="37"/>
  <c r="B32" i="39"/>
  <c r="E25" i="48"/>
  <c r="T29" i="22"/>
  <c r="P27" i="49" s="1"/>
  <c r="K26" i="48"/>
  <c r="Z26" i="48" s="1"/>
  <c r="A197" i="52" s="1"/>
  <c r="D197" i="52" s="1"/>
  <c r="C31" i="38"/>
  <c r="A26" i="48"/>
  <c r="S26" i="48" s="1"/>
  <c r="B38" i="37"/>
  <c r="B33" i="39"/>
  <c r="E38" i="37"/>
  <c r="J38" i="37" s="1"/>
  <c r="O27" i="48"/>
  <c r="E32" i="38"/>
  <c r="F27" i="48"/>
  <c r="K32" i="38"/>
  <c r="L34" i="39"/>
  <c r="O28" i="48"/>
  <c r="B218" i="49" s="1"/>
  <c r="E218" i="49" s="1"/>
  <c r="E33" i="38"/>
  <c r="K29" i="48"/>
  <c r="Z29" i="48" s="1"/>
  <c r="A221" i="52" s="1"/>
  <c r="D221" i="52" s="1"/>
  <c r="C34" i="38"/>
  <c r="A29" i="48"/>
  <c r="S29" i="48" s="1"/>
  <c r="B41" i="37"/>
  <c r="B36" i="39"/>
  <c r="E29" i="48"/>
  <c r="T33" i="22"/>
  <c r="P31" i="49" s="1"/>
  <c r="K30" i="48"/>
  <c r="Z30" i="48" s="1"/>
  <c r="A229" i="52" s="1"/>
  <c r="D229" i="52" s="1"/>
  <c r="C35" i="38"/>
  <c r="A30" i="48"/>
  <c r="S30" i="48" s="1"/>
  <c r="B42" i="37"/>
  <c r="B37" i="39"/>
  <c r="U34" i="22"/>
  <c r="E30" i="48"/>
  <c r="O31" i="48"/>
  <c r="E36" i="38"/>
  <c r="B38" i="38"/>
  <c r="O35" i="48"/>
  <c r="E40" i="38"/>
  <c r="F35" i="48"/>
  <c r="K40" i="38"/>
  <c r="L42" i="39"/>
  <c r="K36" i="48"/>
  <c r="Z36" i="48" s="1"/>
  <c r="A277" i="52" s="1"/>
  <c r="D277" i="52" s="1"/>
  <c r="C41" i="38"/>
  <c r="A36" i="48"/>
  <c r="S36" i="48" s="1"/>
  <c r="B48" i="37"/>
  <c r="B43" i="39"/>
  <c r="E43" i="39"/>
  <c r="B42" i="38"/>
  <c r="B43" i="38"/>
  <c r="B44" i="38"/>
  <c r="J44" i="38"/>
  <c r="J45" i="38"/>
  <c r="M45" i="38"/>
  <c r="J46" i="38"/>
  <c r="E48" i="39"/>
  <c r="B48" i="38"/>
  <c r="F44" i="48"/>
  <c r="K49" i="38"/>
  <c r="L51" i="39"/>
  <c r="O30" i="48"/>
  <c r="B234" i="49" s="1"/>
  <c r="E234" i="49" s="1"/>
  <c r="E35" i="38"/>
  <c r="K33" i="48"/>
  <c r="Z33" i="48" s="1"/>
  <c r="A253" i="52" s="1"/>
  <c r="D253" i="52" s="1"/>
  <c r="C38" i="38"/>
  <c r="A33" i="48"/>
  <c r="S33" i="48" s="1"/>
  <c r="B45" i="37"/>
  <c r="E33" i="48"/>
  <c r="T37" i="22"/>
  <c r="P35" i="49" s="1"/>
  <c r="K34" i="48"/>
  <c r="Z34" i="48" s="1"/>
  <c r="A261" i="52" s="1"/>
  <c r="D261" i="52" s="1"/>
  <c r="C39" i="38"/>
  <c r="A34" i="48"/>
  <c r="S34" i="48" s="1"/>
  <c r="B46" i="37"/>
  <c r="B40" i="38"/>
  <c r="B41" i="38"/>
  <c r="F36" i="48"/>
  <c r="K41" i="38"/>
  <c r="O37" i="48"/>
  <c r="E42" i="38"/>
  <c r="F37" i="48"/>
  <c r="K42" i="38"/>
  <c r="O38" i="48"/>
  <c r="B298" i="49" s="1"/>
  <c r="E298" i="49" s="1"/>
  <c r="E43" i="38"/>
  <c r="U43" i="22"/>
  <c r="E40" i="48"/>
  <c r="T44" i="22"/>
  <c r="P42" i="49" s="1"/>
  <c r="K41" i="48"/>
  <c r="Z41" i="48" s="1"/>
  <c r="A317" i="52" s="1"/>
  <c r="D317" i="52" s="1"/>
  <c r="C46" i="38"/>
  <c r="A41" i="48"/>
  <c r="S41" i="48" s="1"/>
  <c r="B53" i="37"/>
  <c r="E41" i="48"/>
  <c r="T45" i="22"/>
  <c r="P43" i="49" s="1"/>
  <c r="K42" i="48"/>
  <c r="Z42" i="48" s="1"/>
  <c r="A325" i="52" s="1"/>
  <c r="D325" i="52" s="1"/>
  <c r="C47" i="38"/>
  <c r="A42" i="48"/>
  <c r="S42" i="48" s="1"/>
  <c r="B54" i="37"/>
  <c r="B49" i="39"/>
  <c r="O43" i="48"/>
  <c r="E48" i="38"/>
  <c r="F43" i="48"/>
  <c r="K48" i="38"/>
  <c r="L50" i="39"/>
  <c r="O44" i="48"/>
  <c r="E49" i="38"/>
  <c r="K45" i="48"/>
  <c r="Z45" i="48" s="1"/>
  <c r="A349" i="52" s="1"/>
  <c r="D349" i="52" s="1"/>
  <c r="C50" i="38"/>
  <c r="A45" i="48"/>
  <c r="S45" i="48" s="1"/>
  <c r="B57" i="37"/>
  <c r="B52" i="39"/>
  <c r="E45" i="48"/>
  <c r="T49" i="22"/>
  <c r="P47" i="49" s="1"/>
  <c r="M51" i="38"/>
  <c r="T51" i="22"/>
  <c r="M53" i="38"/>
  <c r="T53" i="22"/>
  <c r="M55" i="38"/>
  <c r="T55" i="22"/>
  <c r="E59" i="39"/>
  <c r="T57" i="22"/>
  <c r="E61" i="39"/>
  <c r="T59" i="22"/>
  <c r="M61" i="38"/>
  <c r="T61" i="22"/>
  <c r="M63" i="38"/>
  <c r="T63" i="22"/>
  <c r="E67" i="39"/>
  <c r="T65" i="22"/>
  <c r="E69" i="39"/>
  <c r="T67" i="22"/>
  <c r="M69" i="38"/>
  <c r="I69" i="22"/>
  <c r="N69" i="22"/>
  <c r="T69" i="22"/>
  <c r="L44" i="39"/>
  <c r="L64" i="39"/>
  <c r="K60" i="38"/>
  <c r="L62" i="39"/>
  <c r="K64" i="38"/>
  <c r="L66" i="39"/>
  <c r="K68" i="38"/>
  <c r="L70" i="39"/>
  <c r="U69" i="22"/>
  <c r="L43" i="39"/>
  <c r="L55" i="39"/>
  <c r="B58" i="39"/>
  <c r="L63" i="39"/>
  <c r="B66" i="39"/>
  <c r="L71" i="39"/>
  <c r="M60" i="38"/>
  <c r="M62" i="38"/>
  <c r="E66" i="39"/>
  <c r="M66" i="38"/>
  <c r="E70" i="39"/>
  <c r="K69" i="22"/>
  <c r="M70" i="38" s="1"/>
  <c r="B41" i="39"/>
  <c r="L68" i="39"/>
  <c r="K39" i="48"/>
  <c r="Z39" i="48" s="1"/>
  <c r="A301" i="52" s="1"/>
  <c r="D301" i="52" s="1"/>
  <c r="C44" i="38"/>
  <c r="A39" i="48"/>
  <c r="S39" i="48" s="1"/>
  <c r="B51" i="37"/>
  <c r="E39" i="48"/>
  <c r="T43" i="22"/>
  <c r="P41" i="49" s="1"/>
  <c r="K40" i="48"/>
  <c r="Z40" i="48" s="1"/>
  <c r="A309" i="52" s="1"/>
  <c r="D309" i="52" s="1"/>
  <c r="C45" i="38"/>
  <c r="A40" i="48"/>
  <c r="S40" i="48" s="1"/>
  <c r="B52" i="37"/>
  <c r="B46" i="38"/>
  <c r="B47" i="38"/>
  <c r="F42" i="48"/>
  <c r="K47" i="38"/>
  <c r="L49" i="39"/>
  <c r="B50" i="38"/>
  <c r="K51" i="38"/>
  <c r="L53" i="39"/>
  <c r="K55" i="38"/>
  <c r="L57" i="39"/>
  <c r="K59" i="38"/>
  <c r="L61" i="39"/>
  <c r="K63" i="38"/>
  <c r="L65" i="39"/>
  <c r="K67" i="38"/>
  <c r="L69" i="39"/>
  <c r="H68" i="38"/>
  <c r="L69" i="22"/>
  <c r="M69" i="22" s="1"/>
  <c r="S69" i="22" s="1"/>
  <c r="B40" i="39"/>
  <c r="B48" i="39"/>
  <c r="L59" i="39"/>
  <c r="L67" i="39"/>
  <c r="A17" i="53"/>
  <c r="D17" i="53" s="1"/>
  <c r="A322" i="52"/>
  <c r="D322" i="52" s="1"/>
  <c r="A338" i="52"/>
  <c r="D338" i="52" s="1"/>
  <c r="A354" i="52"/>
  <c r="D354" i="52" s="1"/>
  <c r="A263" i="50"/>
  <c r="A271" i="50" s="1"/>
  <c r="D271" i="50" s="1"/>
  <c r="A293" i="50"/>
  <c r="A301" i="50" s="1"/>
  <c r="D301" i="50" s="1"/>
  <c r="A323" i="50"/>
  <c r="A331" i="50" s="1"/>
  <c r="D331" i="50" s="1"/>
  <c r="A623" i="50"/>
  <c r="A631" i="50" s="1"/>
  <c r="D631" i="50" s="1"/>
  <c r="A653" i="50"/>
  <c r="A661" i="50" s="1"/>
  <c r="D661" i="50" s="1"/>
  <c r="A1093" i="51"/>
  <c r="A1101" i="51" s="1"/>
  <c r="A1109" i="51" s="1"/>
  <c r="A184" i="49"/>
  <c r="D184" i="49" s="1"/>
  <c r="A224" i="49"/>
  <c r="D224" i="49" s="1"/>
  <c r="A232" i="49"/>
  <c r="D232" i="49" s="1"/>
  <c r="A272" i="49"/>
  <c r="D272" i="49" s="1"/>
  <c r="A129" i="53"/>
  <c r="D129" i="53" s="1"/>
  <c r="A337" i="53"/>
  <c r="D337" i="53" s="1"/>
  <c r="A443" i="50"/>
  <c r="A451" i="50" s="1"/>
  <c r="D451" i="50" s="1"/>
  <c r="A225" i="51"/>
  <c r="A233" i="51" s="1"/>
  <c r="A241" i="51" s="1"/>
  <c r="A1341" i="51"/>
  <c r="A1349" i="51" s="1"/>
  <c r="A1357" i="51" s="1"/>
  <c r="A40" i="49"/>
  <c r="D40" i="49" s="1"/>
  <c r="A128" i="49"/>
  <c r="D128" i="49" s="1"/>
  <c r="A168" i="49"/>
  <c r="D168" i="49" s="1"/>
  <c r="A304" i="49"/>
  <c r="D304" i="49" s="1"/>
  <c r="A312" i="49"/>
  <c r="D312" i="49" s="1"/>
  <c r="A209" i="53"/>
  <c r="D209" i="53" s="1"/>
  <c r="A305" i="53"/>
  <c r="D305" i="53" s="1"/>
  <c r="A473" i="51"/>
  <c r="A481" i="51" s="1"/>
  <c r="A489" i="51" s="1"/>
  <c r="A535" i="51"/>
  <c r="A543" i="51" s="1"/>
  <c r="A551" i="51" s="1"/>
  <c r="A597" i="51"/>
  <c r="A605" i="51" s="1"/>
  <c r="A613" i="51" s="1"/>
  <c r="A23" i="50"/>
  <c r="A31" i="50" s="1"/>
  <c r="D31" i="50" s="1"/>
  <c r="A113" i="50"/>
  <c r="A121" i="50" s="1"/>
  <c r="D121" i="50" s="1"/>
  <c r="A233" i="50"/>
  <c r="A241" i="50" s="1"/>
  <c r="D241" i="50" s="1"/>
  <c r="A413" i="50"/>
  <c r="A421" i="50" s="1"/>
  <c r="D421" i="50" s="1"/>
  <c r="A593" i="50"/>
  <c r="A601" i="50" s="1"/>
  <c r="D601" i="50" s="1"/>
  <c r="A101" i="51"/>
  <c r="A109" i="51" s="1"/>
  <c r="D109" i="51" s="1"/>
  <c r="A163" i="51"/>
  <c r="A171" i="51" s="1"/>
  <c r="A179" i="51" s="1"/>
  <c r="A411" i="51"/>
  <c r="A419" i="51" s="1"/>
  <c r="A427" i="51" s="1"/>
  <c r="A783" i="51"/>
  <c r="A791" i="51" s="1"/>
  <c r="D791" i="51" s="1"/>
  <c r="A1031" i="51"/>
  <c r="A1039" i="51" s="1"/>
  <c r="A1279" i="51"/>
  <c r="A1287" i="51" s="1"/>
  <c r="D1287" i="51" s="1"/>
  <c r="A24" i="49"/>
  <c r="D24" i="49" s="1"/>
  <c r="A48" i="49"/>
  <c r="D48" i="49" s="1"/>
  <c r="A88" i="49"/>
  <c r="D88" i="49" s="1"/>
  <c r="A112" i="49"/>
  <c r="D112" i="49" s="1"/>
  <c r="A152" i="49"/>
  <c r="D152" i="49" s="1"/>
  <c r="A240" i="49"/>
  <c r="D240" i="49" s="1"/>
  <c r="A248" i="49"/>
  <c r="D248" i="49" s="1"/>
  <c r="A288" i="49"/>
  <c r="D288" i="49" s="1"/>
  <c r="A296" i="49"/>
  <c r="D296" i="49" s="1"/>
  <c r="A352" i="49"/>
  <c r="D352" i="49" s="1"/>
  <c r="A10" i="52"/>
  <c r="D10" i="52" s="1"/>
  <c r="A50" i="52"/>
  <c r="D50" i="52" s="1"/>
  <c r="A82" i="52"/>
  <c r="D82" i="52" s="1"/>
  <c r="A114" i="52"/>
  <c r="D114" i="52" s="1"/>
  <c r="A146" i="52"/>
  <c r="D146" i="52" s="1"/>
  <c r="A178" i="52"/>
  <c r="D178" i="52" s="1"/>
  <c r="A210" i="52"/>
  <c r="D210" i="52" s="1"/>
  <c r="A242" i="52"/>
  <c r="D242" i="52" s="1"/>
  <c r="A274" i="52"/>
  <c r="D274" i="52" s="1"/>
  <c r="A33" i="53"/>
  <c r="D33" i="53" s="1"/>
  <c r="A49" i="53"/>
  <c r="D49" i="53" s="1"/>
  <c r="A161" i="53"/>
  <c r="D161" i="53" s="1"/>
  <c r="A225" i="53"/>
  <c r="D225" i="53" s="1"/>
  <c r="A273" i="53"/>
  <c r="D273" i="53" s="1"/>
  <c r="A8" i="50"/>
  <c r="A16" i="50" s="1"/>
  <c r="D16" i="50" s="1"/>
  <c r="A53" i="50"/>
  <c r="A61" i="50" s="1"/>
  <c r="D61" i="50" s="1"/>
  <c r="A203" i="50"/>
  <c r="A211" i="50" s="1"/>
  <c r="D211" i="50" s="1"/>
  <c r="A533" i="50"/>
  <c r="A541" i="50" s="1"/>
  <c r="D541" i="50" s="1"/>
  <c r="A563" i="50"/>
  <c r="A571" i="50" s="1"/>
  <c r="D571" i="50" s="1"/>
  <c r="A8" i="51"/>
  <c r="A16" i="51" s="1"/>
  <c r="A24" i="51" s="1"/>
  <c r="A349" i="51"/>
  <c r="D349" i="51" s="1"/>
  <c r="A721" i="51"/>
  <c r="A729" i="51" s="1"/>
  <c r="D729" i="51" s="1"/>
  <c r="A969" i="51"/>
  <c r="A977" i="51" s="1"/>
  <c r="A1217" i="51"/>
  <c r="A1225" i="51" s="1"/>
  <c r="A1233" i="51" s="1"/>
  <c r="A32" i="49"/>
  <c r="D32" i="49" s="1"/>
  <c r="A72" i="49"/>
  <c r="D72" i="49" s="1"/>
  <c r="A96" i="49"/>
  <c r="D96" i="49" s="1"/>
  <c r="A136" i="49"/>
  <c r="D136" i="49" s="1"/>
  <c r="A160" i="49"/>
  <c r="D160" i="49" s="1"/>
  <c r="A176" i="49"/>
  <c r="D176" i="49" s="1"/>
  <c r="A192" i="49"/>
  <c r="D192" i="49" s="1"/>
  <c r="A200" i="49"/>
  <c r="D200" i="49" s="1"/>
  <c r="A280" i="49"/>
  <c r="D280" i="49" s="1"/>
  <c r="A336" i="49"/>
  <c r="D336" i="49" s="1"/>
  <c r="A344" i="49"/>
  <c r="D344" i="49" s="1"/>
  <c r="A177" i="53"/>
  <c r="D177" i="53" s="1"/>
  <c r="A321" i="53"/>
  <c r="D321" i="53" s="1"/>
  <c r="A353" i="53"/>
  <c r="D353" i="53" s="1"/>
  <c r="A173" i="50"/>
  <c r="A181" i="50" s="1"/>
  <c r="D181" i="50" s="1"/>
  <c r="A353" i="50"/>
  <c r="A361" i="50" s="1"/>
  <c r="D361" i="50" s="1"/>
  <c r="A473" i="50"/>
  <c r="A481" i="50" s="1"/>
  <c r="D481" i="50" s="1"/>
  <c r="A287" i="51"/>
  <c r="A295" i="51" s="1"/>
  <c r="D295" i="51" s="1"/>
  <c r="A907" i="51"/>
  <c r="A915" i="51" s="1"/>
  <c r="A1155" i="51"/>
  <c r="A1163" i="51" s="1"/>
  <c r="A1171" i="51" s="1"/>
  <c r="A8" i="49"/>
  <c r="D8" i="49" s="1"/>
  <c r="A16" i="49"/>
  <c r="D16" i="49" s="1"/>
  <c r="A56" i="49"/>
  <c r="D56" i="49" s="1"/>
  <c r="A80" i="49"/>
  <c r="D80" i="49" s="1"/>
  <c r="A120" i="49"/>
  <c r="D120" i="49" s="1"/>
  <c r="A144" i="49"/>
  <c r="D144" i="49" s="1"/>
  <c r="A208" i="49"/>
  <c r="D208" i="49" s="1"/>
  <c r="A216" i="49"/>
  <c r="D216" i="49" s="1"/>
  <c r="A256" i="49"/>
  <c r="D256" i="49" s="1"/>
  <c r="A264" i="49"/>
  <c r="D264" i="49" s="1"/>
  <c r="A320" i="49"/>
  <c r="D320" i="49" s="1"/>
  <c r="A328" i="49"/>
  <c r="D328" i="49" s="1"/>
  <c r="A66" i="52"/>
  <c r="D66" i="52" s="1"/>
  <c r="A98" i="52"/>
  <c r="D98" i="52" s="1"/>
  <c r="A194" i="52"/>
  <c r="D194" i="52" s="1"/>
  <c r="A290" i="52"/>
  <c r="D290" i="52" s="1"/>
  <c r="A39" i="51"/>
  <c r="A47" i="51" s="1"/>
  <c r="D47" i="51" s="1"/>
  <c r="A18" i="52"/>
  <c r="D18" i="52" s="1"/>
  <c r="Z3" i="48"/>
  <c r="A13" i="52" s="1"/>
  <c r="D13" i="52" s="1"/>
  <c r="C8" i="38"/>
  <c r="A350" i="53"/>
  <c r="D350" i="53" s="1"/>
  <c r="A342" i="53"/>
  <c r="D342" i="53" s="1"/>
  <c r="A334" i="53"/>
  <c r="D334" i="53" s="1"/>
  <c r="A326" i="53"/>
  <c r="D326" i="53" s="1"/>
  <c r="A318" i="53"/>
  <c r="D318" i="53" s="1"/>
  <c r="A310" i="53"/>
  <c r="D310" i="53" s="1"/>
  <c r="A302" i="53"/>
  <c r="D302" i="53" s="1"/>
  <c r="A294" i="53"/>
  <c r="D294" i="53" s="1"/>
  <c r="A286" i="53"/>
  <c r="D286" i="53" s="1"/>
  <c r="A278" i="53"/>
  <c r="D278" i="53" s="1"/>
  <c r="A270" i="53"/>
  <c r="D270" i="53" s="1"/>
  <c r="A262" i="53"/>
  <c r="D262" i="53" s="1"/>
  <c r="A254" i="53"/>
  <c r="D254" i="53" s="1"/>
  <c r="A246" i="53"/>
  <c r="D246" i="53" s="1"/>
  <c r="A238" i="53"/>
  <c r="D238" i="53" s="1"/>
  <c r="A230" i="53"/>
  <c r="D230" i="53" s="1"/>
  <c r="A222" i="53"/>
  <c r="D222" i="53" s="1"/>
  <c r="A214" i="53"/>
  <c r="D214" i="53" s="1"/>
  <c r="A206" i="53"/>
  <c r="D206" i="53" s="1"/>
  <c r="A198" i="53"/>
  <c r="D198" i="53" s="1"/>
  <c r="A190" i="53"/>
  <c r="D190" i="53" s="1"/>
  <c r="A182" i="53"/>
  <c r="D182" i="53" s="1"/>
  <c r="A174" i="53"/>
  <c r="D174" i="53" s="1"/>
  <c r="A166" i="53"/>
  <c r="D166" i="53" s="1"/>
  <c r="A158" i="53"/>
  <c r="D158" i="53" s="1"/>
  <c r="A150" i="53"/>
  <c r="D150" i="53" s="1"/>
  <c r="A142" i="53"/>
  <c r="D142" i="53" s="1"/>
  <c r="A134" i="53"/>
  <c r="D134" i="53" s="1"/>
  <c r="A126" i="53"/>
  <c r="D126" i="53" s="1"/>
  <c r="A118" i="53"/>
  <c r="D118" i="53" s="1"/>
  <c r="A110" i="53"/>
  <c r="D110" i="53" s="1"/>
  <c r="A102" i="53"/>
  <c r="D102" i="53" s="1"/>
  <c r="A94" i="53"/>
  <c r="D94" i="53" s="1"/>
  <c r="A86" i="53"/>
  <c r="D86" i="53" s="1"/>
  <c r="A78" i="53"/>
  <c r="D78" i="53" s="1"/>
  <c r="A70" i="53"/>
  <c r="D70" i="53" s="1"/>
  <c r="A62" i="53"/>
  <c r="D62" i="53" s="1"/>
  <c r="A54" i="53"/>
  <c r="D54" i="53" s="1"/>
  <c r="A46" i="53"/>
  <c r="D46" i="53" s="1"/>
  <c r="A38" i="53"/>
  <c r="D38" i="53" s="1"/>
  <c r="A30" i="53"/>
  <c r="D30" i="53" s="1"/>
  <c r="A22" i="53"/>
  <c r="D22" i="53" s="1"/>
  <c r="A14" i="53"/>
  <c r="D14" i="53" s="1"/>
  <c r="A6" i="53"/>
  <c r="D6" i="53" s="1"/>
  <c r="B70" i="22"/>
  <c r="P35" i="22" l="1"/>
  <c r="P50" i="22"/>
  <c r="P45" i="22"/>
  <c r="P41" i="22"/>
  <c r="P37" i="22"/>
  <c r="P43" i="22"/>
  <c r="P47" i="22"/>
  <c r="P55" i="22"/>
  <c r="P56" i="22"/>
  <c r="P63" i="22"/>
  <c r="W63" i="22" s="1"/>
  <c r="P64" i="22"/>
  <c r="P27" i="22"/>
  <c r="P28" i="22"/>
  <c r="P34" i="22"/>
  <c r="P23" i="22"/>
  <c r="P24" i="22"/>
  <c r="P38" i="22"/>
  <c r="P31" i="22"/>
  <c r="P32" i="22"/>
  <c r="P44" i="22"/>
  <c r="P48" i="22"/>
  <c r="P51" i="22"/>
  <c r="P52" i="22"/>
  <c r="P59" i="22"/>
  <c r="W59" i="22" s="1"/>
  <c r="P60" i="22"/>
  <c r="P67" i="22"/>
  <c r="W67" i="22" s="1"/>
  <c r="P68" i="22"/>
  <c r="W68" i="22" s="1"/>
  <c r="P36" i="22"/>
  <c r="P39" i="22"/>
  <c r="P8" i="22"/>
  <c r="P17" i="22"/>
  <c r="P20" i="22"/>
  <c r="P53" i="22"/>
  <c r="P42" i="22"/>
  <c r="P25" i="22"/>
  <c r="P19" i="22"/>
  <c r="P66" i="22"/>
  <c r="P33" i="22"/>
  <c r="P29" i="22"/>
  <c r="P46" i="22"/>
  <c r="P12" i="22"/>
  <c r="P49" i="22"/>
  <c r="P6" i="22"/>
  <c r="P9" i="22"/>
  <c r="P13" i="22"/>
  <c r="P58" i="22"/>
  <c r="P54" i="22"/>
  <c r="P21" i="22"/>
  <c r="P26" i="22"/>
  <c r="P18" i="22"/>
  <c r="P15" i="22"/>
  <c r="P10" i="22"/>
  <c r="P62" i="22"/>
  <c r="P40" i="22"/>
  <c r="P16" i="22"/>
  <c r="P7" i="22"/>
  <c r="P57" i="22"/>
  <c r="W57" i="22" s="1"/>
  <c r="P30" i="22"/>
  <c r="P22" i="22"/>
  <c r="P11" i="22"/>
  <c r="P65" i="22"/>
  <c r="W65" i="22" s="1"/>
  <c r="P14" i="22"/>
  <c r="P61" i="22"/>
  <c r="W61" i="22" s="1"/>
  <c r="B6" i="48"/>
  <c r="Y6" i="48" s="1"/>
  <c r="S6" i="48"/>
  <c r="B41" i="49" s="1"/>
  <c r="E41" i="49" s="1"/>
  <c r="B7" i="48"/>
  <c r="Y7" i="48" s="1"/>
  <c r="S7" i="48"/>
  <c r="B49" i="49" s="1"/>
  <c r="E49" i="49" s="1"/>
  <c r="Q4" i="49"/>
  <c r="B5" i="48"/>
  <c r="Y5" i="48" s="1"/>
  <c r="S5" i="48"/>
  <c r="B33" i="49" s="1"/>
  <c r="E33" i="49" s="1"/>
  <c r="B4" i="48"/>
  <c r="Y4" i="48" s="1"/>
  <c r="S4" i="48"/>
  <c r="B25" i="49" s="1"/>
  <c r="E25" i="49" s="1"/>
  <c r="P15" i="52"/>
  <c r="O15" i="49"/>
  <c r="P15" i="53"/>
  <c r="P7" i="53"/>
  <c r="O7" i="49"/>
  <c r="P7" i="52"/>
  <c r="P13" i="53"/>
  <c r="O13" i="49"/>
  <c r="P13" i="52"/>
  <c r="P37" i="53"/>
  <c r="O37" i="53" s="1"/>
  <c r="O37" i="49"/>
  <c r="P37" i="52"/>
  <c r="P18" i="53"/>
  <c r="O18" i="49"/>
  <c r="P18" i="52"/>
  <c r="P32" i="52"/>
  <c r="O32" i="49"/>
  <c r="P32" i="53"/>
  <c r="P43" i="53"/>
  <c r="P43" i="52"/>
  <c r="O43" i="49"/>
  <c r="P35" i="53"/>
  <c r="O35" i="49"/>
  <c r="P35" i="52"/>
  <c r="P34" i="53"/>
  <c r="P34" i="52"/>
  <c r="O34" i="49"/>
  <c r="P40" i="53"/>
  <c r="P40" i="52"/>
  <c r="O40" i="49"/>
  <c r="P38" i="53"/>
  <c r="P38" i="52"/>
  <c r="O38" i="49"/>
  <c r="P44" i="53"/>
  <c r="P44" i="52"/>
  <c r="O44" i="49"/>
  <c r="P30" i="53"/>
  <c r="O30" i="49"/>
  <c r="P30" i="52"/>
  <c r="P10" i="52"/>
  <c r="O10" i="49"/>
  <c r="P10" i="53"/>
  <c r="P8" i="53"/>
  <c r="P8" i="52"/>
  <c r="O8" i="49"/>
  <c r="O47" i="49"/>
  <c r="P47" i="53"/>
  <c r="P47" i="52"/>
  <c r="P31" i="52"/>
  <c r="P31" i="53"/>
  <c r="O31" i="49"/>
  <c r="P27" i="53"/>
  <c r="O27" i="49"/>
  <c r="P27" i="52"/>
  <c r="P46" i="52"/>
  <c r="O46" i="49"/>
  <c r="P46" i="53"/>
  <c r="P25" i="53"/>
  <c r="P25" i="52"/>
  <c r="O25" i="49"/>
  <c r="P28" i="53"/>
  <c r="P28" i="52"/>
  <c r="O28" i="49"/>
  <c r="P23" i="53"/>
  <c r="P23" i="52"/>
  <c r="O23" i="49"/>
  <c r="P39" i="53"/>
  <c r="O39" i="49"/>
  <c r="P39" i="52"/>
  <c r="O20" i="49"/>
  <c r="P20" i="53"/>
  <c r="P20" i="52"/>
  <c r="P5" i="53"/>
  <c r="O5" i="49"/>
  <c r="P5" i="52"/>
  <c r="O4" i="49"/>
  <c r="R4" i="49" s="1"/>
  <c r="P4" i="52"/>
  <c r="P4" i="53"/>
  <c r="P33" i="53"/>
  <c r="P33" i="52"/>
  <c r="O33" i="49"/>
  <c r="P6" i="52"/>
  <c r="P6" i="53"/>
  <c r="O6" i="49"/>
  <c r="P16" i="53"/>
  <c r="O16" i="49"/>
  <c r="P16" i="52"/>
  <c r="P24" i="53"/>
  <c r="P24" i="52"/>
  <c r="O24" i="49"/>
  <c r="P45" i="52"/>
  <c r="P45" i="53"/>
  <c r="O45" i="49"/>
  <c r="O22" i="49"/>
  <c r="P22" i="53"/>
  <c r="P22" i="52"/>
  <c r="P41" i="53"/>
  <c r="P41" i="52"/>
  <c r="O41" i="49"/>
  <c r="P42" i="52"/>
  <c r="O42" i="49"/>
  <c r="P42" i="53"/>
  <c r="O19" i="49"/>
  <c r="P19" i="52"/>
  <c r="P19" i="53"/>
  <c r="P11" i="52"/>
  <c r="P11" i="53"/>
  <c r="O11" i="49"/>
  <c r="P17" i="53"/>
  <c r="P17" i="52"/>
  <c r="O17" i="49"/>
  <c r="P9" i="53"/>
  <c r="P9" i="52"/>
  <c r="O9" i="49"/>
  <c r="P29" i="53"/>
  <c r="O29" i="53" s="1"/>
  <c r="P29" i="52"/>
  <c r="O29" i="49"/>
  <c r="O21" i="49"/>
  <c r="P21" i="53"/>
  <c r="P21" i="52"/>
  <c r="P12" i="53"/>
  <c r="P12" i="52"/>
  <c r="O12" i="49"/>
  <c r="P26" i="52"/>
  <c r="P26" i="53"/>
  <c r="O26" i="49"/>
  <c r="P14" i="53"/>
  <c r="P14" i="52"/>
  <c r="P36" i="53"/>
  <c r="P36" i="52"/>
  <c r="O36" i="49"/>
  <c r="O14" i="49"/>
  <c r="Q7" i="49"/>
  <c r="Q6" i="49"/>
  <c r="G230" i="49"/>
  <c r="G342" i="49"/>
  <c r="Q47" i="49"/>
  <c r="G174" i="49"/>
  <c r="G334" i="49"/>
  <c r="G150" i="52"/>
  <c r="D68" i="50"/>
  <c r="D876" i="51"/>
  <c r="A644" i="51"/>
  <c r="A652" i="51" s="1"/>
  <c r="D652" i="51" s="1"/>
  <c r="D1256" i="51"/>
  <c r="D1000" i="51"/>
  <c r="D428" i="50"/>
  <c r="D608" i="50"/>
  <c r="D188" i="50"/>
  <c r="D503" i="50"/>
  <c r="D368" i="50"/>
  <c r="D548" i="50"/>
  <c r="D308" i="50"/>
  <c r="A675" i="51"/>
  <c r="D675" i="51" s="1"/>
  <c r="D248" i="50"/>
  <c r="J64" i="39"/>
  <c r="J1" i="38"/>
  <c r="X1" i="38" s="1"/>
  <c r="G6" i="54" s="1"/>
  <c r="Y69" i="22"/>
  <c r="B10" i="49"/>
  <c r="E10" i="49" s="1"/>
  <c r="H69" i="22"/>
  <c r="AB69" i="22" s="1"/>
  <c r="C68" i="39"/>
  <c r="K71" i="39"/>
  <c r="X41" i="48"/>
  <c r="J63" i="39"/>
  <c r="D65" i="39"/>
  <c r="K64" i="39"/>
  <c r="D67" i="39"/>
  <c r="E51" i="37"/>
  <c r="J51" i="37" s="1"/>
  <c r="D71" i="39"/>
  <c r="C63" i="39"/>
  <c r="C62" i="39"/>
  <c r="K67" i="39"/>
  <c r="K63" i="39"/>
  <c r="L64" i="38"/>
  <c r="F66" i="39"/>
  <c r="H66" i="39" s="1"/>
  <c r="F70" i="22"/>
  <c r="K5" i="39" s="1"/>
  <c r="A79" i="39" s="1"/>
  <c r="E28" i="39"/>
  <c r="J68" i="39"/>
  <c r="K68" i="39" s="1"/>
  <c r="D70" i="39"/>
  <c r="E18" i="39"/>
  <c r="J71" i="39"/>
  <c r="E6" i="48"/>
  <c r="X6" i="48" s="1"/>
  <c r="O69" i="22"/>
  <c r="L70" i="38"/>
  <c r="L51" i="38"/>
  <c r="D659" i="51"/>
  <c r="A388" i="51"/>
  <c r="A396" i="51" s="1"/>
  <c r="D64" i="39"/>
  <c r="X40" i="48"/>
  <c r="A7" i="38"/>
  <c r="J3" i="38" s="1"/>
  <c r="A8" i="34"/>
  <c r="J70" i="39"/>
  <c r="K70" i="39" s="1"/>
  <c r="J62" i="39"/>
  <c r="J54" i="39"/>
  <c r="D128" i="50"/>
  <c r="C64" i="39"/>
  <c r="D69" i="39"/>
  <c r="D61" i="39"/>
  <c r="K69" i="39"/>
  <c r="K65" i="39"/>
  <c r="A9" i="39"/>
  <c r="D83" i="50"/>
  <c r="J65" i="39"/>
  <c r="J69" i="39"/>
  <c r="J61" i="39"/>
  <c r="K61" i="39" s="1"/>
  <c r="C60" i="39"/>
  <c r="E3" i="48"/>
  <c r="X3" i="48" s="1"/>
  <c r="G318" i="52"/>
  <c r="G158" i="52"/>
  <c r="G271" i="53"/>
  <c r="G215" i="53"/>
  <c r="G118" i="49"/>
  <c r="G102" i="52"/>
  <c r="D1297" i="51"/>
  <c r="A1305" i="51"/>
  <c r="D1305" i="51" s="1"/>
  <c r="D1173" i="51"/>
  <c r="A1181" i="51"/>
  <c r="D1181" i="51" s="1"/>
  <c r="D1049" i="51"/>
  <c r="A1057" i="51"/>
  <c r="D1057" i="51" s="1"/>
  <c r="D925" i="51"/>
  <c r="A933" i="51"/>
  <c r="D933" i="51" s="1"/>
  <c r="D801" i="51"/>
  <c r="A809" i="51"/>
  <c r="D809" i="51" s="1"/>
  <c r="D739" i="51"/>
  <c r="A747" i="51"/>
  <c r="D747" i="51" s="1"/>
  <c r="D677" i="51"/>
  <c r="A685" i="51"/>
  <c r="D685" i="51" s="1"/>
  <c r="D615" i="51"/>
  <c r="A623" i="51"/>
  <c r="D623" i="51" s="1"/>
  <c r="D553" i="51"/>
  <c r="A561" i="51"/>
  <c r="D561" i="51" s="1"/>
  <c r="D491" i="51"/>
  <c r="A499" i="51"/>
  <c r="D499" i="51" s="1"/>
  <c r="D429" i="51"/>
  <c r="A437" i="51"/>
  <c r="D437" i="51" s="1"/>
  <c r="D119" i="51"/>
  <c r="A127" i="51"/>
  <c r="D127" i="51" s="1"/>
  <c r="D57" i="51"/>
  <c r="A65" i="51"/>
  <c r="D65" i="51" s="1"/>
  <c r="G135" i="53"/>
  <c r="G326" i="49"/>
  <c r="G38" i="49"/>
  <c r="D1359" i="51"/>
  <c r="A1367" i="51"/>
  <c r="D1367" i="51" s="1"/>
  <c r="D1235" i="51"/>
  <c r="A1243" i="51"/>
  <c r="D1243" i="51" s="1"/>
  <c r="D1111" i="51"/>
  <c r="A1119" i="51"/>
  <c r="D1119" i="51" s="1"/>
  <c r="D987" i="51"/>
  <c r="A995" i="51"/>
  <c r="D995" i="51" s="1"/>
  <c r="D863" i="51"/>
  <c r="A871" i="51"/>
  <c r="D871" i="51" s="1"/>
  <c r="G7" i="53"/>
  <c r="E10" i="37"/>
  <c r="J10" i="37" s="1"/>
  <c r="G15" i="53"/>
  <c r="G47" i="53"/>
  <c r="E9" i="48"/>
  <c r="X9" i="48" s="1"/>
  <c r="G21" i="48"/>
  <c r="R27" i="48"/>
  <c r="E4" i="48"/>
  <c r="X4" i="48" s="1"/>
  <c r="D628" i="51"/>
  <c r="D1248" i="51"/>
  <c r="D1132" i="51"/>
  <c r="D1124" i="51"/>
  <c r="W14" i="43"/>
  <c r="W15" i="43" s="1"/>
  <c r="W16" i="43" s="1"/>
  <c r="W17" i="43" s="1"/>
  <c r="W18" i="43" s="1"/>
  <c r="W19" i="43" s="1"/>
  <c r="W20" i="43" s="1"/>
  <c r="W21" i="43" s="1"/>
  <c r="W22" i="43" s="1"/>
  <c r="W23" i="43" s="1"/>
  <c r="W24" i="43" s="1"/>
  <c r="W25" i="43" s="1"/>
  <c r="W26" i="43" s="1"/>
  <c r="W27" i="43" s="1"/>
  <c r="W28" i="43" s="1"/>
  <c r="W29" i="43" s="1"/>
  <c r="W30" i="43" s="1"/>
  <c r="W31" i="43" s="1"/>
  <c r="W32" i="43" s="1"/>
  <c r="W33" i="43" s="1"/>
  <c r="W34" i="43" s="1"/>
  <c r="W35" i="43" s="1"/>
  <c r="W36" i="43" s="1"/>
  <c r="W37" i="43" s="1"/>
  <c r="W38" i="43" s="1"/>
  <c r="W39" i="43" s="1"/>
  <c r="W40" i="43" s="1"/>
  <c r="W41" i="43" s="1"/>
  <c r="W42" i="43" s="1"/>
  <c r="W43" i="43" s="1"/>
  <c r="W44" i="43" s="1"/>
  <c r="W45" i="43" s="1"/>
  <c r="W46" i="43" s="1"/>
  <c r="W47" i="43" s="1"/>
  <c r="W48" i="43" s="1"/>
  <c r="W49" i="43" s="1"/>
  <c r="W50" i="43" s="1"/>
  <c r="W51" i="43" s="1"/>
  <c r="W52" i="43" s="1"/>
  <c r="W53" i="43" s="1"/>
  <c r="W54" i="43" s="1"/>
  <c r="W55" i="43" s="1"/>
  <c r="W56" i="43" s="1"/>
  <c r="W57" i="43" s="1"/>
  <c r="W58" i="43" s="1"/>
  <c r="W59" i="43" s="1"/>
  <c r="W60" i="43" s="1"/>
  <c r="W61" i="43" s="1"/>
  <c r="W62" i="43" s="1"/>
  <c r="W63" i="43" s="1"/>
  <c r="W64" i="43" s="1"/>
  <c r="W65" i="43" s="1"/>
  <c r="W66" i="43" s="1"/>
  <c r="W67" i="43" s="1"/>
  <c r="W68" i="43" s="1"/>
  <c r="W69" i="43" s="1"/>
  <c r="W70" i="43" s="1"/>
  <c r="W71" i="43" s="1"/>
  <c r="W72" i="43" s="1"/>
  <c r="W73" i="43" s="1"/>
  <c r="W74" i="43" s="1"/>
  <c r="G263" i="53"/>
  <c r="F34" i="39"/>
  <c r="E7" i="48"/>
  <c r="X7" i="48" s="1"/>
  <c r="E60" i="39"/>
  <c r="G262" i="49"/>
  <c r="G24" i="48"/>
  <c r="X31" i="48"/>
  <c r="G998" i="51"/>
  <c r="G31" i="48"/>
  <c r="G262" i="52"/>
  <c r="L32" i="38"/>
  <c r="X33" i="48"/>
  <c r="E8" i="48"/>
  <c r="X8" i="48" s="1"/>
  <c r="A520" i="51"/>
  <c r="D520" i="51" s="1"/>
  <c r="D488" i="50"/>
  <c r="D845" i="51"/>
  <c r="D383" i="50"/>
  <c r="A861" i="51"/>
  <c r="A869" i="51" s="1"/>
  <c r="D869" i="51" s="1"/>
  <c r="D132" i="51"/>
  <c r="D140" i="51"/>
  <c r="G43" i="48"/>
  <c r="G175" i="53"/>
  <c r="X43" i="48"/>
  <c r="G46" i="49"/>
  <c r="E5" i="48"/>
  <c r="X5" i="48" s="1"/>
  <c r="E9" i="39"/>
  <c r="E42" i="39"/>
  <c r="G174" i="52"/>
  <c r="G46" i="52"/>
  <c r="G33" i="48"/>
  <c r="E23" i="39"/>
  <c r="E27" i="34"/>
  <c r="E10" i="48"/>
  <c r="X10" i="48" s="1"/>
  <c r="X23" i="48"/>
  <c r="G486" i="50"/>
  <c r="J12" i="39"/>
  <c r="J11" i="39"/>
  <c r="G302" i="52"/>
  <c r="G319" i="53"/>
  <c r="G222" i="52"/>
  <c r="G191" i="53"/>
  <c r="G246" i="49"/>
  <c r="G110" i="52"/>
  <c r="G206" i="52"/>
  <c r="G286" i="49"/>
  <c r="G71" i="53"/>
  <c r="G214" i="49"/>
  <c r="G119" i="53"/>
  <c r="G350" i="52"/>
  <c r="G31" i="53"/>
  <c r="G134" i="49"/>
  <c r="G79" i="53"/>
  <c r="G270" i="49"/>
  <c r="G327" i="53"/>
  <c r="G39" i="53"/>
  <c r="G102" i="49"/>
  <c r="G621" i="50"/>
  <c r="G151" i="53"/>
  <c r="G310" i="49"/>
  <c r="G62" i="49"/>
  <c r="G343" i="53"/>
  <c r="G94" i="49"/>
  <c r="G142" i="52"/>
  <c r="G182" i="52"/>
  <c r="G54" i="52"/>
  <c r="G255" i="53"/>
  <c r="G126" i="52"/>
  <c r="G198" i="52"/>
  <c r="G159" i="53"/>
  <c r="G295" i="53"/>
  <c r="G279" i="53"/>
  <c r="G68" i="51"/>
  <c r="G86" i="52"/>
  <c r="G166" i="52"/>
  <c r="G231" i="53"/>
  <c r="E2" i="48"/>
  <c r="X2" i="48" s="1"/>
  <c r="E29" i="37"/>
  <c r="J29" i="37" s="1"/>
  <c r="X12" i="48"/>
  <c r="E62" i="39"/>
  <c r="M44" i="38"/>
  <c r="M8" i="38"/>
  <c r="G214" i="52"/>
  <c r="M68" i="38"/>
  <c r="E53" i="37"/>
  <c r="J53" i="37" s="1"/>
  <c r="E9" i="34"/>
  <c r="G118" i="52"/>
  <c r="E12" i="39"/>
  <c r="M10" i="38"/>
  <c r="G294" i="49"/>
  <c r="M17" i="38"/>
  <c r="E31" i="37"/>
  <c r="J31" i="37" s="1"/>
  <c r="L68" i="38"/>
  <c r="M57" i="38"/>
  <c r="G278" i="49"/>
  <c r="G199" i="53"/>
  <c r="L62" i="38"/>
  <c r="G335" i="53"/>
  <c r="G27" i="48"/>
  <c r="E33" i="37"/>
  <c r="J33" i="37" s="1"/>
  <c r="G78" i="52"/>
  <c r="G276" i="50"/>
  <c r="G45" i="48"/>
  <c r="E32" i="34"/>
  <c r="G150" i="49"/>
  <c r="G564" i="51"/>
  <c r="G334" i="52"/>
  <c r="G37" i="48"/>
  <c r="G35" i="48"/>
  <c r="G246" i="52"/>
  <c r="E9" i="37"/>
  <c r="J9" i="37" s="1"/>
  <c r="G70" i="49"/>
  <c r="E56" i="37"/>
  <c r="J56" i="37" s="1"/>
  <c r="M54" i="38"/>
  <c r="E44" i="39"/>
  <c r="M18" i="38"/>
  <c r="E45" i="39"/>
  <c r="M64" i="38"/>
  <c r="E36" i="39"/>
  <c r="F62" i="39"/>
  <c r="H62" i="39" s="1"/>
  <c r="M25" i="38"/>
  <c r="M15" i="38"/>
  <c r="E20" i="48"/>
  <c r="X20" i="48" s="1"/>
  <c r="I69" i="38"/>
  <c r="L61" i="38"/>
  <c r="G206" i="49"/>
  <c r="G14" i="52"/>
  <c r="G207" i="53"/>
  <c r="E25" i="37"/>
  <c r="J25" i="37" s="1"/>
  <c r="M16" i="38"/>
  <c r="G14" i="49"/>
  <c r="F36" i="39"/>
  <c r="H36" i="39" s="1"/>
  <c r="E32" i="37"/>
  <c r="J32" i="37" s="1"/>
  <c r="G103" i="53"/>
  <c r="G70" i="52"/>
  <c r="G38" i="52"/>
  <c r="E8" i="34"/>
  <c r="G22" i="48"/>
  <c r="L69" i="38"/>
  <c r="L65" i="38"/>
  <c r="E64" i="39"/>
  <c r="G286" i="52"/>
  <c r="M36" i="38"/>
  <c r="E24" i="34"/>
  <c r="E23" i="37"/>
  <c r="J23" i="37" s="1"/>
  <c r="E31" i="34"/>
  <c r="E26" i="37"/>
  <c r="J26" i="37" s="1"/>
  <c r="G36" i="48"/>
  <c r="G6" i="48"/>
  <c r="F71" i="39"/>
  <c r="H71" i="39" s="1"/>
  <c r="G167" i="53"/>
  <c r="G28" i="48"/>
  <c r="X30" i="48"/>
  <c r="E68" i="39"/>
  <c r="G318" i="49"/>
  <c r="M46" i="38"/>
  <c r="G270" i="52"/>
  <c r="M22" i="38"/>
  <c r="G78" i="49"/>
  <c r="E71" i="39"/>
  <c r="M65" i="38"/>
  <c r="E65" i="39"/>
  <c r="M59" i="38"/>
  <c r="M39" i="38"/>
  <c r="E44" i="37"/>
  <c r="J44" i="37" s="1"/>
  <c r="G134" i="52"/>
  <c r="G32" i="48"/>
  <c r="G39" i="48"/>
  <c r="G127" i="53"/>
  <c r="E28" i="34"/>
  <c r="M67" i="38"/>
  <c r="E63" i="39"/>
  <c r="E53" i="39"/>
  <c r="G326" i="52"/>
  <c r="M43" i="38"/>
  <c r="E39" i="39"/>
  <c r="G23" i="48"/>
  <c r="G94" i="52"/>
  <c r="G6" i="49"/>
  <c r="X22" i="48"/>
  <c r="F64" i="39"/>
  <c r="H64" i="39" s="1"/>
  <c r="G1277" i="51"/>
  <c r="L67" i="38"/>
  <c r="L63" i="38"/>
  <c r="G350" i="49"/>
  <c r="E43" i="37"/>
  <c r="J43" i="37" s="1"/>
  <c r="G222" i="49"/>
  <c r="M34" i="38"/>
  <c r="G158" i="49"/>
  <c r="G143" i="53"/>
  <c r="E55" i="39"/>
  <c r="G294" i="52"/>
  <c r="G278" i="52"/>
  <c r="G247" i="53"/>
  <c r="G230" i="52"/>
  <c r="R29" i="48"/>
  <c r="E21" i="34"/>
  <c r="L59" i="38"/>
  <c r="G351" i="53"/>
  <c r="G223" i="53"/>
  <c r="E41" i="37"/>
  <c r="J41" i="37" s="1"/>
  <c r="G190" i="52"/>
  <c r="L58" i="38"/>
  <c r="G166" i="49"/>
  <c r="E18" i="37"/>
  <c r="J18" i="37" s="1"/>
  <c r="E26" i="48"/>
  <c r="X26" i="48" s="1"/>
  <c r="E13" i="39"/>
  <c r="G41" i="48"/>
  <c r="G190" i="49"/>
  <c r="L60" i="38"/>
  <c r="F60" i="39"/>
  <c r="H60" i="39" s="1"/>
  <c r="L34" i="38"/>
  <c r="A38" i="51"/>
  <c r="A46" i="51" s="1"/>
  <c r="I58" i="38"/>
  <c r="X25" i="48"/>
  <c r="B40" i="34"/>
  <c r="D40" i="34" s="1"/>
  <c r="C41" i="37"/>
  <c r="D41" i="37" s="1"/>
  <c r="H34" i="38"/>
  <c r="I34" i="38" s="1"/>
  <c r="C39" i="37"/>
  <c r="D39" i="37" s="1"/>
  <c r="H32" i="38"/>
  <c r="I32" i="38" s="1"/>
  <c r="B38" i="34"/>
  <c r="D38" i="34" s="1"/>
  <c r="E17" i="39"/>
  <c r="G8" i="48"/>
  <c r="G4" i="48"/>
  <c r="G10" i="48"/>
  <c r="X32" i="48"/>
  <c r="X24" i="48"/>
  <c r="E50" i="39"/>
  <c r="E30" i="34"/>
  <c r="G95" i="53"/>
  <c r="E17" i="37"/>
  <c r="J17" i="37" s="1"/>
  <c r="E49" i="39"/>
  <c r="E46" i="37"/>
  <c r="J46" i="37" s="1"/>
  <c r="E33" i="39"/>
  <c r="E24" i="37"/>
  <c r="J24" i="37" s="1"/>
  <c r="M48" i="38"/>
  <c r="E26" i="39"/>
  <c r="G63" i="53"/>
  <c r="G198" i="49"/>
  <c r="M31" i="38"/>
  <c r="G87" i="53"/>
  <c r="E23" i="34"/>
  <c r="G23" i="53"/>
  <c r="E14" i="48"/>
  <c r="X14" i="48" s="1"/>
  <c r="E21" i="37"/>
  <c r="J21" i="37" s="1"/>
  <c r="G38" i="48"/>
  <c r="A22" i="50"/>
  <c r="A30" i="50" s="1"/>
  <c r="D30" i="50" s="1"/>
  <c r="X29" i="48"/>
  <c r="X34" i="48"/>
  <c r="J60" i="39"/>
  <c r="X16" i="48"/>
  <c r="G874" i="51"/>
  <c r="G426" i="50"/>
  <c r="G310" i="52"/>
  <c r="M41" i="38"/>
  <c r="E11" i="39"/>
  <c r="E58" i="39"/>
  <c r="M40" i="38"/>
  <c r="E40" i="39"/>
  <c r="G111" i="53"/>
  <c r="G342" i="52"/>
  <c r="E52" i="37"/>
  <c r="J52" i="37" s="1"/>
  <c r="M33" i="38"/>
  <c r="E29" i="34"/>
  <c r="G44" i="48"/>
  <c r="G30" i="48"/>
  <c r="E39" i="37"/>
  <c r="J39" i="37" s="1"/>
  <c r="G30" i="49"/>
  <c r="E34" i="37"/>
  <c r="J34" i="37" s="1"/>
  <c r="G62" i="52"/>
  <c r="E18" i="48"/>
  <c r="X18" i="48" s="1"/>
  <c r="A15" i="49"/>
  <c r="D15" i="49" s="1"/>
  <c r="X28" i="48"/>
  <c r="H54" i="38"/>
  <c r="I54" i="38" s="1"/>
  <c r="F56" i="39"/>
  <c r="E52" i="39"/>
  <c r="M38" i="38"/>
  <c r="G30" i="52"/>
  <c r="M47" i="38"/>
  <c r="G311" i="53"/>
  <c r="E48" i="37"/>
  <c r="J48" i="37" s="1"/>
  <c r="E25" i="39"/>
  <c r="E20" i="37"/>
  <c r="J20" i="37" s="1"/>
  <c r="M9" i="38"/>
  <c r="X39" i="48"/>
  <c r="M50" i="38"/>
  <c r="G303" i="53"/>
  <c r="E34" i="39"/>
  <c r="E34" i="34"/>
  <c r="G142" i="49"/>
  <c r="G110" i="49"/>
  <c r="E26" i="34"/>
  <c r="E51" i="39"/>
  <c r="E47" i="39"/>
  <c r="E37" i="39"/>
  <c r="M23" i="38"/>
  <c r="G86" i="49"/>
  <c r="G22" i="49"/>
  <c r="E11" i="37"/>
  <c r="J11" i="37" s="1"/>
  <c r="G36" i="50"/>
  <c r="E37" i="37"/>
  <c r="J37" i="37" s="1"/>
  <c r="E36" i="37"/>
  <c r="J36" i="37" s="1"/>
  <c r="G22" i="52"/>
  <c r="G34" i="48"/>
  <c r="J56" i="39"/>
  <c r="X17" i="48"/>
  <c r="H56" i="38"/>
  <c r="I56" i="38" s="1"/>
  <c r="F58" i="39"/>
  <c r="L56" i="38"/>
  <c r="F55" i="39"/>
  <c r="L53" i="38"/>
  <c r="L52" i="38"/>
  <c r="F54" i="39"/>
  <c r="F59" i="39"/>
  <c r="L57" i="38"/>
  <c r="F57" i="39"/>
  <c r="L55" i="38"/>
  <c r="J57" i="39"/>
  <c r="C51" i="39"/>
  <c r="C56" i="39"/>
  <c r="J55" i="39"/>
  <c r="K55" i="39" s="1"/>
  <c r="G626" i="51"/>
  <c r="G306" i="50"/>
  <c r="J53" i="39"/>
  <c r="J47" i="39"/>
  <c r="J46" i="39"/>
  <c r="G126" i="49"/>
  <c r="M21" i="38"/>
  <c r="A16" i="53"/>
  <c r="D16" i="53" s="1"/>
  <c r="X15" i="48"/>
  <c r="G316" i="51"/>
  <c r="G156" i="50"/>
  <c r="G378" i="51"/>
  <c r="G186" i="50"/>
  <c r="A946" i="51"/>
  <c r="A954" i="51" s="1"/>
  <c r="A1070" i="51"/>
  <c r="D1070" i="51" s="1"/>
  <c r="D458" i="50"/>
  <c r="D218" i="50"/>
  <c r="D504" i="51"/>
  <c r="D638" i="50"/>
  <c r="D98" i="50"/>
  <c r="D194" i="51"/>
  <c r="D578" i="50"/>
  <c r="D605" i="51"/>
  <c r="D814" i="51"/>
  <c r="D411" i="51"/>
  <c r="D264" i="51"/>
  <c r="D1186" i="51"/>
  <c r="A1202" i="51"/>
  <c r="D1202" i="51" s="1"/>
  <c r="D969" i="51"/>
  <c r="D822" i="51"/>
  <c r="D158" i="50"/>
  <c r="A210" i="51"/>
  <c r="A218" i="51" s="1"/>
  <c r="D218" i="51" s="1"/>
  <c r="D256" i="51"/>
  <c r="D8" i="50"/>
  <c r="D907" i="51"/>
  <c r="D563" i="50"/>
  <c r="D173" i="50"/>
  <c r="D419" i="51"/>
  <c r="D760" i="51"/>
  <c r="D752" i="51"/>
  <c r="D1031" i="51"/>
  <c r="A334" i="51"/>
  <c r="A342" i="51" s="1"/>
  <c r="D342" i="51" s="1"/>
  <c r="D39" i="51"/>
  <c r="D566" i="51"/>
  <c r="D338" i="50"/>
  <c r="D143" i="50"/>
  <c r="D574" i="51"/>
  <c r="D398" i="50"/>
  <c r="A117" i="51"/>
  <c r="A125" i="51" s="1"/>
  <c r="D125" i="51" s="1"/>
  <c r="A1326" i="51"/>
  <c r="A1334" i="51" s="1"/>
  <c r="D1334" i="51" s="1"/>
  <c r="D278" i="50"/>
  <c r="D113" i="50"/>
  <c r="D442" i="51"/>
  <c r="D1341" i="51"/>
  <c r="D1349" i="51"/>
  <c r="D203" i="50"/>
  <c r="D481" i="51"/>
  <c r="A357" i="51"/>
  <c r="A365" i="51" s="1"/>
  <c r="A55" i="51"/>
  <c r="A63" i="51" s="1"/>
  <c r="D63" i="51" s="1"/>
  <c r="D473" i="51"/>
  <c r="D450" i="51"/>
  <c r="D101" i="51"/>
  <c r="D1217" i="51"/>
  <c r="D78" i="51"/>
  <c r="D225" i="51"/>
  <c r="D70" i="51"/>
  <c r="D593" i="50"/>
  <c r="D518" i="50"/>
  <c r="D353" i="50"/>
  <c r="G130" i="51"/>
  <c r="G66" i="50"/>
  <c r="D1163" i="51"/>
  <c r="D53" i="50"/>
  <c r="D690" i="51"/>
  <c r="A706" i="51"/>
  <c r="A714" i="51" s="1"/>
  <c r="D714" i="51" s="1"/>
  <c r="D38" i="50"/>
  <c r="D1093" i="51"/>
  <c r="D293" i="50"/>
  <c r="D473" i="50"/>
  <c r="D413" i="50"/>
  <c r="D1310" i="51"/>
  <c r="D597" i="51"/>
  <c r="D318" i="51"/>
  <c r="D653" i="50"/>
  <c r="D443" i="50"/>
  <c r="D323" i="50"/>
  <c r="D263" i="50"/>
  <c r="J67" i="39"/>
  <c r="D543" i="51"/>
  <c r="D533" i="50"/>
  <c r="D233" i="50"/>
  <c r="A303" i="51"/>
  <c r="A311" i="51" s="1"/>
  <c r="D311" i="51" s="1"/>
  <c r="G905" i="51"/>
  <c r="G441" i="50"/>
  <c r="G688" i="51"/>
  <c r="G336" i="50"/>
  <c r="G96" i="50"/>
  <c r="G192" i="51"/>
  <c r="D721" i="51"/>
  <c r="A737" i="51"/>
  <c r="D737" i="51" s="1"/>
  <c r="D171" i="51"/>
  <c r="F53" i="39"/>
  <c r="G287" i="53"/>
  <c r="M42" i="38"/>
  <c r="G254" i="49"/>
  <c r="G238" i="49"/>
  <c r="G29" i="48"/>
  <c r="G25" i="48"/>
  <c r="E30" i="39"/>
  <c r="E22" i="39"/>
  <c r="E20" i="34"/>
  <c r="M12" i="38"/>
  <c r="F70" i="39"/>
  <c r="G70" i="39" s="1"/>
  <c r="L66" i="38"/>
  <c r="E57" i="39"/>
  <c r="M35" i="38"/>
  <c r="E40" i="37"/>
  <c r="J40" i="37" s="1"/>
  <c r="G183" i="53"/>
  <c r="E35" i="34"/>
  <c r="E33" i="34"/>
  <c r="E25" i="34"/>
  <c r="G55" i="53"/>
  <c r="E19" i="34"/>
  <c r="E17" i="34"/>
  <c r="G6" i="52"/>
  <c r="H67" i="38"/>
  <c r="I67" i="38" s="1"/>
  <c r="H63" i="38"/>
  <c r="I63" i="38" s="1"/>
  <c r="H59" i="38"/>
  <c r="I59" i="38" s="1"/>
  <c r="G1029" i="51"/>
  <c r="G501" i="50"/>
  <c r="D1279" i="51"/>
  <c r="A1295" i="51"/>
  <c r="D1295" i="51" s="1"/>
  <c r="D623" i="50"/>
  <c r="E54" i="39"/>
  <c r="G302" i="49"/>
  <c r="G254" i="52"/>
  <c r="G239" i="53"/>
  <c r="E32" i="39"/>
  <c r="M28" i="38"/>
  <c r="G19" i="48"/>
  <c r="M20" i="38"/>
  <c r="E16" i="39"/>
  <c r="E19" i="37"/>
  <c r="J19" i="37" s="1"/>
  <c r="I68" i="38"/>
  <c r="F68" i="39"/>
  <c r="H68" i="39" s="1"/>
  <c r="E31" i="39"/>
  <c r="E29" i="39"/>
  <c r="E21" i="39"/>
  <c r="E15" i="39"/>
  <c r="X42" i="48"/>
  <c r="X45" i="48"/>
  <c r="G396" i="50"/>
  <c r="G812" i="51"/>
  <c r="G440" i="51"/>
  <c r="G216" i="50"/>
  <c r="D535" i="51"/>
  <c r="D287" i="51"/>
  <c r="D163" i="51"/>
  <c r="E14" i="39"/>
  <c r="G238" i="52"/>
  <c r="I66" i="38"/>
  <c r="L54" i="38"/>
  <c r="G182" i="49"/>
  <c r="G54" i="49"/>
  <c r="H65" i="38"/>
  <c r="I65" i="38" s="1"/>
  <c r="H61" i="38"/>
  <c r="I61" i="38" s="1"/>
  <c r="G1246" i="51"/>
  <c r="G606" i="50"/>
  <c r="B313" i="49"/>
  <c r="E313" i="49" s="1"/>
  <c r="D40" i="48"/>
  <c r="P40" i="48" s="1"/>
  <c r="R44" i="22" s="1"/>
  <c r="C40" i="48"/>
  <c r="W40" i="48" s="1"/>
  <c r="B310" i="52" s="1"/>
  <c r="E310" i="52" s="1"/>
  <c r="AB40" i="48"/>
  <c r="A314" i="49" s="1"/>
  <c r="D314" i="49" s="1"/>
  <c r="B40" i="48"/>
  <c r="Y40" i="48" s="1"/>
  <c r="J52" i="39"/>
  <c r="D52" i="39"/>
  <c r="G1184" i="51"/>
  <c r="G576" i="50"/>
  <c r="C33" i="48"/>
  <c r="AB33" i="48"/>
  <c r="A258" i="49" s="1"/>
  <c r="D258" i="49" s="1"/>
  <c r="B33" i="48"/>
  <c r="Y33" i="48" s="1"/>
  <c r="B257" i="49"/>
  <c r="E257" i="49" s="1"/>
  <c r="D33" i="48"/>
  <c r="P33" i="48" s="1"/>
  <c r="R37" i="22" s="1"/>
  <c r="A336" i="53"/>
  <c r="D336" i="53" s="1"/>
  <c r="A332" i="52"/>
  <c r="D332" i="52" s="1"/>
  <c r="A335" i="49"/>
  <c r="D335" i="49" s="1"/>
  <c r="A1278" i="51"/>
  <c r="A622" i="50"/>
  <c r="A304" i="53"/>
  <c r="D304" i="53" s="1"/>
  <c r="A303" i="49"/>
  <c r="D303" i="49" s="1"/>
  <c r="A300" i="52"/>
  <c r="D300" i="52" s="1"/>
  <c r="A1154" i="51"/>
  <c r="A562" i="50"/>
  <c r="A288" i="53"/>
  <c r="D288" i="53" s="1"/>
  <c r="A284" i="52"/>
  <c r="D284" i="52" s="1"/>
  <c r="A287" i="49"/>
  <c r="D287" i="49" s="1"/>
  <c r="A1092" i="51"/>
  <c r="A532" i="50"/>
  <c r="B274" i="49"/>
  <c r="E274" i="49" s="1"/>
  <c r="B233" i="49"/>
  <c r="E233" i="49" s="1"/>
  <c r="D30" i="48"/>
  <c r="P30" i="48" s="1"/>
  <c r="R34" i="22" s="1"/>
  <c r="C30" i="48"/>
  <c r="AB30" i="48"/>
  <c r="A234" i="49" s="1"/>
  <c r="D234" i="49" s="1"/>
  <c r="B30" i="48"/>
  <c r="B210" i="49"/>
  <c r="E210" i="49" s="1"/>
  <c r="B201" i="49"/>
  <c r="E201" i="49" s="1"/>
  <c r="D26" i="48"/>
  <c r="C26" i="48"/>
  <c r="AB26" i="48"/>
  <c r="A202" i="49" s="1"/>
  <c r="D202" i="49" s="1"/>
  <c r="B26" i="48"/>
  <c r="Y26" i="48" s="1"/>
  <c r="B162" i="49"/>
  <c r="E162" i="49" s="1"/>
  <c r="B137" i="49"/>
  <c r="E137" i="49" s="1"/>
  <c r="D18" i="48"/>
  <c r="C18" i="48"/>
  <c r="AB18" i="48"/>
  <c r="A138" i="49" s="1"/>
  <c r="D138" i="49" s="1"/>
  <c r="B18" i="48"/>
  <c r="Y18" i="48" s="1"/>
  <c r="B98" i="49"/>
  <c r="E98" i="49" s="1"/>
  <c r="AB10" i="48"/>
  <c r="A74" i="49" s="1"/>
  <c r="D74" i="49" s="1"/>
  <c r="B10" i="48"/>
  <c r="Y10" i="48" s="1"/>
  <c r="B73" i="49"/>
  <c r="E73" i="49" s="1"/>
  <c r="D10" i="48"/>
  <c r="C10" i="48"/>
  <c r="T6" i="38"/>
  <c r="T7" i="38" s="1"/>
  <c r="T8" i="38" s="1"/>
  <c r="T9" i="38" s="1"/>
  <c r="T10" i="38" s="1"/>
  <c r="T11" i="38" s="1"/>
  <c r="T12" i="38" s="1"/>
  <c r="T13" i="38" s="1"/>
  <c r="T14" i="38" s="1"/>
  <c r="T15" i="38" s="1"/>
  <c r="T16" i="38" s="1"/>
  <c r="T17" i="38" s="1"/>
  <c r="T18" i="38" s="1"/>
  <c r="T19" i="38" s="1"/>
  <c r="T20" i="38" s="1"/>
  <c r="T21" i="38" s="1"/>
  <c r="T22" i="38" s="1"/>
  <c r="T23" i="38" s="1"/>
  <c r="T24" i="38" s="1"/>
  <c r="T25" i="38" s="1"/>
  <c r="T26" i="38" s="1"/>
  <c r="T27" i="38" s="1"/>
  <c r="T28" i="38" s="1"/>
  <c r="T29" i="38" s="1"/>
  <c r="T30" i="38" s="1"/>
  <c r="T31" i="38" s="1"/>
  <c r="T32" i="38" s="1"/>
  <c r="T33" i="38" s="1"/>
  <c r="T34" i="38" s="1"/>
  <c r="T35" i="38" s="1"/>
  <c r="T36" i="38" s="1"/>
  <c r="T37" i="38" s="1"/>
  <c r="T38" i="38" s="1"/>
  <c r="T39" i="38" s="1"/>
  <c r="T40" i="38" s="1"/>
  <c r="T41" i="38" s="1"/>
  <c r="T42" i="38" s="1"/>
  <c r="T43" i="38" s="1"/>
  <c r="T44" i="38" s="1"/>
  <c r="T45" i="38" s="1"/>
  <c r="T46" i="38" s="1"/>
  <c r="T47" i="38" s="1"/>
  <c r="T48" i="38" s="1"/>
  <c r="T49" i="38" s="1"/>
  <c r="T50" i="38" s="1"/>
  <c r="T51" i="38" s="1"/>
  <c r="T52" i="38" s="1"/>
  <c r="T53" i="38" s="1"/>
  <c r="T54" i="38" s="1"/>
  <c r="T55" i="38" s="1"/>
  <c r="T56" i="38" s="1"/>
  <c r="T57" i="38" s="1"/>
  <c r="T58" i="38" s="1"/>
  <c r="T59" i="38" s="1"/>
  <c r="T60" i="38" s="1"/>
  <c r="T61" i="38" s="1"/>
  <c r="T62" i="38" s="1"/>
  <c r="T63" i="38" s="1"/>
  <c r="T64" i="38" s="1"/>
  <c r="T65" i="38" s="1"/>
  <c r="T66" i="38" s="1"/>
  <c r="T67" i="38" s="1"/>
  <c r="T68" i="38" s="1"/>
  <c r="T69" i="38" s="1"/>
  <c r="T70" i="38" s="1"/>
  <c r="J51" i="39"/>
  <c r="D51" i="39"/>
  <c r="B345" i="49"/>
  <c r="E345" i="49" s="1"/>
  <c r="D44" i="48"/>
  <c r="P44" i="48" s="1"/>
  <c r="R48" i="22" s="1"/>
  <c r="C44" i="48"/>
  <c r="W44" i="48" s="1"/>
  <c r="B342" i="52" s="1"/>
  <c r="E342" i="52" s="1"/>
  <c r="AB44" i="48"/>
  <c r="A346" i="49" s="1"/>
  <c r="D346" i="49" s="1"/>
  <c r="B44" i="48"/>
  <c r="Y44" i="48" s="1"/>
  <c r="G936" i="51"/>
  <c r="G456" i="50"/>
  <c r="A200" i="53"/>
  <c r="D200" i="53" s="1"/>
  <c r="A196" i="52"/>
  <c r="D196" i="52" s="1"/>
  <c r="A199" i="49"/>
  <c r="D199" i="49" s="1"/>
  <c r="A751" i="51"/>
  <c r="A367" i="50"/>
  <c r="B185" i="49"/>
  <c r="E185" i="49" s="1"/>
  <c r="D24" i="48"/>
  <c r="P24" i="48" s="1"/>
  <c r="R28" i="22" s="1"/>
  <c r="C24" i="48"/>
  <c r="AB24" i="48"/>
  <c r="A186" i="49" s="1"/>
  <c r="D186" i="49" s="1"/>
  <c r="B24" i="48"/>
  <c r="D22" i="39"/>
  <c r="J22" i="39"/>
  <c r="A72" i="53"/>
  <c r="D72" i="53" s="1"/>
  <c r="A68" i="52"/>
  <c r="D68" i="52" s="1"/>
  <c r="A71" i="49"/>
  <c r="D71" i="49" s="1"/>
  <c r="A255" i="51"/>
  <c r="A127" i="50"/>
  <c r="AB8" i="48"/>
  <c r="A58" i="49" s="1"/>
  <c r="D58" i="49" s="1"/>
  <c r="B8" i="48"/>
  <c r="Y8" i="48" s="1"/>
  <c r="B57" i="49"/>
  <c r="E57" i="49" s="1"/>
  <c r="D8" i="48"/>
  <c r="C8" i="48"/>
  <c r="J72" i="38"/>
  <c r="A264" i="53"/>
  <c r="D264" i="53" s="1"/>
  <c r="A260" i="52"/>
  <c r="D260" i="52" s="1"/>
  <c r="A263" i="49"/>
  <c r="D263" i="49" s="1"/>
  <c r="A999" i="51"/>
  <c r="A487" i="50"/>
  <c r="D38" i="39"/>
  <c r="J38" i="39"/>
  <c r="G781" i="51"/>
  <c r="G381" i="50"/>
  <c r="C27" i="48"/>
  <c r="AB27" i="48"/>
  <c r="A210" i="49" s="1"/>
  <c r="D210" i="49" s="1"/>
  <c r="B27" i="48"/>
  <c r="B209" i="49"/>
  <c r="E209" i="49" s="1"/>
  <c r="D27" i="48"/>
  <c r="P27" i="48" s="1"/>
  <c r="R31" i="22" s="1"/>
  <c r="B194" i="49"/>
  <c r="E194" i="49" s="1"/>
  <c r="A176" i="53"/>
  <c r="D176" i="53" s="1"/>
  <c r="A172" i="52"/>
  <c r="D172" i="52" s="1"/>
  <c r="A175" i="49"/>
  <c r="D175" i="49" s="1"/>
  <c r="A658" i="51"/>
  <c r="A322" i="50"/>
  <c r="G595" i="51"/>
  <c r="G291" i="50"/>
  <c r="C21" i="48"/>
  <c r="AB21" i="48"/>
  <c r="A162" i="49" s="1"/>
  <c r="D162" i="49" s="1"/>
  <c r="B21" i="48"/>
  <c r="Y21" i="48" s="1"/>
  <c r="B161" i="49"/>
  <c r="E161" i="49" s="1"/>
  <c r="D21" i="48"/>
  <c r="P21" i="48" s="1"/>
  <c r="R25" i="22" s="1"/>
  <c r="B130" i="49"/>
  <c r="E130" i="49" s="1"/>
  <c r="A112" i="53"/>
  <c r="D112" i="53" s="1"/>
  <c r="A111" i="49"/>
  <c r="D111" i="49" s="1"/>
  <c r="A108" i="52"/>
  <c r="D108" i="52" s="1"/>
  <c r="A410" i="51"/>
  <c r="A202" i="50"/>
  <c r="G347" i="51"/>
  <c r="G171" i="50"/>
  <c r="B97" i="49"/>
  <c r="E97" i="49" s="1"/>
  <c r="D13" i="48"/>
  <c r="P13" i="48" s="1"/>
  <c r="R17" i="22" s="1"/>
  <c r="C13" i="48"/>
  <c r="AB13" i="48"/>
  <c r="A98" i="49" s="1"/>
  <c r="D98" i="49" s="1"/>
  <c r="B13" i="48"/>
  <c r="Y13" i="48" s="1"/>
  <c r="A48" i="53"/>
  <c r="D48" i="53" s="1"/>
  <c r="A47" i="49"/>
  <c r="D47" i="49" s="1"/>
  <c r="A44" i="52"/>
  <c r="D44" i="52" s="1"/>
  <c r="A162" i="51"/>
  <c r="A82" i="50"/>
  <c r="G99" i="51"/>
  <c r="G51" i="50"/>
  <c r="D5" i="48"/>
  <c r="C5" i="48"/>
  <c r="AB5" i="48"/>
  <c r="A34" i="49" s="1"/>
  <c r="D34" i="49" s="1"/>
  <c r="G1091" i="51"/>
  <c r="G531" i="50"/>
  <c r="C37" i="48"/>
  <c r="AB37" i="48"/>
  <c r="A290" i="49" s="1"/>
  <c r="D290" i="49" s="1"/>
  <c r="B37" i="48"/>
  <c r="Y37" i="48" s="1"/>
  <c r="B289" i="49"/>
  <c r="E289" i="49" s="1"/>
  <c r="D37" i="48"/>
  <c r="P37" i="48" s="1"/>
  <c r="R41" i="22" s="1"/>
  <c r="X36" i="48"/>
  <c r="A236" i="52"/>
  <c r="D236" i="52" s="1"/>
  <c r="A240" i="53"/>
  <c r="D240" i="53" s="1"/>
  <c r="A239" i="49"/>
  <c r="D239" i="49" s="1"/>
  <c r="A906" i="51"/>
  <c r="A442" i="50"/>
  <c r="A168" i="53"/>
  <c r="D168" i="53" s="1"/>
  <c r="A167" i="49"/>
  <c r="D167" i="49" s="1"/>
  <c r="A164" i="52"/>
  <c r="D164" i="52" s="1"/>
  <c r="A627" i="51"/>
  <c r="A307" i="50"/>
  <c r="B153" i="49"/>
  <c r="E153" i="49" s="1"/>
  <c r="D20" i="48"/>
  <c r="C20" i="48"/>
  <c r="B20" i="48"/>
  <c r="Y20" i="48" s="1"/>
  <c r="AB20" i="48"/>
  <c r="A154" i="49" s="1"/>
  <c r="D154" i="49" s="1"/>
  <c r="X19" i="48"/>
  <c r="A104" i="53"/>
  <c r="D104" i="53" s="1"/>
  <c r="A103" i="49"/>
  <c r="D103" i="49" s="1"/>
  <c r="A100" i="52"/>
  <c r="D100" i="52" s="1"/>
  <c r="A379" i="51"/>
  <c r="A187" i="50"/>
  <c r="AB12" i="48"/>
  <c r="A90" i="49" s="1"/>
  <c r="D90" i="49" s="1"/>
  <c r="B12" i="48"/>
  <c r="Y12" i="48" s="1"/>
  <c r="B89" i="49"/>
  <c r="E89" i="49" s="1"/>
  <c r="D12" i="48"/>
  <c r="P12" i="48" s="1"/>
  <c r="R16" i="22" s="1"/>
  <c r="C12" i="48"/>
  <c r="X11" i="48"/>
  <c r="A40" i="53"/>
  <c r="D40" i="53" s="1"/>
  <c r="A36" i="52"/>
  <c r="D36" i="52" s="1"/>
  <c r="A39" i="49"/>
  <c r="D39" i="49" s="1"/>
  <c r="A131" i="51"/>
  <c r="A67" i="50"/>
  <c r="AB4" i="48"/>
  <c r="A26" i="49" s="1"/>
  <c r="D26" i="49" s="1"/>
  <c r="D4" i="48"/>
  <c r="C4" i="48"/>
  <c r="G6" i="51"/>
  <c r="G6" i="50"/>
  <c r="D2" i="48"/>
  <c r="C2" i="48"/>
  <c r="AB2" i="48"/>
  <c r="B2" i="48"/>
  <c r="Y2" i="48" s="1"/>
  <c r="A320" i="53"/>
  <c r="D320" i="53" s="1"/>
  <c r="A316" i="52"/>
  <c r="D316" i="52" s="1"/>
  <c r="A319" i="49"/>
  <c r="D319" i="49" s="1"/>
  <c r="A1216" i="51"/>
  <c r="A592" i="50"/>
  <c r="D66" i="39"/>
  <c r="C66" i="39"/>
  <c r="J66" i="39"/>
  <c r="K66" i="39" s="1"/>
  <c r="D58" i="39"/>
  <c r="C58" i="39"/>
  <c r="J58" i="39"/>
  <c r="K58" i="39" s="1"/>
  <c r="J49" i="39"/>
  <c r="D49" i="39"/>
  <c r="C41" i="48"/>
  <c r="AB41" i="48"/>
  <c r="A322" i="49" s="1"/>
  <c r="D322" i="49" s="1"/>
  <c r="B41" i="48"/>
  <c r="Y41" i="48" s="1"/>
  <c r="B321" i="49"/>
  <c r="E321" i="49" s="1"/>
  <c r="D41" i="48"/>
  <c r="P41" i="48" s="1"/>
  <c r="R45" i="22" s="1"/>
  <c r="A280" i="53"/>
  <c r="D280" i="53" s="1"/>
  <c r="A276" i="52"/>
  <c r="D276" i="52" s="1"/>
  <c r="A279" i="49"/>
  <c r="D279" i="49" s="1"/>
  <c r="A1061" i="51"/>
  <c r="A517" i="50"/>
  <c r="G967" i="51"/>
  <c r="G471" i="50"/>
  <c r="B281" i="49"/>
  <c r="E281" i="49" s="1"/>
  <c r="D36" i="48"/>
  <c r="P36" i="48" s="1"/>
  <c r="R40" i="22" s="1"/>
  <c r="C36" i="48"/>
  <c r="AB36" i="48"/>
  <c r="A282" i="49" s="1"/>
  <c r="D282" i="49" s="1"/>
  <c r="B36" i="48"/>
  <c r="Y36" i="48" s="1"/>
  <c r="A256" i="53"/>
  <c r="D256" i="53" s="1"/>
  <c r="A252" i="52"/>
  <c r="D252" i="52" s="1"/>
  <c r="A255" i="49"/>
  <c r="D255" i="49" s="1"/>
  <c r="A968" i="51"/>
  <c r="A472" i="50"/>
  <c r="J36" i="39"/>
  <c r="D36" i="39"/>
  <c r="C36" i="39"/>
  <c r="J32" i="39"/>
  <c r="D32" i="39"/>
  <c r="A152" i="53"/>
  <c r="D152" i="53" s="1"/>
  <c r="A148" i="52"/>
  <c r="D148" i="52" s="1"/>
  <c r="A151" i="49"/>
  <c r="D151" i="49" s="1"/>
  <c r="A277" i="50"/>
  <c r="A565" i="51"/>
  <c r="J24" i="39"/>
  <c r="D24" i="39"/>
  <c r="A88" i="53"/>
  <c r="D88" i="53" s="1"/>
  <c r="A84" i="52"/>
  <c r="D84" i="52" s="1"/>
  <c r="A87" i="49"/>
  <c r="D87" i="49" s="1"/>
  <c r="A317" i="51"/>
  <c r="A157" i="50"/>
  <c r="J16" i="39"/>
  <c r="D16" i="39"/>
  <c r="A24" i="53"/>
  <c r="D24" i="53" s="1"/>
  <c r="A20" i="52"/>
  <c r="D20" i="52" s="1"/>
  <c r="A23" i="49"/>
  <c r="D23" i="49" s="1"/>
  <c r="A69" i="51"/>
  <c r="A37" i="50"/>
  <c r="A8" i="53"/>
  <c r="D8" i="53" s="1"/>
  <c r="A4" i="52"/>
  <c r="D4" i="52" s="1"/>
  <c r="A7" i="49"/>
  <c r="D7" i="49" s="1"/>
  <c r="A7" i="51"/>
  <c r="A7" i="50"/>
  <c r="X44" i="48"/>
  <c r="A312" i="53"/>
  <c r="D312" i="53" s="1"/>
  <c r="A308" i="52"/>
  <c r="D308" i="52" s="1"/>
  <c r="A311" i="49"/>
  <c r="D311" i="49" s="1"/>
  <c r="A1185" i="51"/>
  <c r="A577" i="50"/>
  <c r="J39" i="39"/>
  <c r="D39" i="39"/>
  <c r="D30" i="39"/>
  <c r="J30" i="39"/>
  <c r="B154" i="49"/>
  <c r="E154" i="49" s="1"/>
  <c r="J23" i="39"/>
  <c r="D23" i="39"/>
  <c r="B82" i="49"/>
  <c r="E82" i="49" s="1"/>
  <c r="D14" i="39"/>
  <c r="J14" i="39"/>
  <c r="B26" i="49"/>
  <c r="E26" i="49" s="1"/>
  <c r="B322" i="49"/>
  <c r="E322" i="49" s="1"/>
  <c r="C35" i="48"/>
  <c r="W35" i="48" s="1"/>
  <c r="B270" i="52" s="1"/>
  <c r="E270" i="52" s="1"/>
  <c r="AB35" i="48"/>
  <c r="A274" i="49" s="1"/>
  <c r="D274" i="49" s="1"/>
  <c r="B35" i="48"/>
  <c r="Y35" i="48" s="1"/>
  <c r="B273" i="49"/>
  <c r="E273" i="49" s="1"/>
  <c r="D35" i="48"/>
  <c r="P35" i="48" s="1"/>
  <c r="R39" i="22" s="1"/>
  <c r="B226" i="49"/>
  <c r="E226" i="49" s="1"/>
  <c r="B217" i="49"/>
  <c r="E217" i="49" s="1"/>
  <c r="D28" i="48"/>
  <c r="P28" i="48" s="1"/>
  <c r="R32" i="22" s="1"/>
  <c r="C28" i="48"/>
  <c r="AB28" i="48"/>
  <c r="A218" i="49" s="1"/>
  <c r="D218" i="49" s="1"/>
  <c r="B28" i="48"/>
  <c r="Y28" i="48" s="1"/>
  <c r="X27" i="48"/>
  <c r="A184" i="53"/>
  <c r="D184" i="53" s="1"/>
  <c r="A180" i="52"/>
  <c r="D180" i="52" s="1"/>
  <c r="A183" i="49"/>
  <c r="D183" i="49" s="1"/>
  <c r="A689" i="51"/>
  <c r="A337" i="50"/>
  <c r="B169" i="49"/>
  <c r="E169" i="49" s="1"/>
  <c r="D22" i="48"/>
  <c r="P22" i="48" s="1"/>
  <c r="R26" i="22" s="1"/>
  <c r="C22" i="48"/>
  <c r="AB22" i="48"/>
  <c r="A170" i="49" s="1"/>
  <c r="D170" i="49" s="1"/>
  <c r="B22" i="48"/>
  <c r="Y22" i="48" s="1"/>
  <c r="X21" i="48"/>
  <c r="A120" i="53"/>
  <c r="D120" i="53" s="1"/>
  <c r="A116" i="52"/>
  <c r="D116" i="52" s="1"/>
  <c r="A119" i="49"/>
  <c r="D119" i="49" s="1"/>
  <c r="A441" i="51"/>
  <c r="A217" i="50"/>
  <c r="AB14" i="48"/>
  <c r="A106" i="49" s="1"/>
  <c r="D106" i="49" s="1"/>
  <c r="B14" i="48"/>
  <c r="Y14" i="48" s="1"/>
  <c r="B105" i="49"/>
  <c r="E105" i="49" s="1"/>
  <c r="D14" i="48"/>
  <c r="C14" i="48"/>
  <c r="X13" i="48"/>
  <c r="A56" i="53"/>
  <c r="D56" i="53" s="1"/>
  <c r="A52" i="52"/>
  <c r="D52" i="52" s="1"/>
  <c r="A55" i="49"/>
  <c r="D55" i="49" s="1"/>
  <c r="A193" i="51"/>
  <c r="A97" i="50"/>
  <c r="AB6" i="48"/>
  <c r="A42" i="49" s="1"/>
  <c r="D42" i="49" s="1"/>
  <c r="D6" i="48"/>
  <c r="C6" i="48"/>
  <c r="B354" i="49"/>
  <c r="E354" i="49" s="1"/>
  <c r="D50" i="39"/>
  <c r="J50" i="39"/>
  <c r="K50" i="39" s="1"/>
  <c r="C43" i="48"/>
  <c r="AB43" i="48"/>
  <c r="A338" i="49" s="1"/>
  <c r="D338" i="49" s="1"/>
  <c r="B43" i="48"/>
  <c r="Y43" i="48" s="1"/>
  <c r="B337" i="49"/>
  <c r="E337" i="49" s="1"/>
  <c r="D43" i="48"/>
  <c r="P43" i="48" s="1"/>
  <c r="R47" i="22" s="1"/>
  <c r="J45" i="39"/>
  <c r="D45" i="39"/>
  <c r="B297" i="49"/>
  <c r="E297" i="49" s="1"/>
  <c r="D38" i="48"/>
  <c r="P38" i="48" s="1"/>
  <c r="R42" i="22" s="1"/>
  <c r="C38" i="48"/>
  <c r="AB38" i="48"/>
  <c r="A298" i="49" s="1"/>
  <c r="D298" i="49" s="1"/>
  <c r="B38" i="48"/>
  <c r="Y38" i="48" s="1"/>
  <c r="X37" i="48"/>
  <c r="X35" i="48"/>
  <c r="A208" i="53"/>
  <c r="D208" i="53" s="1"/>
  <c r="A204" i="52"/>
  <c r="D204" i="52" s="1"/>
  <c r="A207" i="49"/>
  <c r="D207" i="49" s="1"/>
  <c r="A782" i="51"/>
  <c r="A382" i="50"/>
  <c r="D26" i="39"/>
  <c r="J26" i="39"/>
  <c r="D18" i="39"/>
  <c r="J18" i="39"/>
  <c r="B50" i="49"/>
  <c r="E50" i="49" s="1"/>
  <c r="D10" i="39"/>
  <c r="J10" i="39"/>
  <c r="J48" i="39"/>
  <c r="K48" i="39" s="1"/>
  <c r="D48" i="39"/>
  <c r="A352" i="53"/>
  <c r="D352" i="53" s="1"/>
  <c r="A348" i="52"/>
  <c r="D348" i="52" s="1"/>
  <c r="A351" i="49"/>
  <c r="D351" i="49" s="1"/>
  <c r="A1340" i="51"/>
  <c r="A652" i="50"/>
  <c r="C39" i="48"/>
  <c r="AB39" i="48"/>
  <c r="A306" i="49" s="1"/>
  <c r="D306" i="49" s="1"/>
  <c r="B39" i="48"/>
  <c r="Y39" i="48" s="1"/>
  <c r="B305" i="49"/>
  <c r="E305" i="49" s="1"/>
  <c r="D39" i="48"/>
  <c r="P39" i="48" s="1"/>
  <c r="R43" i="22" s="1"/>
  <c r="J41" i="39"/>
  <c r="D41" i="39"/>
  <c r="G651" i="50"/>
  <c r="G1339" i="51"/>
  <c r="C45" i="48"/>
  <c r="AB45" i="48"/>
  <c r="A354" i="49" s="1"/>
  <c r="D354" i="49" s="1"/>
  <c r="B45" i="48"/>
  <c r="Y45" i="48" s="1"/>
  <c r="B353" i="49"/>
  <c r="E353" i="49" s="1"/>
  <c r="D45" i="48"/>
  <c r="P45" i="48" s="1"/>
  <c r="R49" i="22" s="1"/>
  <c r="B346" i="49"/>
  <c r="E346" i="49" s="1"/>
  <c r="B338" i="49"/>
  <c r="E338" i="49" s="1"/>
  <c r="G1215" i="51"/>
  <c r="G591" i="50"/>
  <c r="B265" i="49"/>
  <c r="E265" i="49" s="1"/>
  <c r="D34" i="48"/>
  <c r="P34" i="48" s="1"/>
  <c r="R38" i="22" s="1"/>
  <c r="C34" i="48"/>
  <c r="AB34" i="48"/>
  <c r="A266" i="49" s="1"/>
  <c r="D266" i="49" s="1"/>
  <c r="B34" i="48"/>
  <c r="Y34" i="48" s="1"/>
  <c r="A296" i="53"/>
  <c r="D296" i="53" s="1"/>
  <c r="A295" i="49"/>
  <c r="D295" i="49" s="1"/>
  <c r="A292" i="52"/>
  <c r="D292" i="52" s="1"/>
  <c r="A547" i="50"/>
  <c r="A1123" i="51"/>
  <c r="J37" i="39"/>
  <c r="D37" i="39"/>
  <c r="J33" i="39"/>
  <c r="D33" i="39"/>
  <c r="J25" i="39"/>
  <c r="D25" i="39"/>
  <c r="J17" i="39"/>
  <c r="D17" i="39"/>
  <c r="B34" i="49"/>
  <c r="E34" i="49" s="1"/>
  <c r="B258" i="49"/>
  <c r="E258" i="49" s="1"/>
  <c r="A224" i="53"/>
  <c r="D224" i="53" s="1"/>
  <c r="A220" i="52"/>
  <c r="D220" i="52" s="1"/>
  <c r="A223" i="49"/>
  <c r="D223" i="49" s="1"/>
  <c r="A844" i="51"/>
  <c r="A412" i="50"/>
  <c r="J31" i="39"/>
  <c r="D31" i="39"/>
  <c r="B146" i="49"/>
  <c r="E146" i="49" s="1"/>
  <c r="A128" i="53"/>
  <c r="D128" i="53" s="1"/>
  <c r="A124" i="52"/>
  <c r="D124" i="52" s="1"/>
  <c r="A127" i="49"/>
  <c r="D127" i="49" s="1"/>
  <c r="A472" i="51"/>
  <c r="A232" i="50"/>
  <c r="G409" i="51"/>
  <c r="G201" i="50"/>
  <c r="B113" i="49"/>
  <c r="E113" i="49" s="1"/>
  <c r="D15" i="48"/>
  <c r="P15" i="48" s="1"/>
  <c r="R19" i="22" s="1"/>
  <c r="C15" i="48"/>
  <c r="AB15" i="48"/>
  <c r="A114" i="49" s="1"/>
  <c r="D114" i="49" s="1"/>
  <c r="B15" i="48"/>
  <c r="Y15" i="48" s="1"/>
  <c r="J15" i="39"/>
  <c r="D15" i="39"/>
  <c r="B18" i="49"/>
  <c r="E18" i="49" s="1"/>
  <c r="B282" i="49"/>
  <c r="E282" i="49" s="1"/>
  <c r="C31" i="48"/>
  <c r="AB31" i="48"/>
  <c r="A242" i="49" s="1"/>
  <c r="D242" i="49" s="1"/>
  <c r="B31" i="48"/>
  <c r="Y31" i="48" s="1"/>
  <c r="B241" i="49"/>
  <c r="E241" i="49" s="1"/>
  <c r="D31" i="48"/>
  <c r="P31" i="48" s="1"/>
  <c r="R35" i="22" s="1"/>
  <c r="D34" i="39"/>
  <c r="C34" i="39"/>
  <c r="J34" i="39"/>
  <c r="J28" i="39"/>
  <c r="D28" i="39"/>
  <c r="J20" i="39"/>
  <c r="D20" i="39"/>
  <c r="B66" i="49"/>
  <c r="E66" i="49" s="1"/>
  <c r="D12" i="39"/>
  <c r="X38" i="48"/>
  <c r="J44" i="39"/>
  <c r="K44" i="39" s="1"/>
  <c r="D44" i="39"/>
  <c r="A216" i="53"/>
  <c r="D216" i="53" s="1"/>
  <c r="A212" i="52"/>
  <c r="D212" i="52" s="1"/>
  <c r="A215" i="49"/>
  <c r="D215" i="49" s="1"/>
  <c r="A813" i="51"/>
  <c r="A397" i="50"/>
  <c r="J27" i="39"/>
  <c r="D27" i="39"/>
  <c r="G502" i="51"/>
  <c r="G246" i="50"/>
  <c r="J19" i="39"/>
  <c r="D19" i="39"/>
  <c r="G126" i="50"/>
  <c r="G254" i="51"/>
  <c r="D11" i="39"/>
  <c r="J9" i="39"/>
  <c r="D9" i="39"/>
  <c r="J40" i="39"/>
  <c r="D40" i="39"/>
  <c r="A328" i="53"/>
  <c r="D328" i="53" s="1"/>
  <c r="A324" i="52"/>
  <c r="D324" i="52" s="1"/>
  <c r="A327" i="49"/>
  <c r="D327" i="49" s="1"/>
  <c r="A607" i="50"/>
  <c r="A1247" i="51"/>
  <c r="G561" i="50"/>
  <c r="G1153" i="51"/>
  <c r="B329" i="49"/>
  <c r="E329" i="49" s="1"/>
  <c r="D42" i="48"/>
  <c r="P42" i="48" s="1"/>
  <c r="R46" i="22" s="1"/>
  <c r="C42" i="48"/>
  <c r="AB42" i="48"/>
  <c r="A330" i="49" s="1"/>
  <c r="D330" i="49" s="1"/>
  <c r="B42" i="48"/>
  <c r="Y42" i="48" s="1"/>
  <c r="B290" i="49"/>
  <c r="E290" i="49" s="1"/>
  <c r="A272" i="53"/>
  <c r="D272" i="53" s="1"/>
  <c r="A268" i="52"/>
  <c r="D268" i="52" s="1"/>
  <c r="A271" i="49"/>
  <c r="D271" i="49" s="1"/>
  <c r="A1030" i="51"/>
  <c r="A502" i="50"/>
  <c r="J59" i="39"/>
  <c r="K59" i="39" s="1"/>
  <c r="J43" i="39"/>
  <c r="K43" i="39" s="1"/>
  <c r="D43" i="39"/>
  <c r="B242" i="49"/>
  <c r="E242" i="49" s="1"/>
  <c r="G843" i="51"/>
  <c r="G411" i="50"/>
  <c r="C29" i="48"/>
  <c r="AB29" i="48"/>
  <c r="A226" i="49" s="1"/>
  <c r="D226" i="49" s="1"/>
  <c r="B29" i="48"/>
  <c r="Y29" i="48" s="1"/>
  <c r="B225" i="49"/>
  <c r="E225" i="49" s="1"/>
  <c r="D29" i="48"/>
  <c r="P29" i="48" s="1"/>
  <c r="R33" i="22" s="1"/>
  <c r="G719" i="51"/>
  <c r="G351" i="50"/>
  <c r="C25" i="48"/>
  <c r="AB25" i="48"/>
  <c r="A194" i="49" s="1"/>
  <c r="D194" i="49" s="1"/>
  <c r="B25" i="48"/>
  <c r="Y25" i="48" s="1"/>
  <c r="B193" i="49"/>
  <c r="E193" i="49" s="1"/>
  <c r="D25" i="48"/>
  <c r="P25" i="48" s="1"/>
  <c r="R29" i="22" s="1"/>
  <c r="B170" i="49"/>
  <c r="E170" i="49" s="1"/>
  <c r="A144" i="53"/>
  <c r="D144" i="53" s="1"/>
  <c r="A140" i="52"/>
  <c r="D140" i="52" s="1"/>
  <c r="A143" i="49"/>
  <c r="D143" i="49" s="1"/>
  <c r="A534" i="51"/>
  <c r="A262" i="50"/>
  <c r="G471" i="51"/>
  <c r="G231" i="50"/>
  <c r="AB17" i="48"/>
  <c r="A130" i="49" s="1"/>
  <c r="D130" i="49" s="1"/>
  <c r="B129" i="49"/>
  <c r="E129" i="49" s="1"/>
  <c r="D17" i="48"/>
  <c r="P17" i="48" s="1"/>
  <c r="R21" i="22" s="1"/>
  <c r="C17" i="48"/>
  <c r="B17" i="48"/>
  <c r="Y17" i="48" s="1"/>
  <c r="A80" i="53"/>
  <c r="D80" i="53" s="1"/>
  <c r="A76" i="52"/>
  <c r="D76" i="52" s="1"/>
  <c r="A79" i="49"/>
  <c r="D79" i="49" s="1"/>
  <c r="A286" i="51"/>
  <c r="A142" i="50"/>
  <c r="G223" i="51"/>
  <c r="G111" i="50"/>
  <c r="B65" i="49"/>
  <c r="E65" i="49" s="1"/>
  <c r="D9" i="48"/>
  <c r="C9" i="48"/>
  <c r="AB9" i="48"/>
  <c r="A66" i="49" s="1"/>
  <c r="D66" i="49" s="1"/>
  <c r="B9" i="48"/>
  <c r="Y9" i="48" s="1"/>
  <c r="B42" i="49"/>
  <c r="E42" i="49" s="1"/>
  <c r="G1308" i="51"/>
  <c r="G636" i="50"/>
  <c r="B306" i="49"/>
  <c r="E306" i="49" s="1"/>
  <c r="B249" i="49"/>
  <c r="E249" i="49" s="1"/>
  <c r="D32" i="48"/>
  <c r="P32" i="48" s="1"/>
  <c r="R36" i="22" s="1"/>
  <c r="C32" i="48"/>
  <c r="AB32" i="48"/>
  <c r="A250" i="49" s="1"/>
  <c r="D250" i="49" s="1"/>
  <c r="B32" i="48"/>
  <c r="Y32" i="48" s="1"/>
  <c r="A232" i="53"/>
  <c r="D232" i="53" s="1"/>
  <c r="A228" i="52"/>
  <c r="D228" i="52" s="1"/>
  <c r="A231" i="49"/>
  <c r="D231" i="49" s="1"/>
  <c r="A875" i="51"/>
  <c r="A427" i="50"/>
  <c r="A192" i="53"/>
  <c r="D192" i="53" s="1"/>
  <c r="A188" i="52"/>
  <c r="D188" i="52" s="1"/>
  <c r="A191" i="49"/>
  <c r="D191" i="49" s="1"/>
  <c r="A720" i="51"/>
  <c r="A352" i="50"/>
  <c r="G657" i="51"/>
  <c r="G321" i="50"/>
  <c r="C23" i="48"/>
  <c r="AB23" i="48"/>
  <c r="A178" i="49" s="1"/>
  <c r="D178" i="49" s="1"/>
  <c r="B23" i="48"/>
  <c r="Y23" i="48" s="1"/>
  <c r="B177" i="49"/>
  <c r="E177" i="49" s="1"/>
  <c r="D23" i="48"/>
  <c r="P23" i="48" s="1"/>
  <c r="R27" i="22" s="1"/>
  <c r="A136" i="53"/>
  <c r="D136" i="53" s="1"/>
  <c r="A132" i="52"/>
  <c r="D132" i="52" s="1"/>
  <c r="A135" i="49"/>
  <c r="D135" i="49" s="1"/>
  <c r="A503" i="51"/>
  <c r="A247" i="50"/>
  <c r="AB16" i="48"/>
  <c r="A122" i="49" s="1"/>
  <c r="D122" i="49" s="1"/>
  <c r="B16" i="48"/>
  <c r="Y16" i="48" s="1"/>
  <c r="B121" i="49"/>
  <c r="E121" i="49" s="1"/>
  <c r="D16" i="48"/>
  <c r="P16" i="48" s="1"/>
  <c r="R20" i="22" s="1"/>
  <c r="C16" i="48"/>
  <c r="A64" i="53"/>
  <c r="D64" i="53" s="1"/>
  <c r="A60" i="52"/>
  <c r="D60" i="52" s="1"/>
  <c r="A63" i="49"/>
  <c r="D63" i="49" s="1"/>
  <c r="A224" i="51"/>
  <c r="A112" i="50"/>
  <c r="G161" i="51"/>
  <c r="G81" i="50"/>
  <c r="D7" i="48"/>
  <c r="C7" i="48"/>
  <c r="AB7" i="48"/>
  <c r="A50" i="49" s="1"/>
  <c r="D50" i="49" s="1"/>
  <c r="J85" i="39"/>
  <c r="K85" i="39" s="1"/>
  <c r="A344" i="53"/>
  <c r="D344" i="53" s="1"/>
  <c r="A340" i="52"/>
  <c r="D340" i="52" s="1"/>
  <c r="A343" i="49"/>
  <c r="D343" i="49" s="1"/>
  <c r="A1309" i="51"/>
  <c r="A637" i="50"/>
  <c r="D42" i="39"/>
  <c r="J42" i="39"/>
  <c r="A248" i="53"/>
  <c r="D248" i="53" s="1"/>
  <c r="A244" i="52"/>
  <c r="D244" i="52" s="1"/>
  <c r="A247" i="49"/>
  <c r="D247" i="49" s="1"/>
  <c r="A937" i="51"/>
  <c r="A457" i="50"/>
  <c r="J35" i="39"/>
  <c r="D35" i="39"/>
  <c r="G750" i="51"/>
  <c r="G366" i="50"/>
  <c r="J29" i="39"/>
  <c r="D29" i="39"/>
  <c r="B138" i="49"/>
  <c r="E138" i="49" s="1"/>
  <c r="J21" i="39"/>
  <c r="D21" i="39"/>
  <c r="J13" i="39"/>
  <c r="D13" i="39"/>
  <c r="G1122" i="51"/>
  <c r="G546" i="50"/>
  <c r="G1060" i="51"/>
  <c r="G516" i="50"/>
  <c r="B178" i="49"/>
  <c r="E178" i="49" s="1"/>
  <c r="A160" i="53"/>
  <c r="D160" i="53" s="1"/>
  <c r="A159" i="49"/>
  <c r="D159" i="49" s="1"/>
  <c r="A156" i="52"/>
  <c r="D156" i="52" s="1"/>
  <c r="A596" i="51"/>
  <c r="A292" i="50"/>
  <c r="G533" i="51"/>
  <c r="G261" i="50"/>
  <c r="C19" i="48"/>
  <c r="AB19" i="48"/>
  <c r="A146" i="49" s="1"/>
  <c r="D146" i="49" s="1"/>
  <c r="B19" i="48"/>
  <c r="Y19" i="48" s="1"/>
  <c r="B145" i="49"/>
  <c r="E145" i="49" s="1"/>
  <c r="D19" i="48"/>
  <c r="P19" i="48" s="1"/>
  <c r="R23" i="22" s="1"/>
  <c r="B114" i="49"/>
  <c r="E114" i="49" s="1"/>
  <c r="A96" i="53"/>
  <c r="D96" i="53" s="1"/>
  <c r="A92" i="52"/>
  <c r="D92" i="52" s="1"/>
  <c r="A95" i="49"/>
  <c r="D95" i="49" s="1"/>
  <c r="A172" i="50"/>
  <c r="A348" i="51"/>
  <c r="G285" i="51"/>
  <c r="G141" i="50"/>
  <c r="B81" i="49"/>
  <c r="E81" i="49" s="1"/>
  <c r="D11" i="48"/>
  <c r="P11" i="48" s="1"/>
  <c r="R15" i="22" s="1"/>
  <c r="C11" i="48"/>
  <c r="AB11" i="48"/>
  <c r="A82" i="49" s="1"/>
  <c r="D82" i="49" s="1"/>
  <c r="B11" i="48"/>
  <c r="Y11" i="48" s="1"/>
  <c r="A32" i="53"/>
  <c r="D32" i="53" s="1"/>
  <c r="A28" i="52"/>
  <c r="D28" i="52" s="1"/>
  <c r="A31" i="49"/>
  <c r="D31" i="49" s="1"/>
  <c r="A100" i="51"/>
  <c r="A52" i="50"/>
  <c r="G37" i="51"/>
  <c r="G21" i="50"/>
  <c r="B3" i="48"/>
  <c r="Y3" i="48" s="1"/>
  <c r="AB3" i="48"/>
  <c r="D3" i="48"/>
  <c r="C3" i="48"/>
  <c r="D1155" i="51"/>
  <c r="D1225" i="51"/>
  <c r="D1101" i="51"/>
  <c r="D783" i="51"/>
  <c r="D23" i="50"/>
  <c r="A799" i="51"/>
  <c r="A807" i="51" s="1"/>
  <c r="D807" i="51" s="1"/>
  <c r="D16" i="51"/>
  <c r="D233" i="51"/>
  <c r="D8" i="51"/>
  <c r="H69" i="39"/>
  <c r="G69" i="39"/>
  <c r="H65" i="39"/>
  <c r="H61" i="39"/>
  <c r="H67" i="39"/>
  <c r="G67" i="39"/>
  <c r="H63" i="39"/>
  <c r="A1047" i="51"/>
  <c r="D1039" i="51"/>
  <c r="A1016" i="51"/>
  <c r="D1008" i="51"/>
  <c r="A985" i="51"/>
  <c r="D977" i="51"/>
  <c r="A923" i="51"/>
  <c r="D915" i="51"/>
  <c r="A892" i="51"/>
  <c r="D884" i="51"/>
  <c r="D613" i="51"/>
  <c r="A621" i="51"/>
  <c r="D621" i="51" s="1"/>
  <c r="D551" i="51"/>
  <c r="A559" i="51"/>
  <c r="D559" i="51" s="1"/>
  <c r="D489" i="51"/>
  <c r="A497" i="51"/>
  <c r="D497" i="51" s="1"/>
  <c r="D427" i="51"/>
  <c r="A435" i="51"/>
  <c r="D435" i="51" s="1"/>
  <c r="D1357" i="51"/>
  <c r="A1365" i="51"/>
  <c r="D1365" i="51" s="1"/>
  <c r="D1233" i="51"/>
  <c r="A1241" i="51"/>
  <c r="D1241" i="51" s="1"/>
  <c r="D1171" i="51"/>
  <c r="A1179" i="51"/>
  <c r="D1179" i="51" s="1"/>
  <c r="D1109" i="51"/>
  <c r="A1117" i="51"/>
  <c r="D1117" i="51" s="1"/>
  <c r="D1264" i="51"/>
  <c r="A1272" i="51"/>
  <c r="D1272" i="51" s="1"/>
  <c r="D1140" i="51"/>
  <c r="A1148" i="51"/>
  <c r="D1148" i="51" s="1"/>
  <c r="D830" i="51"/>
  <c r="A838" i="51"/>
  <c r="D838" i="51" s="1"/>
  <c r="D768" i="51"/>
  <c r="A776" i="51"/>
  <c r="D776" i="51" s="1"/>
  <c r="D582" i="51"/>
  <c r="A590" i="51"/>
  <c r="D590" i="51" s="1"/>
  <c r="D458" i="51"/>
  <c r="A466" i="51"/>
  <c r="D466" i="51" s="1"/>
  <c r="A280" i="51"/>
  <c r="D280" i="51" s="1"/>
  <c r="D272" i="51"/>
  <c r="A156" i="51"/>
  <c r="D156" i="51" s="1"/>
  <c r="D148" i="51"/>
  <c r="A94" i="51"/>
  <c r="D94" i="51" s="1"/>
  <c r="D86" i="51"/>
  <c r="A32" i="51"/>
  <c r="D32" i="51" s="1"/>
  <c r="D24" i="51"/>
  <c r="A249" i="51"/>
  <c r="D249" i="51" s="1"/>
  <c r="D241" i="51"/>
  <c r="A187" i="51"/>
  <c r="D187" i="51" s="1"/>
  <c r="D179" i="51"/>
  <c r="B5" i="34"/>
  <c r="C3" i="38"/>
  <c r="C5" i="37"/>
  <c r="C5" i="39"/>
  <c r="P69" i="22"/>
  <c r="K39" i="39" l="1"/>
  <c r="K30" i="39"/>
  <c r="S4" i="49"/>
  <c r="Q19" i="49"/>
  <c r="Q31" i="49"/>
  <c r="Q40" i="49"/>
  <c r="Q36" i="49"/>
  <c r="Q16" i="49"/>
  <c r="R5" i="49"/>
  <c r="R6" i="49" s="1"/>
  <c r="R7" i="49" s="1"/>
  <c r="R8" i="49" s="1"/>
  <c r="R9" i="49" s="1"/>
  <c r="Q20" i="49"/>
  <c r="Q8" i="49"/>
  <c r="Q42" i="49"/>
  <c r="Q29" i="49"/>
  <c r="Q9" i="49"/>
  <c r="Q41" i="49"/>
  <c r="Q38" i="49"/>
  <c r="Q11" i="49"/>
  <c r="Q39" i="49"/>
  <c r="Q44" i="49"/>
  <c r="Q12" i="49"/>
  <c r="Q27" i="49"/>
  <c r="Q34" i="49"/>
  <c r="Q28" i="49"/>
  <c r="Q30" i="49"/>
  <c r="Q43" i="49"/>
  <c r="Q10" i="49"/>
  <c r="Q35" i="49"/>
  <c r="Q18" i="49"/>
  <c r="Q17" i="49"/>
  <c r="Q37" i="49"/>
  <c r="Q13" i="49"/>
  <c r="Q15" i="53"/>
  <c r="O14" i="53"/>
  <c r="Q14" i="53"/>
  <c r="Q21" i="53"/>
  <c r="O21" i="53"/>
  <c r="O19" i="52"/>
  <c r="Q19" i="52"/>
  <c r="O42" i="52"/>
  <c r="Q42" i="52"/>
  <c r="O22" i="52"/>
  <c r="Q22" i="52"/>
  <c r="Q45" i="53"/>
  <c r="O45" i="53"/>
  <c r="Q24" i="53"/>
  <c r="O24" i="53"/>
  <c r="Q33" i="52"/>
  <c r="O33" i="52"/>
  <c r="Q5" i="49"/>
  <c r="O39" i="52"/>
  <c r="Q39" i="52"/>
  <c r="O23" i="52"/>
  <c r="Q23" i="52"/>
  <c r="Q28" i="53"/>
  <c r="O28" i="53"/>
  <c r="Q46" i="53"/>
  <c r="O46" i="53"/>
  <c r="O31" i="52"/>
  <c r="Q31" i="52"/>
  <c r="Q29" i="53"/>
  <c r="Q30" i="53"/>
  <c r="O30" i="53"/>
  <c r="Q40" i="52"/>
  <c r="O40" i="52"/>
  <c r="Q34" i="53"/>
  <c r="O34" i="53"/>
  <c r="Q32" i="52"/>
  <c r="O32" i="52"/>
  <c r="Q37" i="52"/>
  <c r="O37" i="52"/>
  <c r="O7" i="53"/>
  <c r="Q7" i="53"/>
  <c r="Q36" i="52"/>
  <c r="O36" i="52"/>
  <c r="Q12" i="52"/>
  <c r="O12" i="52"/>
  <c r="Q17" i="52"/>
  <c r="O17" i="52"/>
  <c r="O11" i="53"/>
  <c r="Q23" i="53"/>
  <c r="O22" i="53"/>
  <c r="Q22" i="53"/>
  <c r="Q45" i="52"/>
  <c r="O45" i="52"/>
  <c r="Q16" i="52"/>
  <c r="O16" i="52"/>
  <c r="O6" i="53"/>
  <c r="Q6" i="53"/>
  <c r="Q33" i="53"/>
  <c r="O33" i="53"/>
  <c r="Q5" i="52"/>
  <c r="O5" i="52"/>
  <c r="Q20" i="52"/>
  <c r="O20" i="52"/>
  <c r="O23" i="53"/>
  <c r="O27" i="53"/>
  <c r="Q27" i="53"/>
  <c r="O47" i="52"/>
  <c r="Q47" i="52"/>
  <c r="Q8" i="52"/>
  <c r="O8" i="52"/>
  <c r="O10" i="52"/>
  <c r="Q10" i="52"/>
  <c r="O38" i="52"/>
  <c r="Q38" i="52"/>
  <c r="Q40" i="53"/>
  <c r="O40" i="53"/>
  <c r="O35" i="52"/>
  <c r="Q35" i="52"/>
  <c r="O43" i="52"/>
  <c r="Q43" i="52"/>
  <c r="O18" i="52"/>
  <c r="Q18" i="52"/>
  <c r="Q13" i="53"/>
  <c r="O13" i="53"/>
  <c r="O15" i="53"/>
  <c r="Q15" i="49"/>
  <c r="Q36" i="53"/>
  <c r="O36" i="53"/>
  <c r="Q26" i="53"/>
  <c r="O26" i="53"/>
  <c r="Q12" i="53"/>
  <c r="O12" i="53"/>
  <c r="O9" i="52"/>
  <c r="Q9" i="52"/>
  <c r="O17" i="53"/>
  <c r="Q17" i="53"/>
  <c r="O11" i="52"/>
  <c r="Q11" i="52"/>
  <c r="Q42" i="53"/>
  <c r="O42" i="53"/>
  <c r="Q41" i="52"/>
  <c r="O41" i="52"/>
  <c r="O6" i="52"/>
  <c r="Q6" i="52"/>
  <c r="O4" i="53"/>
  <c r="S4" i="53" s="1"/>
  <c r="Q20" i="53"/>
  <c r="O20" i="53"/>
  <c r="O39" i="53"/>
  <c r="Q39" i="53"/>
  <c r="Q25" i="52"/>
  <c r="O25" i="52"/>
  <c r="Q46" i="52"/>
  <c r="O46" i="52"/>
  <c r="O47" i="53"/>
  <c r="Q47" i="53"/>
  <c r="Q8" i="53"/>
  <c r="O8" i="53"/>
  <c r="O30" i="52"/>
  <c r="Q30" i="52"/>
  <c r="Q44" i="52"/>
  <c r="O44" i="52"/>
  <c r="Q37" i="53"/>
  <c r="O38" i="53"/>
  <c r="Q38" i="53"/>
  <c r="O43" i="53"/>
  <c r="Q43" i="53"/>
  <c r="Q32" i="53"/>
  <c r="O32" i="53"/>
  <c r="O7" i="52"/>
  <c r="Q7" i="52"/>
  <c r="O14" i="52"/>
  <c r="Q14" i="52"/>
  <c r="O26" i="52"/>
  <c r="Q26" i="52"/>
  <c r="Q21" i="52"/>
  <c r="O21" i="52"/>
  <c r="Q29" i="52"/>
  <c r="O29" i="52"/>
  <c r="Q9" i="53"/>
  <c r="O9" i="53"/>
  <c r="O19" i="53"/>
  <c r="Q19" i="53"/>
  <c r="Q41" i="53"/>
  <c r="O41" i="53"/>
  <c r="Q24" i="52"/>
  <c r="O24" i="52"/>
  <c r="Q16" i="53"/>
  <c r="O16" i="53"/>
  <c r="O4" i="52"/>
  <c r="R4" i="52" s="1"/>
  <c r="R5" i="52" s="1"/>
  <c r="Q4" i="52"/>
  <c r="Q4" i="53"/>
  <c r="Q5" i="53"/>
  <c r="O5" i="53"/>
  <c r="O28" i="52"/>
  <c r="Q28" i="52"/>
  <c r="Q25" i="53"/>
  <c r="O25" i="53"/>
  <c r="O27" i="52"/>
  <c r="Q27" i="52"/>
  <c r="O31" i="53"/>
  <c r="Q31" i="53"/>
  <c r="Q11" i="53"/>
  <c r="O10" i="53"/>
  <c r="Q10" i="53"/>
  <c r="Q44" i="53"/>
  <c r="O44" i="53"/>
  <c r="O34" i="52"/>
  <c r="Q34" i="52"/>
  <c r="O35" i="53"/>
  <c r="Q35" i="53"/>
  <c r="O18" i="53"/>
  <c r="Q18" i="53"/>
  <c r="Q13" i="52"/>
  <c r="O13" i="52"/>
  <c r="O15" i="52"/>
  <c r="Q15" i="52"/>
  <c r="Q14" i="49"/>
  <c r="Q22" i="49"/>
  <c r="Q25" i="49"/>
  <c r="Q32" i="49"/>
  <c r="Q24" i="49"/>
  <c r="Q33" i="49"/>
  <c r="Q23" i="49"/>
  <c r="Q45" i="49"/>
  <c r="Q46" i="49"/>
  <c r="Q26" i="49"/>
  <c r="Q21" i="49"/>
  <c r="S5" i="49"/>
  <c r="S6" i="49" s="1"/>
  <c r="S7" i="49" s="1"/>
  <c r="S8" i="49" s="1"/>
  <c r="S9" i="49" s="1"/>
  <c r="S10" i="49" s="1"/>
  <c r="S11" i="49" s="1"/>
  <c r="S12" i="49" s="1"/>
  <c r="S13" i="49" s="1"/>
  <c r="S14" i="49" s="1"/>
  <c r="S15" i="49" s="1"/>
  <c r="S16" i="49" s="1"/>
  <c r="S17" i="49" s="1"/>
  <c r="S18" i="49" s="1"/>
  <c r="S19" i="49" s="1"/>
  <c r="S20" i="49" s="1"/>
  <c r="S21" i="49" s="1"/>
  <c r="S22" i="49" s="1"/>
  <c r="S23" i="49" s="1"/>
  <c r="S24" i="49" s="1"/>
  <c r="S25" i="49" s="1"/>
  <c r="S26" i="49" s="1"/>
  <c r="S27" i="49" s="1"/>
  <c r="S28" i="49" s="1"/>
  <c r="S29" i="49" s="1"/>
  <c r="S30" i="49" s="1"/>
  <c r="S31" i="49" s="1"/>
  <c r="S32" i="49" s="1"/>
  <c r="S33" i="49" s="1"/>
  <c r="S34" i="49" s="1"/>
  <c r="S35" i="49" s="1"/>
  <c r="S36" i="49" s="1"/>
  <c r="S37" i="49" s="1"/>
  <c r="S38" i="49" s="1"/>
  <c r="S39" i="49" s="1"/>
  <c r="S40" i="49" s="1"/>
  <c r="S41" i="49" s="1"/>
  <c r="S42" i="49" s="1"/>
  <c r="S43" i="49" s="1"/>
  <c r="S44" i="49" s="1"/>
  <c r="S45" i="49" s="1"/>
  <c r="S46" i="49" s="1"/>
  <c r="S47" i="49" s="1"/>
  <c r="D644" i="51"/>
  <c r="A683" i="51"/>
  <c r="D683" i="51" s="1"/>
  <c r="D388" i="51"/>
  <c r="W31" i="48"/>
  <c r="B238" i="52" s="1"/>
  <c r="E238" i="52" s="1"/>
  <c r="W42" i="48"/>
  <c r="B326" i="52" s="1"/>
  <c r="E326" i="52" s="1"/>
  <c r="W43" i="48"/>
  <c r="B334" i="52" s="1"/>
  <c r="E334" i="52" s="1"/>
  <c r="W45" i="48"/>
  <c r="B350" i="52" s="1"/>
  <c r="E350" i="52" s="1"/>
  <c r="W27" i="48"/>
  <c r="B206" i="52" s="1"/>
  <c r="E206" i="52" s="1"/>
  <c r="W34" i="48"/>
  <c r="B262" i="52" s="1"/>
  <c r="E262" i="52" s="1"/>
  <c r="W33" i="48"/>
  <c r="B254" i="52" s="1"/>
  <c r="E254" i="52" s="1"/>
  <c r="W20" i="48"/>
  <c r="B150" i="52" s="1"/>
  <c r="E150" i="52" s="1"/>
  <c r="W21" i="48"/>
  <c r="B158" i="52" s="1"/>
  <c r="E158" i="52" s="1"/>
  <c r="K56" i="39"/>
  <c r="K57" i="39"/>
  <c r="K51" i="39"/>
  <c r="K52" i="39"/>
  <c r="K53" i="39"/>
  <c r="K62" i="39"/>
  <c r="W3" i="48"/>
  <c r="B14" i="52" s="1"/>
  <c r="E14" i="52" s="1"/>
  <c r="Y1" i="38"/>
  <c r="H6" i="54" s="1"/>
  <c r="J2" i="38"/>
  <c r="R1" i="38"/>
  <c r="K49" i="39"/>
  <c r="K35" i="39"/>
  <c r="W25" i="48"/>
  <c r="B190" i="52" s="1"/>
  <c r="E190" i="52" s="1"/>
  <c r="W26" i="48"/>
  <c r="B198" i="52" s="1"/>
  <c r="E198" i="52" s="1"/>
  <c r="W69" i="22"/>
  <c r="H70" i="38"/>
  <c r="I70" i="38" s="1"/>
  <c r="AA69" i="22"/>
  <c r="AA68" i="22"/>
  <c r="AB68" i="22" s="1"/>
  <c r="B17" i="49"/>
  <c r="E17" i="49" s="1"/>
  <c r="A18" i="49"/>
  <c r="D18" i="49" s="1"/>
  <c r="B9" i="49"/>
  <c r="E9" i="49" s="1"/>
  <c r="A10" i="49"/>
  <c r="D10" i="49" s="1"/>
  <c r="K54" i="39"/>
  <c r="K34" i="39"/>
  <c r="K33" i="39"/>
  <c r="K45" i="39"/>
  <c r="K37" i="39"/>
  <c r="K41" i="39"/>
  <c r="K32" i="39"/>
  <c r="K38" i="39"/>
  <c r="K46" i="39"/>
  <c r="K42" i="39"/>
  <c r="K40" i="39"/>
  <c r="W23" i="48"/>
  <c r="B174" i="52" s="1"/>
  <c r="E174" i="52" s="1"/>
  <c r="W29" i="48"/>
  <c r="B222" i="52" s="1"/>
  <c r="E222" i="52" s="1"/>
  <c r="W22" i="48"/>
  <c r="B166" i="52" s="1"/>
  <c r="E166" i="52" s="1"/>
  <c r="W41" i="48"/>
  <c r="B318" i="52" s="1"/>
  <c r="E318" i="52" s="1"/>
  <c r="W37" i="48"/>
  <c r="B286" i="52" s="1"/>
  <c r="E286" i="52" s="1"/>
  <c r="W30" i="48"/>
  <c r="B230" i="52" s="1"/>
  <c r="E230" i="52" s="1"/>
  <c r="K47" i="39"/>
  <c r="W36" i="48"/>
  <c r="B278" i="52" s="1"/>
  <c r="E278" i="52" s="1"/>
  <c r="W24" i="48"/>
  <c r="B182" i="52" s="1"/>
  <c r="E182" i="52" s="1"/>
  <c r="W18" i="48"/>
  <c r="B134" i="52" s="1"/>
  <c r="E134" i="52" s="1"/>
  <c r="W32" i="48"/>
  <c r="B246" i="52" s="1"/>
  <c r="E246" i="52" s="1"/>
  <c r="W39" i="48"/>
  <c r="B302" i="52" s="1"/>
  <c r="E302" i="52" s="1"/>
  <c r="W38" i="48"/>
  <c r="B294" i="52" s="1"/>
  <c r="E294" i="52" s="1"/>
  <c r="W28" i="48"/>
  <c r="B214" i="52" s="1"/>
  <c r="E214" i="52" s="1"/>
  <c r="K31" i="39"/>
  <c r="K29" i="39"/>
  <c r="K10" i="39"/>
  <c r="K25" i="39"/>
  <c r="K36" i="39"/>
  <c r="K23" i="39"/>
  <c r="K20" i="39"/>
  <c r="K27" i="39"/>
  <c r="K18" i="39"/>
  <c r="P6" i="48"/>
  <c r="R10" i="22" s="1"/>
  <c r="K28" i="39"/>
  <c r="A73" i="39"/>
  <c r="A83" i="39"/>
  <c r="A350" i="50"/>
  <c r="A358" i="50" s="1"/>
  <c r="D358" i="50" s="1"/>
  <c r="A515" i="50"/>
  <c r="D515" i="50" s="1"/>
  <c r="A440" i="50"/>
  <c r="A448" i="50" s="1"/>
  <c r="D448" i="50" s="1"/>
  <c r="A650" i="50"/>
  <c r="A658" i="50" s="1"/>
  <c r="D658" i="50" s="1"/>
  <c r="A620" i="50"/>
  <c r="D620" i="50" s="1"/>
  <c r="A290" i="50"/>
  <c r="A298" i="50" s="1"/>
  <c r="D298" i="50" s="1"/>
  <c r="A380" i="50"/>
  <c r="D380" i="50" s="1"/>
  <c r="A425" i="50"/>
  <c r="A433" i="50" s="1"/>
  <c r="D433" i="50" s="1"/>
  <c r="A590" i="50"/>
  <c r="A598" i="50" s="1"/>
  <c r="D598" i="50" s="1"/>
  <c r="A530" i="50"/>
  <c r="D530" i="50" s="1"/>
  <c r="A635" i="50"/>
  <c r="A643" i="50" s="1"/>
  <c r="D643" i="50" s="1"/>
  <c r="A470" i="50"/>
  <c r="A478" i="50" s="1"/>
  <c r="D478" i="50" s="1"/>
  <c r="A455" i="50"/>
  <c r="D455" i="50" s="1"/>
  <c r="A1152" i="51"/>
  <c r="D1152" i="51" s="1"/>
  <c r="G66" i="39"/>
  <c r="A76" i="39"/>
  <c r="A78" i="39"/>
  <c r="W51" i="22"/>
  <c r="W53" i="22"/>
  <c r="A77" i="39"/>
  <c r="A72" i="39"/>
  <c r="A75" i="39"/>
  <c r="A81" i="39"/>
  <c r="A84" i="39"/>
  <c r="A85" i="39"/>
  <c r="A80" i="39"/>
  <c r="A74" i="39"/>
  <c r="A82" i="39"/>
  <c r="W31" i="22"/>
  <c r="W33" i="22"/>
  <c r="A9" i="34"/>
  <c r="Q7" i="38"/>
  <c r="P9" i="48"/>
  <c r="R13" i="22" s="1"/>
  <c r="W50" i="22"/>
  <c r="W52" i="22"/>
  <c r="W54" i="22"/>
  <c r="W56" i="22"/>
  <c r="W58" i="22"/>
  <c r="W60" i="22"/>
  <c r="W62" i="22"/>
  <c r="W64" i="22"/>
  <c r="W66" i="22"/>
  <c r="W55" i="22"/>
  <c r="H34" i="39"/>
  <c r="P7" i="48"/>
  <c r="R11" i="22" s="1"/>
  <c r="P8" i="48"/>
  <c r="R12" i="22" s="1"/>
  <c r="P2" i="48"/>
  <c r="R6" i="22" s="1"/>
  <c r="P3" i="48"/>
  <c r="R7" i="22" s="1"/>
  <c r="A10" i="39"/>
  <c r="P4" i="48"/>
  <c r="R8" i="22" s="1"/>
  <c r="P5" i="48"/>
  <c r="R9" i="22" s="1"/>
  <c r="D861" i="51"/>
  <c r="A528" i="51"/>
  <c r="D528" i="51" s="1"/>
  <c r="J4" i="43"/>
  <c r="N3" i="54" s="1"/>
  <c r="H45" i="48"/>
  <c r="H43" i="48"/>
  <c r="H29" i="48"/>
  <c r="H27" i="48"/>
  <c r="H41" i="48"/>
  <c r="A1078" i="51"/>
  <c r="A1086" i="51" s="1"/>
  <c r="D1086" i="51" s="1"/>
  <c r="A1276" i="51"/>
  <c r="A1284" i="51" s="1"/>
  <c r="K13" i="39"/>
  <c r="A14" i="43"/>
  <c r="A8" i="22" s="1"/>
  <c r="O8" i="22" s="1"/>
  <c r="A1090" i="51"/>
  <c r="D1090" i="51" s="1"/>
  <c r="K17" i="39"/>
  <c r="P10" i="48"/>
  <c r="R14" i="22" s="1"/>
  <c r="A10" i="37"/>
  <c r="D22" i="50"/>
  <c r="A8" i="38"/>
  <c r="Q8" i="38" s="1"/>
  <c r="Y27" i="48"/>
  <c r="Y24" i="48"/>
  <c r="Y30" i="48"/>
  <c r="G13" i="48"/>
  <c r="A346" i="51" s="1"/>
  <c r="A354" i="51" s="1"/>
  <c r="G12" i="48"/>
  <c r="A155" i="50" s="1"/>
  <c r="P26" i="48"/>
  <c r="R30" i="22" s="1"/>
  <c r="W11" i="48"/>
  <c r="B78" i="52" s="1"/>
  <c r="E78" i="52" s="1"/>
  <c r="W7" i="48"/>
  <c r="B46" i="52" s="1"/>
  <c r="E46" i="52" s="1"/>
  <c r="W17" i="48"/>
  <c r="B126" i="52" s="1"/>
  <c r="E126" i="52" s="1"/>
  <c r="W4" i="48"/>
  <c r="B22" i="52" s="1"/>
  <c r="E22" i="52" s="1"/>
  <c r="W5" i="48"/>
  <c r="B30" i="52" s="1"/>
  <c r="E30" i="52" s="1"/>
  <c r="W13" i="48"/>
  <c r="B94" i="52" s="1"/>
  <c r="E94" i="52" s="1"/>
  <c r="W9" i="48"/>
  <c r="B62" i="52" s="1"/>
  <c r="E62" i="52" s="1"/>
  <c r="K22" i="39"/>
  <c r="K12" i="39"/>
  <c r="K11" i="39"/>
  <c r="K14" i="39"/>
  <c r="W6" i="48"/>
  <c r="B38" i="52" s="1"/>
  <c r="E38" i="52" s="1"/>
  <c r="W10" i="48"/>
  <c r="B70" i="52" s="1"/>
  <c r="E70" i="52" s="1"/>
  <c r="W16" i="48"/>
  <c r="B118" i="52" s="1"/>
  <c r="E118" i="52" s="1"/>
  <c r="A997" i="51"/>
  <c r="D997" i="51" s="1"/>
  <c r="W48" i="22"/>
  <c r="G71" i="39"/>
  <c r="P18" i="48"/>
  <c r="R22" i="22" s="1"/>
  <c r="P20" i="48"/>
  <c r="R24" i="22" s="1"/>
  <c r="G3" i="48"/>
  <c r="A811" i="51"/>
  <c r="D811" i="51" s="1"/>
  <c r="A904" i="51"/>
  <c r="D904" i="51" s="1"/>
  <c r="A873" i="51"/>
  <c r="A881" i="51" s="1"/>
  <c r="A1214" i="51"/>
  <c r="D1214" i="51" s="1"/>
  <c r="H53" i="39"/>
  <c r="H56" i="39"/>
  <c r="A485" i="50"/>
  <c r="A493" i="50" s="1"/>
  <c r="D493" i="50" s="1"/>
  <c r="A1059" i="51"/>
  <c r="A1067" i="51" s="1"/>
  <c r="A1307" i="51"/>
  <c r="D1307" i="51" s="1"/>
  <c r="A966" i="51"/>
  <c r="A974" i="51" s="1"/>
  <c r="H58" i="39"/>
  <c r="H70" i="39"/>
  <c r="H59" i="39"/>
  <c r="D38" i="51"/>
  <c r="A500" i="50"/>
  <c r="A508" i="50" s="1"/>
  <c r="D508" i="50" s="1"/>
  <c r="K24" i="39"/>
  <c r="H57" i="39"/>
  <c r="H54" i="39"/>
  <c r="A1028" i="51"/>
  <c r="A1036" i="51" s="1"/>
  <c r="H55" i="39"/>
  <c r="K16" i="39"/>
  <c r="K15" i="39"/>
  <c r="P14" i="48"/>
  <c r="R18" i="22" s="1"/>
  <c r="A1338" i="51"/>
  <c r="D1338" i="51" s="1"/>
  <c r="G16" i="48"/>
  <c r="A439" i="51" s="1"/>
  <c r="G15" i="48"/>
  <c r="A200" i="50" s="1"/>
  <c r="D200" i="50" s="1"/>
  <c r="G2" i="48"/>
  <c r="G7" i="48"/>
  <c r="G5" i="48"/>
  <c r="A320" i="50"/>
  <c r="A328" i="50" s="1"/>
  <c r="D328" i="50" s="1"/>
  <c r="A395" i="50"/>
  <c r="D395" i="50" s="1"/>
  <c r="K60" i="39"/>
  <c r="H51" i="38"/>
  <c r="I51" i="38" s="1"/>
  <c r="C53" i="39"/>
  <c r="H57" i="38"/>
  <c r="I57" i="38" s="1"/>
  <c r="C59" i="39"/>
  <c r="W49" i="22"/>
  <c r="R45" i="48"/>
  <c r="F52" i="39"/>
  <c r="L50" i="38"/>
  <c r="G40" i="48"/>
  <c r="G42" i="48"/>
  <c r="A1245" i="51" s="1"/>
  <c r="W47" i="22"/>
  <c r="L48" i="38"/>
  <c r="R43" i="48"/>
  <c r="F50" i="39"/>
  <c r="R44" i="48"/>
  <c r="F51" i="39"/>
  <c r="L49" i="38"/>
  <c r="H55" i="38"/>
  <c r="I55" i="38" s="1"/>
  <c r="C57" i="39"/>
  <c r="H52" i="38"/>
  <c r="I52" i="38" s="1"/>
  <c r="C54" i="39"/>
  <c r="W45" i="22"/>
  <c r="F48" i="39"/>
  <c r="L46" i="38"/>
  <c r="R41" i="48"/>
  <c r="H53" i="38"/>
  <c r="I53" i="38" s="1"/>
  <c r="C55" i="39"/>
  <c r="D946" i="51"/>
  <c r="G11" i="48"/>
  <c r="A284" i="51" s="1"/>
  <c r="A292" i="51" s="1"/>
  <c r="A545" i="50"/>
  <c r="A553" i="50" s="1"/>
  <c r="D553" i="50" s="1"/>
  <c r="K26" i="39"/>
  <c r="K19" i="39"/>
  <c r="G17" i="48"/>
  <c r="K21" i="39"/>
  <c r="K9" i="39"/>
  <c r="A935" i="51"/>
  <c r="D935" i="51" s="1"/>
  <c r="A594" i="51"/>
  <c r="D594" i="51" s="1"/>
  <c r="A656" i="51"/>
  <c r="A664" i="51" s="1"/>
  <c r="A780" i="51"/>
  <c r="D780" i="51" s="1"/>
  <c r="G68" i="39"/>
  <c r="A335" i="50"/>
  <c r="A343" i="50" s="1"/>
  <c r="D343" i="50" s="1"/>
  <c r="A625" i="51"/>
  <c r="A633" i="51" s="1"/>
  <c r="A687" i="51"/>
  <c r="D687" i="51" s="1"/>
  <c r="A305" i="50"/>
  <c r="A313" i="50" s="1"/>
  <c r="D313" i="50" s="1"/>
  <c r="A842" i="51"/>
  <c r="A850" i="51" s="1"/>
  <c r="A410" i="50"/>
  <c r="A418" i="50" s="1"/>
  <c r="D418" i="50" s="1"/>
  <c r="W19" i="48"/>
  <c r="B142" i="52" s="1"/>
  <c r="E142" i="52" s="1"/>
  <c r="W15" i="48"/>
  <c r="B110" i="52" s="1"/>
  <c r="E110" i="52" s="1"/>
  <c r="W14" i="48"/>
  <c r="B102" i="52" s="1"/>
  <c r="E102" i="52" s="1"/>
  <c r="W12" i="48"/>
  <c r="B86" i="52" s="1"/>
  <c r="E86" i="52" s="1"/>
  <c r="W2" i="48"/>
  <c r="B6" i="52" s="1"/>
  <c r="E6" i="52" s="1"/>
  <c r="W8" i="48"/>
  <c r="B54" i="52" s="1"/>
  <c r="E54" i="52" s="1"/>
  <c r="A718" i="51"/>
  <c r="D718" i="51" s="1"/>
  <c r="D117" i="51"/>
  <c r="D210" i="51"/>
  <c r="A1210" i="51"/>
  <c r="D1210" i="51" s="1"/>
  <c r="D334" i="51"/>
  <c r="D1326" i="51"/>
  <c r="D357" i="51"/>
  <c r="D799" i="51"/>
  <c r="D55" i="51"/>
  <c r="D706" i="51"/>
  <c r="A1303" i="51"/>
  <c r="D1303" i="51" s="1"/>
  <c r="G9" i="48"/>
  <c r="A745" i="51"/>
  <c r="D745" i="51" s="1"/>
  <c r="D303" i="51"/>
  <c r="A260" i="50"/>
  <c r="A268" i="50" s="1"/>
  <c r="D268" i="50" s="1"/>
  <c r="A532" i="51"/>
  <c r="D532" i="51" s="1"/>
  <c r="A1121" i="51"/>
  <c r="D1121" i="51" s="1"/>
  <c r="A560" i="50"/>
  <c r="A568" i="50" s="1"/>
  <c r="D568" i="50" s="1"/>
  <c r="V3" i="48"/>
  <c r="A14" i="52"/>
  <c r="D14" i="52" s="1"/>
  <c r="AA3" i="48"/>
  <c r="A108" i="51"/>
  <c r="D100" i="51"/>
  <c r="D348" i="51"/>
  <c r="A356" i="51"/>
  <c r="V19" i="48"/>
  <c r="A142" i="52"/>
  <c r="D142" i="52" s="1"/>
  <c r="AA19" i="48"/>
  <c r="D937" i="51"/>
  <c r="A945" i="51"/>
  <c r="D427" i="50"/>
  <c r="A435" i="50"/>
  <c r="D435" i="50" s="1"/>
  <c r="D1030" i="51"/>
  <c r="A1038" i="51"/>
  <c r="AA42" i="48"/>
  <c r="A326" i="52"/>
  <c r="D326" i="52" s="1"/>
  <c r="V42" i="48"/>
  <c r="D607" i="50"/>
  <c r="A615" i="50"/>
  <c r="D615" i="50" s="1"/>
  <c r="D813" i="51"/>
  <c r="A821" i="51"/>
  <c r="AA31" i="48"/>
  <c r="A238" i="52"/>
  <c r="D238" i="52" s="1"/>
  <c r="V31" i="48"/>
  <c r="V15" i="48"/>
  <c r="AA15" i="48"/>
  <c r="A110" i="52"/>
  <c r="D110" i="52" s="1"/>
  <c r="D472" i="51"/>
  <c r="A480" i="51"/>
  <c r="D1123" i="51"/>
  <c r="A1131" i="51"/>
  <c r="V39" i="48"/>
  <c r="A302" i="52"/>
  <c r="D302" i="52" s="1"/>
  <c r="AA39" i="48"/>
  <c r="AA6" i="48"/>
  <c r="A38" i="52"/>
  <c r="D38" i="52" s="1"/>
  <c r="V6" i="48"/>
  <c r="D97" i="50"/>
  <c r="A105" i="50"/>
  <c r="D105" i="50" s="1"/>
  <c r="V28" i="48"/>
  <c r="A214" i="52"/>
  <c r="D214" i="52" s="1"/>
  <c r="AA28" i="48"/>
  <c r="D577" i="50"/>
  <c r="A585" i="50"/>
  <c r="D585" i="50" s="1"/>
  <c r="A77" i="51"/>
  <c r="D69" i="51"/>
  <c r="A165" i="50"/>
  <c r="D165" i="50" s="1"/>
  <c r="D157" i="50"/>
  <c r="A600" i="50"/>
  <c r="D600" i="50" s="1"/>
  <c r="D592" i="50"/>
  <c r="D379" i="51"/>
  <c r="A387" i="51"/>
  <c r="A315" i="50"/>
  <c r="D315" i="50" s="1"/>
  <c r="D307" i="50"/>
  <c r="V13" i="48"/>
  <c r="A94" i="52"/>
  <c r="D94" i="52" s="1"/>
  <c r="AA13" i="48"/>
  <c r="D410" i="51"/>
  <c r="A418" i="51"/>
  <c r="D322" i="50"/>
  <c r="A330" i="50"/>
  <c r="D330" i="50" s="1"/>
  <c r="AA27" i="48"/>
  <c r="Q27" i="48" s="1"/>
  <c r="A206" i="52"/>
  <c r="D206" i="52" s="1"/>
  <c r="V27" i="48"/>
  <c r="AA8" i="48"/>
  <c r="A54" i="52"/>
  <c r="D54" i="52" s="1"/>
  <c r="V8" i="48"/>
  <c r="D127" i="50"/>
  <c r="A135" i="50"/>
  <c r="D135" i="50" s="1"/>
  <c r="D367" i="50"/>
  <c r="A375" i="50"/>
  <c r="D375" i="50" s="1"/>
  <c r="AA44" i="48"/>
  <c r="A342" i="52"/>
  <c r="D342" i="52" s="1"/>
  <c r="V44" i="48"/>
  <c r="V30" i="48"/>
  <c r="AA30" i="48"/>
  <c r="A230" i="52"/>
  <c r="D230" i="52" s="1"/>
  <c r="D1154" i="51"/>
  <c r="A1162" i="51"/>
  <c r="D622" i="50"/>
  <c r="A630" i="50"/>
  <c r="D630" i="50" s="1"/>
  <c r="V11" i="48"/>
  <c r="A78" i="52"/>
  <c r="D78" i="52" s="1"/>
  <c r="AA11" i="48"/>
  <c r="D172" i="50"/>
  <c r="A180" i="50"/>
  <c r="D180" i="50" s="1"/>
  <c r="A300" i="50"/>
  <c r="D300" i="50" s="1"/>
  <c r="D292" i="50"/>
  <c r="A645" i="50"/>
  <c r="D645" i="50" s="1"/>
  <c r="D637" i="50"/>
  <c r="D112" i="50"/>
  <c r="A120" i="50"/>
  <c r="D120" i="50" s="1"/>
  <c r="AA23" i="48"/>
  <c r="A174" i="52"/>
  <c r="D174" i="52" s="1"/>
  <c r="V23" i="48"/>
  <c r="D875" i="51"/>
  <c r="A883" i="51"/>
  <c r="V32" i="48"/>
  <c r="A246" i="52"/>
  <c r="D246" i="52" s="1"/>
  <c r="AA32" i="48"/>
  <c r="H49" i="38"/>
  <c r="I49" i="38" s="1"/>
  <c r="C56" i="37"/>
  <c r="D56" i="37" s="1"/>
  <c r="D547" i="50"/>
  <c r="A555" i="50"/>
  <c r="D555" i="50" s="1"/>
  <c r="AA34" i="48"/>
  <c r="A262" i="52"/>
  <c r="D262" i="52" s="1"/>
  <c r="V34" i="48"/>
  <c r="V45" i="48"/>
  <c r="A350" i="52"/>
  <c r="D350" i="52" s="1"/>
  <c r="AA45" i="48"/>
  <c r="Q45" i="48" s="1"/>
  <c r="V43" i="48"/>
  <c r="A334" i="52"/>
  <c r="D334" i="52" s="1"/>
  <c r="AA43" i="48"/>
  <c r="A201" i="51"/>
  <c r="D193" i="51"/>
  <c r="AA14" i="48"/>
  <c r="A102" i="52"/>
  <c r="D102" i="52" s="1"/>
  <c r="V14" i="48"/>
  <c r="D217" i="50"/>
  <c r="A225" i="50"/>
  <c r="D225" i="50" s="1"/>
  <c r="V35" i="48"/>
  <c r="AA35" i="48"/>
  <c r="A270" i="52"/>
  <c r="D270" i="52" s="1"/>
  <c r="D1185" i="51"/>
  <c r="A1193" i="51"/>
  <c r="A325" i="51"/>
  <c r="D317" i="51"/>
  <c r="A573" i="51"/>
  <c r="D565" i="51"/>
  <c r="V41" i="48"/>
  <c r="A318" i="52"/>
  <c r="D318" i="52" s="1"/>
  <c r="AA41" i="48"/>
  <c r="A1224" i="51"/>
  <c r="D1216" i="51"/>
  <c r="A635" i="51"/>
  <c r="D627" i="51"/>
  <c r="D658" i="51"/>
  <c r="A666" i="51"/>
  <c r="D487" i="50"/>
  <c r="A495" i="50"/>
  <c r="D495" i="50" s="1"/>
  <c r="D255" i="51"/>
  <c r="A263" i="51"/>
  <c r="V24" i="48"/>
  <c r="A182" i="52"/>
  <c r="D182" i="52" s="1"/>
  <c r="AA24" i="48"/>
  <c r="A759" i="51"/>
  <c r="D751" i="51"/>
  <c r="D1278" i="51"/>
  <c r="A1286" i="51"/>
  <c r="D596" i="51"/>
  <c r="A604" i="51"/>
  <c r="D1309" i="51"/>
  <c r="A1317" i="51"/>
  <c r="V7" i="48"/>
  <c r="AA7" i="48"/>
  <c r="A46" i="52"/>
  <c r="D46" i="52" s="1"/>
  <c r="D224" i="51"/>
  <c r="A232" i="51"/>
  <c r="AA16" i="48"/>
  <c r="A118" i="52"/>
  <c r="D118" i="52" s="1"/>
  <c r="V16" i="48"/>
  <c r="A255" i="50"/>
  <c r="D255" i="50" s="1"/>
  <c r="D247" i="50"/>
  <c r="D352" i="50"/>
  <c r="A360" i="50"/>
  <c r="D360" i="50" s="1"/>
  <c r="A150" i="50"/>
  <c r="D150" i="50" s="1"/>
  <c r="D142" i="50"/>
  <c r="A270" i="50"/>
  <c r="D270" i="50" s="1"/>
  <c r="D262" i="50"/>
  <c r="AA29" i="48"/>
  <c r="Q29" i="48" s="1"/>
  <c r="A222" i="52"/>
  <c r="D222" i="52" s="1"/>
  <c r="V29" i="48"/>
  <c r="D412" i="50"/>
  <c r="A420" i="50"/>
  <c r="D420" i="50" s="1"/>
  <c r="D652" i="50"/>
  <c r="A660" i="50"/>
  <c r="D660" i="50" s="1"/>
  <c r="D382" i="50"/>
  <c r="A390" i="50"/>
  <c r="D390" i="50" s="1"/>
  <c r="AA38" i="48"/>
  <c r="A294" i="52"/>
  <c r="D294" i="52" s="1"/>
  <c r="V38" i="48"/>
  <c r="A449" i="51"/>
  <c r="D441" i="51"/>
  <c r="A345" i="50"/>
  <c r="D345" i="50" s="1"/>
  <c r="D337" i="50"/>
  <c r="A15" i="50"/>
  <c r="D15" i="50" s="1"/>
  <c r="D7" i="50"/>
  <c r="D277" i="50"/>
  <c r="A285" i="50"/>
  <c r="D285" i="50" s="1"/>
  <c r="D472" i="50"/>
  <c r="A480" i="50"/>
  <c r="D480" i="50" s="1"/>
  <c r="A525" i="50"/>
  <c r="D525" i="50" s="1"/>
  <c r="D517" i="50"/>
  <c r="AA4" i="48"/>
  <c r="A22" i="52"/>
  <c r="D22" i="52" s="1"/>
  <c r="V4" i="48"/>
  <c r="A75" i="50"/>
  <c r="D75" i="50" s="1"/>
  <c r="D67" i="50"/>
  <c r="A150" i="52"/>
  <c r="D150" i="52" s="1"/>
  <c r="AA20" i="48"/>
  <c r="V20" i="48"/>
  <c r="D442" i="50"/>
  <c r="A450" i="50"/>
  <c r="D450" i="50" s="1"/>
  <c r="V37" i="48"/>
  <c r="A286" i="52"/>
  <c r="D286" i="52" s="1"/>
  <c r="AA37" i="48"/>
  <c r="A90" i="50"/>
  <c r="D90" i="50" s="1"/>
  <c r="D82" i="50"/>
  <c r="D999" i="51"/>
  <c r="A1007" i="51"/>
  <c r="D532" i="50"/>
  <c r="A540" i="50"/>
  <c r="D540" i="50" s="1"/>
  <c r="D52" i="50"/>
  <c r="A60" i="50"/>
  <c r="D60" i="50" s="1"/>
  <c r="A465" i="50"/>
  <c r="D465" i="50" s="1"/>
  <c r="D457" i="50"/>
  <c r="A511" i="51"/>
  <c r="D503" i="51"/>
  <c r="D720" i="51"/>
  <c r="A728" i="51"/>
  <c r="V9" i="48"/>
  <c r="A62" i="52"/>
  <c r="D62" i="52" s="1"/>
  <c r="AA9" i="48"/>
  <c r="D286" i="51"/>
  <c r="A294" i="51"/>
  <c r="V17" i="48"/>
  <c r="A126" i="52"/>
  <c r="D126" i="52" s="1"/>
  <c r="AA17" i="48"/>
  <c r="A542" i="51"/>
  <c r="D534" i="51"/>
  <c r="AA25" i="48"/>
  <c r="V25" i="48"/>
  <c r="A190" i="52"/>
  <c r="D190" i="52" s="1"/>
  <c r="D502" i="50"/>
  <c r="A510" i="50"/>
  <c r="D510" i="50" s="1"/>
  <c r="D1247" i="51"/>
  <c r="A1255" i="51"/>
  <c r="A405" i="50"/>
  <c r="D405" i="50" s="1"/>
  <c r="D397" i="50"/>
  <c r="D232" i="50"/>
  <c r="A240" i="50"/>
  <c r="D240" i="50" s="1"/>
  <c r="A852" i="51"/>
  <c r="D844" i="51"/>
  <c r="D1340" i="51"/>
  <c r="A1348" i="51"/>
  <c r="D782" i="51"/>
  <c r="A790" i="51"/>
  <c r="V22" i="48"/>
  <c r="AA22" i="48"/>
  <c r="A166" i="52"/>
  <c r="D166" i="52" s="1"/>
  <c r="D689" i="51"/>
  <c r="A697" i="51"/>
  <c r="D7" i="51"/>
  <c r="A15" i="51"/>
  <c r="A45" i="50"/>
  <c r="D45" i="50" s="1"/>
  <c r="D37" i="50"/>
  <c r="A976" i="51"/>
  <c r="D968" i="51"/>
  <c r="AA36" i="48"/>
  <c r="A278" i="52"/>
  <c r="D278" i="52" s="1"/>
  <c r="V36" i="48"/>
  <c r="D1061" i="51"/>
  <c r="A1069" i="51"/>
  <c r="AA2" i="48"/>
  <c r="A6" i="52"/>
  <c r="D6" i="52" s="1"/>
  <c r="V2" i="48"/>
  <c r="A139" i="51"/>
  <c r="D131" i="51"/>
  <c r="AA12" i="48"/>
  <c r="A86" i="52"/>
  <c r="D86" i="52" s="1"/>
  <c r="V12" i="48"/>
  <c r="D187" i="50"/>
  <c r="A195" i="50"/>
  <c r="D195" i="50" s="1"/>
  <c r="D906" i="51"/>
  <c r="A914" i="51"/>
  <c r="V5" i="48"/>
  <c r="A30" i="52"/>
  <c r="D30" i="52" s="1"/>
  <c r="AA5" i="48"/>
  <c r="D162" i="51"/>
  <c r="A170" i="51"/>
  <c r="D202" i="50"/>
  <c r="A210" i="50"/>
  <c r="D210" i="50" s="1"/>
  <c r="AA21" i="48"/>
  <c r="A158" i="52"/>
  <c r="D158" i="52" s="1"/>
  <c r="V21" i="48"/>
  <c r="AA10" i="48"/>
  <c r="A70" i="52"/>
  <c r="D70" i="52" s="1"/>
  <c r="V10" i="48"/>
  <c r="AA18" i="48"/>
  <c r="A134" i="52"/>
  <c r="D134" i="52" s="1"/>
  <c r="V18" i="48"/>
  <c r="V26" i="48"/>
  <c r="AA26" i="48"/>
  <c r="A198" i="52"/>
  <c r="D198" i="52" s="1"/>
  <c r="A1100" i="51"/>
  <c r="D1092" i="51"/>
  <c r="A570" i="50"/>
  <c r="D570" i="50" s="1"/>
  <c r="D562" i="50"/>
  <c r="A254" i="52"/>
  <c r="D254" i="52" s="1"/>
  <c r="V33" i="48"/>
  <c r="AA33" i="48"/>
  <c r="AA40" i="48"/>
  <c r="A310" i="52"/>
  <c r="D310" i="52" s="1"/>
  <c r="V40" i="48"/>
  <c r="A54" i="51"/>
  <c r="D46" i="51"/>
  <c r="A373" i="51"/>
  <c r="D373" i="51" s="1"/>
  <c r="D365" i="51"/>
  <c r="A404" i="51"/>
  <c r="D404" i="51" s="1"/>
  <c r="D396" i="51"/>
  <c r="A900" i="51"/>
  <c r="D900" i="51" s="1"/>
  <c r="D892" i="51"/>
  <c r="A931" i="51"/>
  <c r="D931" i="51" s="1"/>
  <c r="D923" i="51"/>
  <c r="A962" i="51"/>
  <c r="D962" i="51" s="1"/>
  <c r="D954" i="51"/>
  <c r="A993" i="51"/>
  <c r="D993" i="51" s="1"/>
  <c r="D985" i="51"/>
  <c r="A1024" i="51"/>
  <c r="D1024" i="51" s="1"/>
  <c r="D1016" i="51"/>
  <c r="A1055" i="51"/>
  <c r="D1055" i="51" s="1"/>
  <c r="D1047" i="51"/>
  <c r="D1078" i="51" l="1"/>
  <c r="Q43" i="48"/>
  <c r="Q41" i="48"/>
  <c r="A1213" i="51" s="1"/>
  <c r="Q44" i="48"/>
  <c r="A1306" i="51" s="1"/>
  <c r="R6" i="52"/>
  <c r="R7" i="52" s="1"/>
  <c r="R8" i="52" s="1"/>
  <c r="R9" i="52" s="1"/>
  <c r="R10" i="52" s="1"/>
  <c r="R11" i="52" s="1"/>
  <c r="R12" i="52" s="1"/>
  <c r="R13" i="52" s="1"/>
  <c r="R14" i="52" s="1"/>
  <c r="R15" i="52" s="1"/>
  <c r="R16" i="52" s="1"/>
  <c r="R17" i="52" s="1"/>
  <c r="R18" i="52" s="1"/>
  <c r="R19" i="52" s="1"/>
  <c r="R20" i="52" s="1"/>
  <c r="R21" i="52" s="1"/>
  <c r="R22" i="52" s="1"/>
  <c r="R23" i="52" s="1"/>
  <c r="R24" i="52" s="1"/>
  <c r="R25" i="52" s="1"/>
  <c r="R26" i="52" s="1"/>
  <c r="R27" i="52" s="1"/>
  <c r="R28" i="52" s="1"/>
  <c r="R29" i="52" s="1"/>
  <c r="R30" i="52" s="1"/>
  <c r="R31" i="52" s="1"/>
  <c r="R32" i="52" s="1"/>
  <c r="R33" i="52" s="1"/>
  <c r="R34" i="52" s="1"/>
  <c r="R35" i="52" s="1"/>
  <c r="R36" i="52" s="1"/>
  <c r="R37" i="52" s="1"/>
  <c r="R38" i="52" s="1"/>
  <c r="R39" i="52" s="1"/>
  <c r="R40" i="52" s="1"/>
  <c r="R41" i="52" s="1"/>
  <c r="R42" i="52" s="1"/>
  <c r="R43" i="52" s="1"/>
  <c r="R44" i="52" s="1"/>
  <c r="R45" i="52" s="1"/>
  <c r="R46" i="52" s="1"/>
  <c r="R47" i="52" s="1"/>
  <c r="A132" i="53"/>
  <c r="D132" i="53" s="1"/>
  <c r="A284" i="53"/>
  <c r="D284" i="53" s="1"/>
  <c r="A20" i="53"/>
  <c r="D20" i="53" s="1"/>
  <c r="A220" i="53"/>
  <c r="D220" i="53" s="1"/>
  <c r="A220" i="49"/>
  <c r="D220" i="49" s="1"/>
  <c r="A268" i="53"/>
  <c r="D268" i="53" s="1"/>
  <c r="A100" i="53"/>
  <c r="D100" i="53" s="1"/>
  <c r="A244" i="53"/>
  <c r="D244" i="53" s="1"/>
  <c r="A76" i="53"/>
  <c r="D76" i="53" s="1"/>
  <c r="A228" i="53"/>
  <c r="D228" i="53" s="1"/>
  <c r="A340" i="53"/>
  <c r="D340" i="53" s="1"/>
  <c r="A212" i="53"/>
  <c r="D212" i="53" s="1"/>
  <c r="A300" i="53"/>
  <c r="D300" i="53" s="1"/>
  <c r="A108" i="53"/>
  <c r="D108" i="53" s="1"/>
  <c r="A236" i="53"/>
  <c r="D236" i="53" s="1"/>
  <c r="A140" i="53"/>
  <c r="D140" i="53" s="1"/>
  <c r="A196" i="53"/>
  <c r="D196" i="53" s="1"/>
  <c r="A4" i="53"/>
  <c r="D4" i="53" s="1"/>
  <c r="A124" i="53"/>
  <c r="D124" i="53" s="1"/>
  <c r="A156" i="53"/>
  <c r="D156" i="53" s="1"/>
  <c r="A276" i="53"/>
  <c r="D276" i="53" s="1"/>
  <c r="A188" i="53"/>
  <c r="D188" i="53" s="1"/>
  <c r="A60" i="53"/>
  <c r="D60" i="53" s="1"/>
  <c r="A180" i="53"/>
  <c r="D180" i="53" s="1"/>
  <c r="A324" i="53"/>
  <c r="D324" i="53" s="1"/>
  <c r="A308" i="53"/>
  <c r="D308" i="53" s="1"/>
  <c r="A68" i="53"/>
  <c r="D68" i="53" s="1"/>
  <c r="A28" i="53"/>
  <c r="D28" i="53" s="1"/>
  <c r="A148" i="53"/>
  <c r="D148" i="53" s="1"/>
  <c r="A316" i="53"/>
  <c r="D316" i="53" s="1"/>
  <c r="A348" i="53"/>
  <c r="D348" i="53" s="1"/>
  <c r="A348" i="49"/>
  <c r="D348" i="49" s="1"/>
  <c r="A204" i="53"/>
  <c r="D204" i="53" s="1"/>
  <c r="A204" i="49"/>
  <c r="D204" i="49" s="1"/>
  <c r="A252" i="53"/>
  <c r="D252" i="53" s="1"/>
  <c r="A84" i="53"/>
  <c r="D84" i="53" s="1"/>
  <c r="A164" i="53"/>
  <c r="D164" i="53" s="1"/>
  <c r="A292" i="53"/>
  <c r="D292" i="53" s="1"/>
  <c r="A116" i="53"/>
  <c r="D116" i="53" s="1"/>
  <c r="A44" i="53"/>
  <c r="D44" i="53" s="1"/>
  <c r="A332" i="53"/>
  <c r="D332" i="53" s="1"/>
  <c r="A619" i="50"/>
  <c r="A260" i="53"/>
  <c r="D260" i="53" s="1"/>
  <c r="A172" i="53"/>
  <c r="D172" i="53" s="1"/>
  <c r="A52" i="53"/>
  <c r="D52" i="53" s="1"/>
  <c r="A92" i="53"/>
  <c r="D92" i="53" s="1"/>
  <c r="A36" i="53"/>
  <c r="D36" i="53" s="1"/>
  <c r="A12" i="53"/>
  <c r="D12" i="53" s="1"/>
  <c r="S5" i="53"/>
  <c r="S6" i="53" s="1"/>
  <c r="S7" i="53" s="1"/>
  <c r="S8" i="53" s="1"/>
  <c r="S9" i="53" s="1"/>
  <c r="S10" i="53" s="1"/>
  <c r="S11" i="53" s="1"/>
  <c r="S12" i="53" s="1"/>
  <c r="S13" i="53" s="1"/>
  <c r="S14" i="53" s="1"/>
  <c r="S15" i="53" s="1"/>
  <c r="S16" i="53" s="1"/>
  <c r="S17" i="53" s="1"/>
  <c r="S18" i="53" s="1"/>
  <c r="S19" i="53" s="1"/>
  <c r="S20" i="53" s="1"/>
  <c r="S21" i="53" s="1"/>
  <c r="S22" i="53" s="1"/>
  <c r="S23" i="53" s="1"/>
  <c r="S24" i="53" s="1"/>
  <c r="S25" i="53" s="1"/>
  <c r="S26" i="53" s="1"/>
  <c r="S27" i="53" s="1"/>
  <c r="S28" i="53" s="1"/>
  <c r="S29" i="53" s="1"/>
  <c r="S30" i="53" s="1"/>
  <c r="S31" i="53" s="1"/>
  <c r="S32" i="53" s="1"/>
  <c r="S33" i="53" s="1"/>
  <c r="S34" i="53" s="1"/>
  <c r="S35" i="53" s="1"/>
  <c r="S36" i="53" s="1"/>
  <c r="S37" i="53" s="1"/>
  <c r="S38" i="53" s="1"/>
  <c r="S39" i="53" s="1"/>
  <c r="S40" i="53" s="1"/>
  <c r="S41" i="53" s="1"/>
  <c r="S42" i="53" s="1"/>
  <c r="S43" i="53" s="1"/>
  <c r="S44" i="53" s="1"/>
  <c r="S45" i="53" s="1"/>
  <c r="S46" i="53" s="1"/>
  <c r="S47" i="53" s="1"/>
  <c r="R4" i="53"/>
  <c r="R5" i="53" s="1"/>
  <c r="R6" i="53" s="1"/>
  <c r="R7" i="53" s="1"/>
  <c r="R8" i="53" s="1"/>
  <c r="R9" i="53" s="1"/>
  <c r="R10" i="53" s="1"/>
  <c r="R11" i="53" s="1"/>
  <c r="R12" i="53" s="1"/>
  <c r="R13" i="53" s="1"/>
  <c r="R14" i="53" s="1"/>
  <c r="R15" i="53" s="1"/>
  <c r="R16" i="53" s="1"/>
  <c r="R17" i="53" s="1"/>
  <c r="R18" i="53" s="1"/>
  <c r="R19" i="53" s="1"/>
  <c r="R20" i="53" s="1"/>
  <c r="R21" i="53" s="1"/>
  <c r="R22" i="53" s="1"/>
  <c r="R23" i="53" s="1"/>
  <c r="R24" i="53" s="1"/>
  <c r="R25" i="53" s="1"/>
  <c r="R26" i="53" s="1"/>
  <c r="R27" i="53" s="1"/>
  <c r="R28" i="53" s="1"/>
  <c r="R29" i="53" s="1"/>
  <c r="R30" i="53" s="1"/>
  <c r="R31" i="53" s="1"/>
  <c r="R32" i="53" s="1"/>
  <c r="R33" i="53" s="1"/>
  <c r="R34" i="53" s="1"/>
  <c r="R35" i="53" s="1"/>
  <c r="R36" i="53" s="1"/>
  <c r="R37" i="53" s="1"/>
  <c r="R38" i="53" s="1"/>
  <c r="R39" i="53" s="1"/>
  <c r="R40" i="53" s="1"/>
  <c r="R41" i="53" s="1"/>
  <c r="R42" i="53" s="1"/>
  <c r="R43" i="53" s="1"/>
  <c r="R44" i="53" s="1"/>
  <c r="R45" i="53" s="1"/>
  <c r="R46" i="53" s="1"/>
  <c r="R47" i="53" s="1"/>
  <c r="S4" i="52"/>
  <c r="S5" i="52" s="1"/>
  <c r="S6" i="52" s="1"/>
  <c r="S7" i="52" s="1"/>
  <c r="S8" i="52" s="1"/>
  <c r="S9" i="52" s="1"/>
  <c r="S10" i="52" s="1"/>
  <c r="S11" i="52" s="1"/>
  <c r="S12" i="52" s="1"/>
  <c r="S13" i="52" s="1"/>
  <c r="S14" i="52" s="1"/>
  <c r="S15" i="52" s="1"/>
  <c r="S16" i="52" s="1"/>
  <c r="S17" i="52" s="1"/>
  <c r="S18" i="52" s="1"/>
  <c r="S19" i="52" s="1"/>
  <c r="S20" i="52" s="1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S31" i="52" s="1"/>
  <c r="S32" i="52" s="1"/>
  <c r="S33" i="52" s="1"/>
  <c r="S34" i="52" s="1"/>
  <c r="S35" i="52" s="1"/>
  <c r="S36" i="52" s="1"/>
  <c r="S37" i="52" s="1"/>
  <c r="S38" i="52" s="1"/>
  <c r="S39" i="52" s="1"/>
  <c r="S40" i="52" s="1"/>
  <c r="S41" i="52" s="1"/>
  <c r="S42" i="52" s="1"/>
  <c r="S43" i="52" s="1"/>
  <c r="S44" i="52" s="1"/>
  <c r="S45" i="52" s="1"/>
  <c r="S46" i="52" s="1"/>
  <c r="S47" i="52" s="1"/>
  <c r="R10" i="49"/>
  <c r="R11" i="49" s="1"/>
  <c r="R12" i="49" s="1"/>
  <c r="R13" i="49" s="1"/>
  <c r="R14" i="49" s="1"/>
  <c r="R15" i="49" s="1"/>
  <c r="R16" i="49" s="1"/>
  <c r="R17" i="49" s="1"/>
  <c r="R18" i="49" s="1"/>
  <c r="R19" i="49" s="1"/>
  <c r="R20" i="49" s="1"/>
  <c r="R21" i="49" s="1"/>
  <c r="R22" i="49" s="1"/>
  <c r="R23" i="49" s="1"/>
  <c r="R24" i="49" s="1"/>
  <c r="R25" i="49" s="1"/>
  <c r="R26" i="49" s="1"/>
  <c r="R27" i="49" s="1"/>
  <c r="R28" i="49" s="1"/>
  <c r="R29" i="49" s="1"/>
  <c r="R30" i="49" s="1"/>
  <c r="R31" i="49" s="1"/>
  <c r="R32" i="49" s="1"/>
  <c r="R33" i="49" s="1"/>
  <c r="R34" i="49" s="1"/>
  <c r="R35" i="49" s="1"/>
  <c r="R36" i="49" s="1"/>
  <c r="R37" i="49" s="1"/>
  <c r="R38" i="49" s="1"/>
  <c r="R39" i="49" s="1"/>
  <c r="R40" i="49" s="1"/>
  <c r="R41" i="49" s="1"/>
  <c r="R42" i="49" s="1"/>
  <c r="R43" i="49" s="1"/>
  <c r="R44" i="49" s="1"/>
  <c r="R45" i="49" s="1"/>
  <c r="R46" i="49" s="1"/>
  <c r="R47" i="49" s="1"/>
  <c r="T1" i="38"/>
  <c r="C6" i="54" s="1"/>
  <c r="A6" i="54"/>
  <c r="L4" i="43"/>
  <c r="C2" i="38"/>
  <c r="A605" i="50"/>
  <c r="A613" i="50" s="1"/>
  <c r="D613" i="50" s="1"/>
  <c r="D425" i="50"/>
  <c r="D590" i="50"/>
  <c r="A538" i="50"/>
  <c r="D538" i="50" s="1"/>
  <c r="A388" i="50"/>
  <c r="D388" i="50" s="1"/>
  <c r="D650" i="50"/>
  <c r="D470" i="50"/>
  <c r="A129" i="51"/>
  <c r="A137" i="51" s="1"/>
  <c r="D137" i="51" s="1"/>
  <c r="A315" i="51"/>
  <c r="A323" i="51" s="1"/>
  <c r="D323" i="51" s="1"/>
  <c r="A65" i="50"/>
  <c r="A73" i="50" s="1"/>
  <c r="D73" i="50" s="1"/>
  <c r="A463" i="50"/>
  <c r="D463" i="50" s="1"/>
  <c r="A628" i="50"/>
  <c r="D628" i="50" s="1"/>
  <c r="D350" i="50"/>
  <c r="A170" i="50"/>
  <c r="D170" i="50" s="1"/>
  <c r="A1160" i="51"/>
  <c r="D1160" i="51" s="1"/>
  <c r="A523" i="50"/>
  <c r="D523" i="50" s="1"/>
  <c r="D440" i="50"/>
  <c r="D635" i="50"/>
  <c r="D290" i="50"/>
  <c r="A365" i="50"/>
  <c r="A15" i="43"/>
  <c r="A9" i="22" s="1"/>
  <c r="O9" i="22" s="1"/>
  <c r="A788" i="51"/>
  <c r="A796" i="51" s="1"/>
  <c r="A540" i="51"/>
  <c r="A548" i="51" s="1"/>
  <c r="D500" i="50"/>
  <c r="A749" i="51"/>
  <c r="A757" i="51" s="1"/>
  <c r="D757" i="51" s="1"/>
  <c r="A95" i="50"/>
  <c r="A726" i="51"/>
  <c r="D726" i="51" s="1"/>
  <c r="A20" i="50"/>
  <c r="A28" i="50" s="1"/>
  <c r="D28" i="50" s="1"/>
  <c r="D1028" i="51"/>
  <c r="D346" i="51"/>
  <c r="A125" i="50"/>
  <c r="A133" i="50" s="1"/>
  <c r="D133" i="50" s="1"/>
  <c r="A80" i="50"/>
  <c r="D80" i="50" s="1"/>
  <c r="D873" i="51"/>
  <c r="A191" i="51"/>
  <c r="A199" i="51" s="1"/>
  <c r="D199" i="51" s="1"/>
  <c r="D1276" i="51"/>
  <c r="A67" i="51"/>
  <c r="A75" i="51" s="1"/>
  <c r="A83" i="51" s="1"/>
  <c r="A35" i="50"/>
  <c r="A43" i="50" s="1"/>
  <c r="D43" i="50" s="1"/>
  <c r="A1098" i="51"/>
  <c r="D1098" i="51" s="1"/>
  <c r="A36" i="51"/>
  <c r="A44" i="51" s="1"/>
  <c r="D44" i="51" s="1"/>
  <c r="A1215" i="51"/>
  <c r="D1215" i="51" s="1"/>
  <c r="A781" i="51"/>
  <c r="D781" i="51" s="1"/>
  <c r="A843" i="51"/>
  <c r="D843" i="51" s="1"/>
  <c r="B350" i="53"/>
  <c r="E350" i="53" s="1"/>
  <c r="A1129" i="51"/>
  <c r="A1137" i="51" s="1"/>
  <c r="A651" i="50"/>
  <c r="D651" i="50" s="1"/>
  <c r="T45" i="48"/>
  <c r="A1339" i="51"/>
  <c r="A1347" i="51" s="1"/>
  <c r="A350" i="49"/>
  <c r="D350" i="49" s="1"/>
  <c r="B222" i="53"/>
  <c r="E222" i="53" s="1"/>
  <c r="A222" i="49"/>
  <c r="D222" i="49" s="1"/>
  <c r="T27" i="48"/>
  <c r="A411" i="50"/>
  <c r="A419" i="50" s="1"/>
  <c r="D419" i="50" s="1"/>
  <c r="T29" i="48"/>
  <c r="A253" i="51"/>
  <c r="A261" i="51" s="1"/>
  <c r="D261" i="51" s="1"/>
  <c r="A1277" i="51"/>
  <c r="A1285" i="51" s="1"/>
  <c r="B318" i="53"/>
  <c r="E318" i="53" s="1"/>
  <c r="A206" i="49"/>
  <c r="D206" i="49" s="1"/>
  <c r="B334" i="53"/>
  <c r="E334" i="53" s="1"/>
  <c r="B206" i="53"/>
  <c r="E206" i="53" s="1"/>
  <c r="A381" i="50"/>
  <c r="A389" i="50" s="1"/>
  <c r="D389" i="50" s="1"/>
  <c r="A591" i="50"/>
  <c r="A599" i="50" s="1"/>
  <c r="D599" i="50" s="1"/>
  <c r="T41" i="48"/>
  <c r="A318" i="49"/>
  <c r="D318" i="49" s="1"/>
  <c r="A334" i="49"/>
  <c r="D334" i="49" s="1"/>
  <c r="A621" i="50"/>
  <c r="A629" i="50" s="1"/>
  <c r="D629" i="50" s="1"/>
  <c r="T43" i="48"/>
  <c r="H44" i="48"/>
  <c r="D485" i="50"/>
  <c r="D260" i="50"/>
  <c r="D305" i="50"/>
  <c r="A140" i="50"/>
  <c r="A148" i="50" s="1"/>
  <c r="D148" i="50" s="1"/>
  <c r="D155" i="50"/>
  <c r="A163" i="50"/>
  <c r="D163" i="50" s="1"/>
  <c r="A819" i="51"/>
  <c r="A827" i="51" s="1"/>
  <c r="A1346" i="51"/>
  <c r="D1346" i="51" s="1"/>
  <c r="A1315" i="51"/>
  <c r="A1323" i="51" s="1"/>
  <c r="D656" i="51"/>
  <c r="A208" i="50"/>
  <c r="D208" i="50" s="1"/>
  <c r="A215" i="50"/>
  <c r="A223" i="50" s="1"/>
  <c r="D223" i="50" s="1"/>
  <c r="A160" i="51"/>
  <c r="D160" i="51" s="1"/>
  <c r="D966" i="51"/>
  <c r="A1005" i="51"/>
  <c r="A1013" i="51" s="1"/>
  <c r="A695" i="51"/>
  <c r="A703" i="51" s="1"/>
  <c r="A912" i="51"/>
  <c r="D912" i="51" s="1"/>
  <c r="D335" i="50"/>
  <c r="A563" i="51"/>
  <c r="A602" i="51"/>
  <c r="D602" i="51" s="1"/>
  <c r="A275" i="50"/>
  <c r="A245" i="50"/>
  <c r="A501" i="51"/>
  <c r="A1222" i="51"/>
  <c r="A1230" i="51" s="1"/>
  <c r="A403" i="50"/>
  <c r="D403" i="50" s="1"/>
  <c r="D842" i="51"/>
  <c r="D320" i="50"/>
  <c r="A943" i="51"/>
  <c r="D943" i="51" s="1"/>
  <c r="D560" i="50"/>
  <c r="D410" i="50"/>
  <c r="D625" i="51"/>
  <c r="D1059" i="51"/>
  <c r="D545" i="50"/>
  <c r="A377" i="51"/>
  <c r="A185" i="50"/>
  <c r="D439" i="51"/>
  <c r="A447" i="51"/>
  <c r="A455" i="51" s="1"/>
  <c r="A408" i="51"/>
  <c r="A50" i="50"/>
  <c r="A98" i="51"/>
  <c r="A5" i="50"/>
  <c r="A5" i="51"/>
  <c r="D1245" i="51"/>
  <c r="A1253" i="51"/>
  <c r="A1261" i="51" s="1"/>
  <c r="H50" i="39"/>
  <c r="L47" i="38"/>
  <c r="R42" i="48"/>
  <c r="Q42" i="48" s="1"/>
  <c r="F49" i="39"/>
  <c r="H50" i="38"/>
  <c r="I50" i="38" s="1"/>
  <c r="C57" i="37"/>
  <c r="D57" i="37" s="1"/>
  <c r="C52" i="39"/>
  <c r="H51" i="39"/>
  <c r="H48" i="39"/>
  <c r="L45" i="38"/>
  <c r="R40" i="48"/>
  <c r="Q40" i="48" s="1"/>
  <c r="F47" i="39"/>
  <c r="H52" i="39"/>
  <c r="C53" i="37"/>
  <c r="D53" i="37" s="1"/>
  <c r="H46" i="38"/>
  <c r="I46" i="38" s="1"/>
  <c r="C48" i="39"/>
  <c r="C55" i="37"/>
  <c r="D55" i="37" s="1"/>
  <c r="H48" i="38"/>
  <c r="I48" i="38" s="1"/>
  <c r="C50" i="39"/>
  <c r="A1183" i="51"/>
  <c r="A575" i="50"/>
  <c r="A230" i="50"/>
  <c r="A470" i="51"/>
  <c r="D284" i="51"/>
  <c r="A77" i="53"/>
  <c r="D77" i="53" s="1"/>
  <c r="A222" i="51"/>
  <c r="A110" i="50"/>
  <c r="AC26" i="48"/>
  <c r="U26" i="48"/>
  <c r="A199" i="52" s="1"/>
  <c r="D199" i="52" s="1"/>
  <c r="U18" i="48"/>
  <c r="A135" i="52" s="1"/>
  <c r="D135" i="52" s="1"/>
  <c r="AC18" i="48"/>
  <c r="U10" i="48"/>
  <c r="A71" i="52" s="1"/>
  <c r="D71" i="52" s="1"/>
  <c r="AC10" i="48"/>
  <c r="AC12" i="48"/>
  <c r="U12" i="48"/>
  <c r="A87" i="52" s="1"/>
  <c r="D87" i="52" s="1"/>
  <c r="D790" i="51"/>
  <c r="A798" i="51"/>
  <c r="A860" i="51"/>
  <c r="D852" i="51"/>
  <c r="AC9" i="48"/>
  <c r="U9" i="48"/>
  <c r="A63" i="52" s="1"/>
  <c r="D63" i="52" s="1"/>
  <c r="AC29" i="48"/>
  <c r="U29" i="48"/>
  <c r="A223" i="52" s="1"/>
  <c r="D223" i="52" s="1"/>
  <c r="D1317" i="51"/>
  <c r="A1325" i="51"/>
  <c r="D604" i="51"/>
  <c r="A612" i="51"/>
  <c r="A767" i="51"/>
  <c r="D759" i="51"/>
  <c r="U24" i="48"/>
  <c r="A183" i="52" s="1"/>
  <c r="D183" i="52" s="1"/>
  <c r="AC24" i="48"/>
  <c r="D1193" i="51"/>
  <c r="A1201" i="51"/>
  <c r="AC14" i="48"/>
  <c r="U14" i="48"/>
  <c r="A103" i="52" s="1"/>
  <c r="D103" i="52" s="1"/>
  <c r="A209" i="51"/>
  <c r="D201" i="51"/>
  <c r="AC34" i="48"/>
  <c r="U34" i="48"/>
  <c r="A263" i="52" s="1"/>
  <c r="D263" i="52" s="1"/>
  <c r="D883" i="51"/>
  <c r="A891" i="51"/>
  <c r="AC13" i="48"/>
  <c r="U13" i="48"/>
  <c r="A95" i="52" s="1"/>
  <c r="D95" i="52" s="1"/>
  <c r="U28" i="48"/>
  <c r="A215" i="52" s="1"/>
  <c r="D215" i="52" s="1"/>
  <c r="AC28" i="48"/>
  <c r="AC6" i="48"/>
  <c r="U6" i="48"/>
  <c r="A39" i="52" s="1"/>
  <c r="D39" i="52" s="1"/>
  <c r="D1131" i="51"/>
  <c r="A1139" i="51"/>
  <c r="AC15" i="48"/>
  <c r="U15" i="48"/>
  <c r="A111" i="52" s="1"/>
  <c r="D111" i="52" s="1"/>
  <c r="U33" i="48"/>
  <c r="A255" i="52" s="1"/>
  <c r="D255" i="52" s="1"/>
  <c r="AC33" i="48"/>
  <c r="D170" i="51"/>
  <c r="A178" i="51"/>
  <c r="D139" i="51"/>
  <c r="A147" i="51"/>
  <c r="D15" i="51"/>
  <c r="A23" i="51"/>
  <c r="D697" i="51"/>
  <c r="A705" i="51"/>
  <c r="D1348" i="51"/>
  <c r="A1356" i="51"/>
  <c r="D1255" i="51"/>
  <c r="A1263" i="51"/>
  <c r="U25" i="48"/>
  <c r="A191" i="52" s="1"/>
  <c r="D191" i="52" s="1"/>
  <c r="AC25" i="48"/>
  <c r="AC20" i="48"/>
  <c r="U20" i="48"/>
  <c r="A151" i="52" s="1"/>
  <c r="D151" i="52" s="1"/>
  <c r="D1286" i="51"/>
  <c r="A1294" i="51"/>
  <c r="D263" i="51"/>
  <c r="A271" i="51"/>
  <c r="D666" i="51"/>
  <c r="A674" i="51"/>
  <c r="D573" i="51"/>
  <c r="A581" i="51"/>
  <c r="AC8" i="48"/>
  <c r="U8" i="48"/>
  <c r="A55" i="52" s="1"/>
  <c r="D55" i="52" s="1"/>
  <c r="AC31" i="48"/>
  <c r="U31" i="48"/>
  <c r="A239" i="52" s="1"/>
  <c r="D239" i="52" s="1"/>
  <c r="D821" i="51"/>
  <c r="A829" i="51"/>
  <c r="AC42" i="48"/>
  <c r="U42" i="48"/>
  <c r="A327" i="52" s="1"/>
  <c r="D327" i="52" s="1"/>
  <c r="AC19" i="48"/>
  <c r="U19" i="48"/>
  <c r="A143" i="52" s="1"/>
  <c r="D143" i="52" s="1"/>
  <c r="A116" i="51"/>
  <c r="D108" i="51"/>
  <c r="AC3" i="48"/>
  <c r="U3" i="48"/>
  <c r="A15" i="52" s="1"/>
  <c r="D15" i="52" s="1"/>
  <c r="A1108" i="51"/>
  <c r="D1100" i="51"/>
  <c r="AC5" i="48"/>
  <c r="U5" i="48"/>
  <c r="A31" i="52" s="1"/>
  <c r="D31" i="52" s="1"/>
  <c r="AC36" i="48"/>
  <c r="U36" i="48"/>
  <c r="A279" i="52" s="1"/>
  <c r="D279" i="52" s="1"/>
  <c r="A984" i="51"/>
  <c r="D976" i="51"/>
  <c r="U22" i="48"/>
  <c r="A167" i="52" s="1"/>
  <c r="D167" i="52" s="1"/>
  <c r="AC22" i="48"/>
  <c r="A550" i="51"/>
  <c r="D542" i="51"/>
  <c r="AC17" i="48"/>
  <c r="U17" i="48"/>
  <c r="A127" i="52" s="1"/>
  <c r="D127" i="52" s="1"/>
  <c r="D511" i="51"/>
  <c r="A519" i="51"/>
  <c r="U37" i="48"/>
  <c r="A287" i="52" s="1"/>
  <c r="D287" i="52" s="1"/>
  <c r="AC37" i="48"/>
  <c r="A457" i="51"/>
  <c r="D449" i="51"/>
  <c r="AC16" i="48"/>
  <c r="U16" i="48"/>
  <c r="A119" i="52" s="1"/>
  <c r="D119" i="52" s="1"/>
  <c r="D232" i="51"/>
  <c r="A240" i="51"/>
  <c r="A643" i="51"/>
  <c r="D635" i="51"/>
  <c r="A1232" i="51"/>
  <c r="D1224" i="51"/>
  <c r="U41" i="48"/>
  <c r="A319" i="52" s="1"/>
  <c r="D319" i="52" s="1"/>
  <c r="AC41" i="48"/>
  <c r="U43" i="48"/>
  <c r="A335" i="52" s="1"/>
  <c r="D335" i="52" s="1"/>
  <c r="AC43" i="48"/>
  <c r="AC11" i="48"/>
  <c r="AD11" i="48" s="1"/>
  <c r="A77" i="49" s="1"/>
  <c r="D77" i="49" s="1"/>
  <c r="U11" i="48"/>
  <c r="A79" i="52" s="1"/>
  <c r="D79" i="52" s="1"/>
  <c r="D1162" i="51"/>
  <c r="A1170" i="51"/>
  <c r="AC44" i="48"/>
  <c r="U44" i="48"/>
  <c r="A343" i="52" s="1"/>
  <c r="D343" i="52" s="1"/>
  <c r="AC27" i="48"/>
  <c r="U27" i="48"/>
  <c r="A207" i="52" s="1"/>
  <c r="D207" i="52" s="1"/>
  <c r="D77" i="51"/>
  <c r="A85" i="51"/>
  <c r="D945" i="51"/>
  <c r="A953" i="51"/>
  <c r="D356" i="51"/>
  <c r="A364" i="51"/>
  <c r="AC40" i="48"/>
  <c r="U40" i="48"/>
  <c r="A311" i="52" s="1"/>
  <c r="D311" i="52" s="1"/>
  <c r="AC21" i="48"/>
  <c r="U21" i="48"/>
  <c r="A159" i="52" s="1"/>
  <c r="D159" i="52" s="1"/>
  <c r="D914" i="51"/>
  <c r="A922" i="51"/>
  <c r="U2" i="48"/>
  <c r="A7" i="52" s="1"/>
  <c r="D7" i="52" s="1"/>
  <c r="AC2" i="48"/>
  <c r="D1069" i="51"/>
  <c r="A1077" i="51"/>
  <c r="D294" i="51"/>
  <c r="A302" i="51"/>
  <c r="D728" i="51"/>
  <c r="A736" i="51"/>
  <c r="D1007" i="51"/>
  <c r="A1015" i="51"/>
  <c r="AC4" i="48"/>
  <c r="U4" i="48"/>
  <c r="A23" i="52" s="1"/>
  <c r="D23" i="52" s="1"/>
  <c r="U38" i="48"/>
  <c r="A295" i="52" s="1"/>
  <c r="D295" i="52" s="1"/>
  <c r="AC38" i="48"/>
  <c r="AC7" i="48"/>
  <c r="U7" i="48"/>
  <c r="A47" i="52" s="1"/>
  <c r="D47" i="52" s="1"/>
  <c r="A333" i="51"/>
  <c r="D325" i="51"/>
  <c r="U35" i="48"/>
  <c r="A271" i="52" s="1"/>
  <c r="D271" i="52" s="1"/>
  <c r="AC35" i="48"/>
  <c r="U45" i="48"/>
  <c r="A351" i="52" s="1"/>
  <c r="D351" i="52" s="1"/>
  <c r="AC45" i="48"/>
  <c r="U32" i="48"/>
  <c r="A247" i="52" s="1"/>
  <c r="D247" i="52" s="1"/>
  <c r="AC32" i="48"/>
  <c r="AC23" i="48"/>
  <c r="U23" i="48"/>
  <c r="A175" i="52" s="1"/>
  <c r="D175" i="52" s="1"/>
  <c r="AC30" i="48"/>
  <c r="U30" i="48"/>
  <c r="A231" i="52" s="1"/>
  <c r="D231" i="52" s="1"/>
  <c r="D418" i="51"/>
  <c r="A426" i="51"/>
  <c r="D387" i="51"/>
  <c r="A395" i="51"/>
  <c r="U39" i="48"/>
  <c r="A303" i="52" s="1"/>
  <c r="D303" i="52" s="1"/>
  <c r="AC39" i="48"/>
  <c r="D480" i="51"/>
  <c r="A488" i="51"/>
  <c r="D1038" i="51"/>
  <c r="A1046" i="51"/>
  <c r="A62" i="51"/>
  <c r="D62" i="51" s="1"/>
  <c r="D54" i="51"/>
  <c r="D1284" i="51"/>
  <c r="A1292" i="51"/>
  <c r="D1036" i="51"/>
  <c r="A1044" i="51"/>
  <c r="D974" i="51"/>
  <c r="A982" i="51"/>
  <c r="D850" i="51"/>
  <c r="A858" i="51"/>
  <c r="A889" i="51"/>
  <c r="D881" i="51"/>
  <c r="D292" i="51"/>
  <c r="A300" i="51"/>
  <c r="A641" i="51"/>
  <c r="D633" i="51"/>
  <c r="A1075" i="51"/>
  <c r="D1067" i="51"/>
  <c r="D664" i="51"/>
  <c r="A672" i="51"/>
  <c r="D354" i="51"/>
  <c r="A362" i="51"/>
  <c r="A316" i="49" l="1"/>
  <c r="D316" i="49" s="1"/>
  <c r="A340" i="49"/>
  <c r="D340" i="49" s="1"/>
  <c r="A157" i="53"/>
  <c r="D157" i="53" s="1"/>
  <c r="AD21" i="48"/>
  <c r="A157" i="49" s="1"/>
  <c r="D157" i="49" s="1"/>
  <c r="A317" i="53"/>
  <c r="D317" i="53" s="1"/>
  <c r="AD41" i="48"/>
  <c r="A317" i="49" s="1"/>
  <c r="D317" i="49" s="1"/>
  <c r="A285" i="53"/>
  <c r="D285" i="53" s="1"/>
  <c r="AD37" i="48"/>
  <c r="A285" i="49" s="1"/>
  <c r="D285" i="49" s="1"/>
  <c r="A165" i="53"/>
  <c r="D165" i="53" s="1"/>
  <c r="AD22" i="48"/>
  <c r="A165" i="49" s="1"/>
  <c r="D165" i="49" s="1"/>
  <c r="A13" i="53"/>
  <c r="D13" i="53" s="1"/>
  <c r="AD3" i="48"/>
  <c r="A13" i="49" s="1"/>
  <c r="D13" i="49" s="1"/>
  <c r="A141" i="53"/>
  <c r="D141" i="53" s="1"/>
  <c r="AD19" i="48"/>
  <c r="A141" i="49" s="1"/>
  <c r="D141" i="49" s="1"/>
  <c r="A53" i="53"/>
  <c r="D53" i="53" s="1"/>
  <c r="AD8" i="48"/>
  <c r="A53" i="49" s="1"/>
  <c r="D53" i="49" s="1"/>
  <c r="A109" i="53"/>
  <c r="D109" i="53" s="1"/>
  <c r="AD15" i="48"/>
  <c r="A109" i="49" s="1"/>
  <c r="D109" i="49" s="1"/>
  <c r="A37" i="53"/>
  <c r="D37" i="53" s="1"/>
  <c r="AD6" i="48"/>
  <c r="A37" i="49" s="1"/>
  <c r="D37" i="49" s="1"/>
  <c r="A93" i="53"/>
  <c r="D93" i="53" s="1"/>
  <c r="AD13" i="48"/>
  <c r="A93" i="49" s="1"/>
  <c r="D93" i="49" s="1"/>
  <c r="A261" i="53"/>
  <c r="D261" i="53" s="1"/>
  <c r="AD34" i="48"/>
  <c r="A261" i="49" s="1"/>
  <c r="D261" i="49" s="1"/>
  <c r="A101" i="53"/>
  <c r="D101" i="53" s="1"/>
  <c r="AD14" i="48"/>
  <c r="A101" i="49" s="1"/>
  <c r="D101" i="49" s="1"/>
  <c r="A221" i="53"/>
  <c r="D221" i="53" s="1"/>
  <c r="AD29" i="48"/>
  <c r="A221" i="49" s="1"/>
  <c r="D221" i="49" s="1"/>
  <c r="A133" i="53"/>
  <c r="D133" i="53" s="1"/>
  <c r="AD18" i="48"/>
  <c r="A133" i="49" s="1"/>
  <c r="D133" i="49" s="1"/>
  <c r="A245" i="53"/>
  <c r="D245" i="53" s="1"/>
  <c r="AD32" i="48"/>
  <c r="A245" i="49" s="1"/>
  <c r="D245" i="49" s="1"/>
  <c r="A341" i="53"/>
  <c r="D341" i="53" s="1"/>
  <c r="AD44" i="48"/>
  <c r="A341" i="49" s="1"/>
  <c r="D341" i="49" s="1"/>
  <c r="A117" i="53"/>
  <c r="D117" i="53" s="1"/>
  <c r="AD16" i="48"/>
  <c r="A117" i="49" s="1"/>
  <c r="D117" i="49" s="1"/>
  <c r="A125" i="53"/>
  <c r="D125" i="53" s="1"/>
  <c r="AD17" i="48"/>
  <c r="A125" i="49" s="1"/>
  <c r="D125" i="49" s="1"/>
  <c r="A277" i="53"/>
  <c r="D277" i="53" s="1"/>
  <c r="AD36" i="48"/>
  <c r="A277" i="49" s="1"/>
  <c r="D277" i="49" s="1"/>
  <c r="A253" i="53"/>
  <c r="D253" i="53" s="1"/>
  <c r="AD33" i="48"/>
  <c r="A253" i="49" s="1"/>
  <c r="D253" i="49" s="1"/>
  <c r="A213" i="53"/>
  <c r="D213" i="53" s="1"/>
  <c r="AD28" i="48"/>
  <c r="A213" i="49" s="1"/>
  <c r="D213" i="49" s="1"/>
  <c r="A85" i="53"/>
  <c r="D85" i="53" s="1"/>
  <c r="AD12" i="48"/>
  <c r="A85" i="49" s="1"/>
  <c r="D85" i="49" s="1"/>
  <c r="A173" i="53"/>
  <c r="D173" i="53" s="1"/>
  <c r="AD23" i="48"/>
  <c r="A173" i="49" s="1"/>
  <c r="D173" i="49" s="1"/>
  <c r="A269" i="53"/>
  <c r="D269" i="53" s="1"/>
  <c r="AD35" i="48"/>
  <c r="A269" i="49" s="1"/>
  <c r="D269" i="49" s="1"/>
  <c r="A229" i="53"/>
  <c r="D229" i="53" s="1"/>
  <c r="AD30" i="48"/>
  <c r="A229" i="49" s="1"/>
  <c r="D229" i="49" s="1"/>
  <c r="A45" i="53"/>
  <c r="D45" i="53" s="1"/>
  <c r="AD7" i="48"/>
  <c r="A45" i="49" s="1"/>
  <c r="D45" i="49" s="1"/>
  <c r="A21" i="53"/>
  <c r="D21" i="53" s="1"/>
  <c r="AD4" i="48"/>
  <c r="A21" i="49" s="1"/>
  <c r="D21" i="49" s="1"/>
  <c r="A309" i="53"/>
  <c r="D309" i="53" s="1"/>
  <c r="AD40" i="48"/>
  <c r="A309" i="49" s="1"/>
  <c r="D309" i="49" s="1"/>
  <c r="A333" i="53"/>
  <c r="D333" i="53" s="1"/>
  <c r="AD43" i="48"/>
  <c r="A333" i="49" s="1"/>
  <c r="D333" i="49" s="1"/>
  <c r="A325" i="53"/>
  <c r="D325" i="53" s="1"/>
  <c r="AD42" i="48"/>
  <c r="A325" i="49" s="1"/>
  <c r="D325" i="49" s="1"/>
  <c r="A237" i="53"/>
  <c r="D237" i="53" s="1"/>
  <c r="AD31" i="48"/>
  <c r="A237" i="49" s="1"/>
  <c r="D237" i="49" s="1"/>
  <c r="A149" i="53"/>
  <c r="D149" i="53" s="1"/>
  <c r="AD20" i="48"/>
  <c r="A149" i="49" s="1"/>
  <c r="D149" i="49" s="1"/>
  <c r="A69" i="53"/>
  <c r="D69" i="53" s="1"/>
  <c r="AD10" i="48"/>
  <c r="A69" i="49" s="1"/>
  <c r="D69" i="49" s="1"/>
  <c r="A301" i="53"/>
  <c r="D301" i="53" s="1"/>
  <c r="AD39" i="48"/>
  <c r="A301" i="49" s="1"/>
  <c r="D301" i="49" s="1"/>
  <c r="A349" i="53"/>
  <c r="D349" i="53" s="1"/>
  <c r="AD45" i="48"/>
  <c r="A349" i="49" s="1"/>
  <c r="D349" i="49" s="1"/>
  <c r="A293" i="53"/>
  <c r="D293" i="53" s="1"/>
  <c r="AD38" i="48"/>
  <c r="A293" i="49" s="1"/>
  <c r="D293" i="49" s="1"/>
  <c r="A5" i="53"/>
  <c r="D5" i="53" s="1"/>
  <c r="AD2" i="48"/>
  <c r="A5" i="49" s="1"/>
  <c r="D5" i="49" s="1"/>
  <c r="A205" i="53"/>
  <c r="D205" i="53" s="1"/>
  <c r="AD27" i="48"/>
  <c r="A205" i="49" s="1"/>
  <c r="D205" i="49" s="1"/>
  <c r="A29" i="53"/>
  <c r="D29" i="53" s="1"/>
  <c r="AD5" i="48"/>
  <c r="A29" i="49" s="1"/>
  <c r="D29" i="49" s="1"/>
  <c r="A189" i="53"/>
  <c r="D189" i="53" s="1"/>
  <c r="AD25" i="48"/>
  <c r="A189" i="49" s="1"/>
  <c r="D189" i="49" s="1"/>
  <c r="A181" i="53"/>
  <c r="D181" i="53" s="1"/>
  <c r="AD24" i="48"/>
  <c r="A181" i="49" s="1"/>
  <c r="D181" i="49" s="1"/>
  <c r="A61" i="53"/>
  <c r="D61" i="53" s="1"/>
  <c r="AD9" i="48"/>
  <c r="A61" i="49" s="1"/>
  <c r="D61" i="49" s="1"/>
  <c r="A197" i="53"/>
  <c r="D197" i="53" s="1"/>
  <c r="AD26" i="48"/>
  <c r="A197" i="49" s="1"/>
  <c r="D197" i="49" s="1"/>
  <c r="A409" i="50"/>
  <c r="A417" i="50" s="1"/>
  <c r="D417" i="50" s="1"/>
  <c r="A649" i="50"/>
  <c r="A657" i="50" s="1"/>
  <c r="D657" i="50" s="1"/>
  <c r="A1275" i="51"/>
  <c r="A1283" i="51" s="1"/>
  <c r="A332" i="49"/>
  <c r="D332" i="49" s="1"/>
  <c r="A841" i="51"/>
  <c r="A849" i="51" s="1"/>
  <c r="A1337" i="51"/>
  <c r="D1337" i="51" s="1"/>
  <c r="A379" i="50"/>
  <c r="A387" i="50" s="1"/>
  <c r="D387" i="50" s="1"/>
  <c r="A634" i="50"/>
  <c r="D634" i="50" s="1"/>
  <c r="A589" i="50"/>
  <c r="A597" i="50" s="1"/>
  <c r="D597" i="50" s="1"/>
  <c r="A779" i="51"/>
  <c r="D779" i="51" s="1"/>
  <c r="A627" i="50"/>
  <c r="D627" i="50" s="1"/>
  <c r="D619" i="50"/>
  <c r="D605" i="50"/>
  <c r="D788" i="51"/>
  <c r="A331" i="51"/>
  <c r="A339" i="51" s="1"/>
  <c r="D339" i="51" s="1"/>
  <c r="D65" i="50"/>
  <c r="A145" i="51"/>
  <c r="D145" i="51" s="1"/>
  <c r="A1168" i="51"/>
  <c r="D1168" i="51" s="1"/>
  <c r="A1106" i="51"/>
  <c r="A1114" i="51" s="1"/>
  <c r="D1114" i="51" s="1"/>
  <c r="D129" i="51"/>
  <c r="A207" i="51"/>
  <c r="D207" i="51" s="1"/>
  <c r="D315" i="51"/>
  <c r="A734" i="51"/>
  <c r="A742" i="51" s="1"/>
  <c r="D742" i="51" s="1"/>
  <c r="A178" i="50"/>
  <c r="D178" i="50" s="1"/>
  <c r="D540" i="51"/>
  <c r="A16" i="43"/>
  <c r="A10" i="22" s="1"/>
  <c r="O10" i="22" s="1"/>
  <c r="A373" i="50"/>
  <c r="D373" i="50" s="1"/>
  <c r="D365" i="50"/>
  <c r="D749" i="51"/>
  <c r="A765" i="51"/>
  <c r="D765" i="51" s="1"/>
  <c r="D695" i="51"/>
  <c r="A610" i="51"/>
  <c r="D610" i="51" s="1"/>
  <c r="D819" i="51"/>
  <c r="A951" i="51"/>
  <c r="A959" i="51" s="1"/>
  <c r="D959" i="51" s="1"/>
  <c r="A88" i="50"/>
  <c r="D88" i="50" s="1"/>
  <c r="A10" i="34"/>
  <c r="A269" i="51"/>
  <c r="D269" i="51" s="1"/>
  <c r="D191" i="51"/>
  <c r="A103" i="50"/>
  <c r="D103" i="50" s="1"/>
  <c r="D95" i="50"/>
  <c r="D35" i="50"/>
  <c r="A336" i="52"/>
  <c r="D336" i="52" s="1"/>
  <c r="A352" i="52"/>
  <c r="D352" i="52" s="1"/>
  <c r="A320" i="52"/>
  <c r="D320" i="52" s="1"/>
  <c r="A224" i="52"/>
  <c r="D224" i="52" s="1"/>
  <c r="A208" i="52"/>
  <c r="D208" i="52" s="1"/>
  <c r="D20" i="50"/>
  <c r="D1253" i="51"/>
  <c r="A9" i="38"/>
  <c r="Q9" i="38" s="1"/>
  <c r="D1315" i="51"/>
  <c r="D75" i="51"/>
  <c r="D125" i="50"/>
  <c r="D67" i="51"/>
  <c r="A52" i="51"/>
  <c r="A60" i="51" s="1"/>
  <c r="D60" i="51" s="1"/>
  <c r="A920" i="51"/>
  <c r="D920" i="51" s="1"/>
  <c r="D140" i="50"/>
  <c r="A11" i="39"/>
  <c r="A11" i="37"/>
  <c r="W44" i="22"/>
  <c r="A851" i="51"/>
  <c r="A859" i="51" s="1"/>
  <c r="W46" i="22"/>
  <c r="D36" i="51"/>
  <c r="A789" i="51"/>
  <c r="A797" i="51" s="1"/>
  <c r="A1223" i="51"/>
  <c r="D1223" i="51" s="1"/>
  <c r="A342" i="49"/>
  <c r="D342" i="49" s="1"/>
  <c r="D1129" i="51"/>
  <c r="D1339" i="51"/>
  <c r="A659" i="50"/>
  <c r="D659" i="50" s="1"/>
  <c r="D411" i="50"/>
  <c r="D381" i="50"/>
  <c r="D1277" i="51"/>
  <c r="D253" i="51"/>
  <c r="A636" i="50"/>
  <c r="A644" i="50" s="1"/>
  <c r="D644" i="50" s="1"/>
  <c r="D591" i="50"/>
  <c r="D215" i="50"/>
  <c r="B342" i="53"/>
  <c r="E342" i="53" s="1"/>
  <c r="A1308" i="51"/>
  <c r="A1316" i="51" s="1"/>
  <c r="A1324" i="51" s="1"/>
  <c r="T44" i="48"/>
  <c r="D621" i="50"/>
  <c r="H40" i="48"/>
  <c r="H42" i="48"/>
  <c r="A1354" i="51"/>
  <c r="A1362" i="51" s="1"/>
  <c r="D1362" i="51" s="1"/>
  <c r="D1005" i="51"/>
  <c r="D1222" i="51"/>
  <c r="A168" i="51"/>
  <c r="A253" i="50"/>
  <c r="D253" i="50" s="1"/>
  <c r="D245" i="50"/>
  <c r="D275" i="50"/>
  <c r="A283" i="50"/>
  <c r="D283" i="50" s="1"/>
  <c r="D501" i="51"/>
  <c r="A509" i="51"/>
  <c r="A571" i="51"/>
  <c r="D563" i="51"/>
  <c r="D447" i="51"/>
  <c r="A193" i="50"/>
  <c r="D193" i="50" s="1"/>
  <c r="D185" i="50"/>
  <c r="A385" i="51"/>
  <c r="D377" i="51"/>
  <c r="D50" i="50"/>
  <c r="A58" i="50"/>
  <c r="D58" i="50" s="1"/>
  <c r="A13" i="51"/>
  <c r="D5" i="51"/>
  <c r="A416" i="51"/>
  <c r="D408" i="51"/>
  <c r="D5" i="50"/>
  <c r="A13" i="50"/>
  <c r="D13" i="50" s="1"/>
  <c r="A106" i="51"/>
  <c r="D98" i="51"/>
  <c r="A308" i="49"/>
  <c r="D308" i="49" s="1"/>
  <c r="A1182" i="51"/>
  <c r="A574" i="50"/>
  <c r="C54" i="37"/>
  <c r="D54" i="37" s="1"/>
  <c r="H47" i="38"/>
  <c r="I47" i="38" s="1"/>
  <c r="C49" i="39"/>
  <c r="A583" i="50"/>
  <c r="D583" i="50" s="1"/>
  <c r="D575" i="50"/>
  <c r="A1191" i="51"/>
  <c r="D1183" i="51"/>
  <c r="C47" i="39"/>
  <c r="H45" i="38"/>
  <c r="I45" i="38" s="1"/>
  <c r="C52" i="37"/>
  <c r="D52" i="37" s="1"/>
  <c r="H49" i="39"/>
  <c r="H47" i="39"/>
  <c r="A1244" i="51"/>
  <c r="A604" i="50"/>
  <c r="A324" i="49"/>
  <c r="D324" i="49" s="1"/>
  <c r="D470" i="51"/>
  <c r="A478" i="51"/>
  <c r="A238" i="50"/>
  <c r="D238" i="50" s="1"/>
  <c r="D230" i="50"/>
  <c r="A118" i="50"/>
  <c r="D118" i="50" s="1"/>
  <c r="D110" i="50"/>
  <c r="A230" i="51"/>
  <c r="D222" i="51"/>
  <c r="D488" i="51"/>
  <c r="A496" i="51"/>
  <c r="D496" i="51" s="1"/>
  <c r="D395" i="51"/>
  <c r="A403" i="51"/>
  <c r="D403" i="51" s="1"/>
  <c r="D302" i="51"/>
  <c r="A310" i="51"/>
  <c r="D310" i="51" s="1"/>
  <c r="D922" i="51"/>
  <c r="A930" i="51"/>
  <c r="D930" i="51" s="1"/>
  <c r="D1170" i="51"/>
  <c r="A1178" i="51"/>
  <c r="D1178" i="51" s="1"/>
  <c r="D1306" i="51"/>
  <c r="A1314" i="51"/>
  <c r="A124" i="51"/>
  <c r="D124" i="51" s="1"/>
  <c r="D116" i="51"/>
  <c r="D1263" i="51"/>
  <c r="A1271" i="51"/>
  <c r="D1271" i="51" s="1"/>
  <c r="D705" i="51"/>
  <c r="A713" i="51"/>
  <c r="D713" i="51" s="1"/>
  <c r="D147" i="51"/>
  <c r="A155" i="51"/>
  <c r="D155" i="51" s="1"/>
  <c r="D178" i="51"/>
  <c r="A186" i="51"/>
  <c r="D186" i="51" s="1"/>
  <c r="A217" i="51"/>
  <c r="D217" i="51" s="1"/>
  <c r="D209" i="51"/>
  <c r="A341" i="51"/>
  <c r="D341" i="51" s="1"/>
  <c r="D333" i="51"/>
  <c r="D1015" i="51"/>
  <c r="A1023" i="51"/>
  <c r="D1023" i="51" s="1"/>
  <c r="D953" i="51"/>
  <c r="A961" i="51"/>
  <c r="D961" i="51" s="1"/>
  <c r="A1240" i="51"/>
  <c r="D1240" i="51" s="1"/>
  <c r="D1232" i="51"/>
  <c r="D581" i="51"/>
  <c r="A589" i="51"/>
  <c r="D589" i="51" s="1"/>
  <c r="D271" i="51"/>
  <c r="A279" i="51"/>
  <c r="D279" i="51" s="1"/>
  <c r="D1139" i="51"/>
  <c r="A1147" i="51"/>
  <c r="D1147" i="51" s="1"/>
  <c r="D891" i="51"/>
  <c r="A899" i="51"/>
  <c r="D899" i="51" s="1"/>
  <c r="A775" i="51"/>
  <c r="D775" i="51" s="1"/>
  <c r="D767" i="51"/>
  <c r="D1325" i="51"/>
  <c r="A1333" i="51"/>
  <c r="D1333" i="51" s="1"/>
  <c r="A1221" i="51"/>
  <c r="D1213" i="51"/>
  <c r="D1046" i="51"/>
  <c r="A1054" i="51"/>
  <c r="D1054" i="51" s="1"/>
  <c r="D426" i="51"/>
  <c r="A434" i="51"/>
  <c r="D434" i="51" s="1"/>
  <c r="D736" i="51"/>
  <c r="A744" i="51"/>
  <c r="D744" i="51" s="1"/>
  <c r="D1077" i="51"/>
  <c r="A1085" i="51"/>
  <c r="D1085" i="51" s="1"/>
  <c r="D85" i="51"/>
  <c r="A93" i="51"/>
  <c r="D93" i="51" s="1"/>
  <c r="D240" i="51"/>
  <c r="A248" i="51"/>
  <c r="D248" i="51" s="1"/>
  <c r="A465" i="51"/>
  <c r="D465" i="51" s="1"/>
  <c r="D457" i="51"/>
  <c r="A558" i="51"/>
  <c r="D558" i="51" s="1"/>
  <c r="D550" i="51"/>
  <c r="A992" i="51"/>
  <c r="D992" i="51" s="1"/>
  <c r="D984" i="51"/>
  <c r="D1356" i="51"/>
  <c r="A1364" i="51"/>
  <c r="D1364" i="51" s="1"/>
  <c r="D23" i="51"/>
  <c r="A31" i="51"/>
  <c r="D31" i="51" s="1"/>
  <c r="D364" i="51"/>
  <c r="A372" i="51"/>
  <c r="D372" i="51" s="1"/>
  <c r="A651" i="51"/>
  <c r="D651" i="51" s="1"/>
  <c r="D643" i="51"/>
  <c r="D519" i="51"/>
  <c r="A527" i="51"/>
  <c r="D527" i="51" s="1"/>
  <c r="A1116" i="51"/>
  <c r="D1116" i="51" s="1"/>
  <c r="D1108" i="51"/>
  <c r="D829" i="51"/>
  <c r="A837" i="51"/>
  <c r="D837" i="51" s="1"/>
  <c r="D674" i="51"/>
  <c r="A682" i="51"/>
  <c r="D682" i="51" s="1"/>
  <c r="D1294" i="51"/>
  <c r="A1302" i="51"/>
  <c r="D1302" i="51" s="1"/>
  <c r="D1201" i="51"/>
  <c r="A1209" i="51"/>
  <c r="D1209" i="51" s="1"/>
  <c r="D612" i="51"/>
  <c r="A620" i="51"/>
  <c r="D620" i="51" s="1"/>
  <c r="A868" i="51"/>
  <c r="D868" i="51" s="1"/>
  <c r="D860" i="51"/>
  <c r="D798" i="51"/>
  <c r="A806" i="51"/>
  <c r="D806" i="51" s="1"/>
  <c r="D362" i="51"/>
  <c r="A370" i="51"/>
  <c r="D370" i="51" s="1"/>
  <c r="D548" i="51"/>
  <c r="A556" i="51"/>
  <c r="D556" i="51" s="1"/>
  <c r="D672" i="51"/>
  <c r="A680" i="51"/>
  <c r="D680" i="51" s="1"/>
  <c r="D796" i="51"/>
  <c r="A804" i="51"/>
  <c r="D804" i="51" s="1"/>
  <c r="D300" i="51"/>
  <c r="A308" i="51"/>
  <c r="D308" i="51" s="1"/>
  <c r="A91" i="51"/>
  <c r="D91" i="51" s="1"/>
  <c r="D83" i="51"/>
  <c r="D858" i="51"/>
  <c r="A866" i="51"/>
  <c r="D866" i="51" s="1"/>
  <c r="D982" i="51"/>
  <c r="A990" i="51"/>
  <c r="D990" i="51" s="1"/>
  <c r="D1044" i="51"/>
  <c r="A1052" i="51"/>
  <c r="D1052" i="51" s="1"/>
  <c r="D1230" i="51"/>
  <c r="A1238" i="51"/>
  <c r="D1238" i="51" s="1"/>
  <c r="D1292" i="51"/>
  <c r="A1300" i="51"/>
  <c r="D1300" i="51" s="1"/>
  <c r="A1021" i="51"/>
  <c r="D1021" i="51" s="1"/>
  <c r="D1013" i="51"/>
  <c r="A1083" i="51"/>
  <c r="D1083" i="51" s="1"/>
  <c r="D1075" i="51"/>
  <c r="A1145" i="51"/>
  <c r="D1145" i="51" s="1"/>
  <c r="D1137" i="51"/>
  <c r="A1269" i="51"/>
  <c r="D1269" i="51" s="1"/>
  <c r="D1261" i="51"/>
  <c r="A1331" i="51"/>
  <c r="D1331" i="51" s="1"/>
  <c r="D1323" i="51"/>
  <c r="A711" i="51"/>
  <c r="D711" i="51" s="1"/>
  <c r="D703" i="51"/>
  <c r="A835" i="51"/>
  <c r="D835" i="51" s="1"/>
  <c r="D827" i="51"/>
  <c r="A463" i="51"/>
  <c r="D463" i="51" s="1"/>
  <c r="D455" i="51"/>
  <c r="A649" i="51"/>
  <c r="D649" i="51" s="1"/>
  <c r="D641" i="51"/>
  <c r="A897" i="51"/>
  <c r="D897" i="51" s="1"/>
  <c r="D889" i="51"/>
  <c r="A1293" i="51"/>
  <c r="D1285" i="51"/>
  <c r="A1355" i="51"/>
  <c r="D1347" i="51"/>
  <c r="D649" i="50" l="1"/>
  <c r="D409" i="50"/>
  <c r="D1275" i="51"/>
  <c r="D589" i="50"/>
  <c r="D379" i="50"/>
  <c r="D841" i="51"/>
  <c r="A642" i="50"/>
  <c r="D642" i="50" s="1"/>
  <c r="A787" i="51"/>
  <c r="D787" i="51" s="1"/>
  <c r="A1345" i="51"/>
  <c r="A1353" i="51" s="1"/>
  <c r="D1106" i="51"/>
  <c r="D734" i="51"/>
  <c r="D331" i="51"/>
  <c r="A1176" i="51"/>
  <c r="D1176" i="51" s="1"/>
  <c r="A153" i="51"/>
  <c r="D153" i="51" s="1"/>
  <c r="A215" i="51"/>
  <c r="D215" i="51" s="1"/>
  <c r="D951" i="51"/>
  <c r="A773" i="51"/>
  <c r="D773" i="51" s="1"/>
  <c r="A618" i="51"/>
  <c r="D618" i="51" s="1"/>
  <c r="A12" i="39"/>
  <c r="A10" i="38"/>
  <c r="Q10" i="38" s="1"/>
  <c r="A17" i="43"/>
  <c r="A11" i="22" s="1"/>
  <c r="O11" i="22" s="1"/>
  <c r="D1354" i="51"/>
  <c r="A277" i="51"/>
  <c r="D277" i="51" s="1"/>
  <c r="A928" i="51"/>
  <c r="D928" i="51" s="1"/>
  <c r="A11" i="38"/>
  <c r="Q11" i="38" s="1"/>
  <c r="D52" i="51"/>
  <c r="A344" i="52"/>
  <c r="D344" i="52" s="1"/>
  <c r="D851" i="51"/>
  <c r="A1231" i="51"/>
  <c r="D1231" i="51" s="1"/>
  <c r="D789" i="51"/>
  <c r="A1184" i="51"/>
  <c r="D1184" i="51" s="1"/>
  <c r="A326" i="49"/>
  <c r="D326" i="49" s="1"/>
  <c r="D636" i="50"/>
  <c r="B310" i="53"/>
  <c r="E310" i="53" s="1"/>
  <c r="D1316" i="51"/>
  <c r="D1308" i="51"/>
  <c r="T40" i="48"/>
  <c r="T42" i="48"/>
  <c r="A310" i="49"/>
  <c r="D310" i="49" s="1"/>
  <c r="B326" i="53"/>
  <c r="E326" i="53" s="1"/>
  <c r="A1246" i="51"/>
  <c r="A1254" i="51" s="1"/>
  <c r="A606" i="50"/>
  <c r="D606" i="50" s="1"/>
  <c r="A576" i="50"/>
  <c r="A584" i="50" s="1"/>
  <c r="D584" i="50" s="1"/>
  <c r="D168" i="51"/>
  <c r="A176" i="51"/>
  <c r="D571" i="51"/>
  <c r="A579" i="51"/>
  <c r="A517" i="51"/>
  <c r="D509" i="51"/>
  <c r="D385" i="51"/>
  <c r="A393" i="51"/>
  <c r="A21" i="51"/>
  <c r="D13" i="51"/>
  <c r="D106" i="51"/>
  <c r="A114" i="51"/>
  <c r="A424" i="51"/>
  <c r="D416" i="51"/>
  <c r="A1252" i="51"/>
  <c r="D1244" i="51"/>
  <c r="A1199" i="51"/>
  <c r="D1191" i="51"/>
  <c r="A582" i="50"/>
  <c r="D582" i="50" s="1"/>
  <c r="D574" i="50"/>
  <c r="A1190" i="51"/>
  <c r="D1182" i="51"/>
  <c r="D604" i="50"/>
  <c r="A612" i="50"/>
  <c r="D612" i="50" s="1"/>
  <c r="A486" i="51"/>
  <c r="D478" i="51"/>
  <c r="D230" i="51"/>
  <c r="A238" i="51"/>
  <c r="A1291" i="51"/>
  <c r="D1283" i="51"/>
  <c r="D1221" i="51"/>
  <c r="A1229" i="51"/>
  <c r="A1322" i="51"/>
  <c r="D1314" i="51"/>
  <c r="D849" i="51"/>
  <c r="A857" i="51"/>
  <c r="A1363" i="51"/>
  <c r="D1363" i="51" s="1"/>
  <c r="D1355" i="51"/>
  <c r="A1301" i="51"/>
  <c r="D1301" i="51" s="1"/>
  <c r="D1293" i="51"/>
  <c r="A867" i="51"/>
  <c r="D867" i="51" s="1"/>
  <c r="D859" i="51"/>
  <c r="A805" i="51"/>
  <c r="D805" i="51" s="1"/>
  <c r="D797" i="51"/>
  <c r="A1332" i="51"/>
  <c r="D1332" i="51" s="1"/>
  <c r="D1324" i="51"/>
  <c r="A795" i="51" l="1"/>
  <c r="D795" i="51" s="1"/>
  <c r="D1345" i="51"/>
  <c r="A18" i="43"/>
  <c r="A12" i="22" s="1"/>
  <c r="O12" i="22" s="1"/>
  <c r="A13" i="39"/>
  <c r="A1192" i="51"/>
  <c r="D1192" i="51" s="1"/>
  <c r="A328" i="52"/>
  <c r="D328" i="52" s="1"/>
  <c r="A312" i="52"/>
  <c r="D312" i="52" s="1"/>
  <c r="A1239" i="51"/>
  <c r="D1239" i="51" s="1"/>
  <c r="D1246" i="51"/>
  <c r="D576" i="50"/>
  <c r="A614" i="50"/>
  <c r="D614" i="50" s="1"/>
  <c r="D176" i="51"/>
  <c r="A184" i="51"/>
  <c r="D184" i="51" s="1"/>
  <c r="A525" i="51"/>
  <c r="D525" i="51" s="1"/>
  <c r="D517" i="51"/>
  <c r="D579" i="51"/>
  <c r="A587" i="51"/>
  <c r="D587" i="51" s="1"/>
  <c r="A401" i="51"/>
  <c r="D401" i="51" s="1"/>
  <c r="D393" i="51"/>
  <c r="A122" i="51"/>
  <c r="D122" i="51" s="1"/>
  <c r="D114" i="51"/>
  <c r="D424" i="51"/>
  <c r="A432" i="51"/>
  <c r="D432" i="51" s="1"/>
  <c r="D21" i="51"/>
  <c r="A29" i="51"/>
  <c r="D29" i="51" s="1"/>
  <c r="A1198" i="51"/>
  <c r="D1190" i="51"/>
  <c r="A1207" i="51"/>
  <c r="D1207" i="51" s="1"/>
  <c r="D1199" i="51"/>
  <c r="D1254" i="51"/>
  <c r="A1262" i="51"/>
  <c r="D1252" i="51"/>
  <c r="A1260" i="51"/>
  <c r="A494" i="51"/>
  <c r="D494" i="51" s="1"/>
  <c r="D486" i="51"/>
  <c r="D238" i="51"/>
  <c r="A246" i="51"/>
  <c r="D246" i="51" s="1"/>
  <c r="D1291" i="51"/>
  <c r="A1299" i="51"/>
  <c r="D1299" i="51" s="1"/>
  <c r="D1353" i="51"/>
  <c r="A1361" i="51"/>
  <c r="D1361" i="51" s="1"/>
  <c r="D1229" i="51"/>
  <c r="A1237" i="51"/>
  <c r="D1237" i="51" s="1"/>
  <c r="D857" i="51"/>
  <c r="A865" i="51"/>
  <c r="D865" i="51" s="1"/>
  <c r="A1330" i="51"/>
  <c r="D1330" i="51" s="1"/>
  <c r="D1322" i="51"/>
  <c r="A803" i="51" l="1"/>
  <c r="D803" i="51" s="1"/>
  <c r="A19" i="43"/>
  <c r="A13" i="22" s="1"/>
  <c r="O13" i="22" s="1"/>
  <c r="A14" i="39"/>
  <c r="A12" i="38"/>
  <c r="Q12" i="38" s="1"/>
  <c r="A1200" i="51"/>
  <c r="D1200" i="51" s="1"/>
  <c r="D1262" i="51"/>
  <c r="A1270" i="51"/>
  <c r="D1270" i="51" s="1"/>
  <c r="A1268" i="51"/>
  <c r="D1268" i="51" s="1"/>
  <c r="D1260" i="51"/>
  <c r="A1206" i="51"/>
  <c r="D1206" i="51" s="1"/>
  <c r="D1198" i="51"/>
  <c r="A13" i="38" l="1"/>
  <c r="Q13" i="38" s="1"/>
  <c r="A15" i="39"/>
  <c r="A20" i="43"/>
  <c r="A14" i="22" s="1"/>
  <c r="O14" i="22" s="1"/>
  <c r="A1208" i="51"/>
  <c r="D1208" i="51" s="1"/>
  <c r="A21" i="43" l="1"/>
  <c r="A15" i="22" s="1"/>
  <c r="O15" i="22" s="1"/>
  <c r="A16" i="39"/>
  <c r="A14" i="38"/>
  <c r="Q14" i="38" s="1"/>
  <c r="A22" i="43" l="1"/>
  <c r="A16" i="22" s="1"/>
  <c r="O16" i="22" s="1"/>
  <c r="A17" i="39"/>
  <c r="A15" i="38"/>
  <c r="Q15" i="38" s="1"/>
  <c r="A23" i="43" l="1"/>
  <c r="A17" i="22" s="1"/>
  <c r="O17" i="22" s="1"/>
  <c r="A16" i="38"/>
  <c r="Q16" i="38" s="1"/>
  <c r="A18" i="39"/>
  <c r="A19" i="39" l="1"/>
  <c r="A17" i="38"/>
  <c r="Q17" i="38" s="1"/>
  <c r="A23" i="34"/>
  <c r="A24" i="37"/>
  <c r="A24" i="43"/>
  <c r="A18" i="22" s="1"/>
  <c r="O18" i="22" s="1"/>
  <c r="A25" i="43" l="1"/>
  <c r="A19" i="22" s="1"/>
  <c r="O19" i="22" s="1"/>
  <c r="A24" i="34"/>
  <c r="A20" i="39"/>
  <c r="A18" i="38"/>
  <c r="Q18" i="38" s="1"/>
  <c r="A25" i="37"/>
  <c r="A26" i="43" l="1"/>
  <c r="A20" i="22" s="1"/>
  <c r="O20" i="22" s="1"/>
  <c r="A25" i="34"/>
  <c r="A19" i="38"/>
  <c r="Q19" i="38" s="1"/>
  <c r="A26" i="37"/>
  <c r="A21" i="39"/>
  <c r="A27" i="43" l="1"/>
  <c r="A21" i="22" s="1"/>
  <c r="O21" i="22" s="1"/>
  <c r="A26" i="34"/>
  <c r="A20" i="38"/>
  <c r="Q20" i="38" s="1"/>
  <c r="A22" i="39"/>
  <c r="A27" i="37"/>
  <c r="A28" i="37" l="1"/>
  <c r="A23" i="39"/>
  <c r="A27" i="34"/>
  <c r="A21" i="38"/>
  <c r="Q21" i="38" s="1"/>
  <c r="A28" i="43"/>
  <c r="A22" i="22" s="1"/>
  <c r="O22" i="22" s="1"/>
  <c r="A29" i="43" l="1"/>
  <c r="A23" i="22" s="1"/>
  <c r="O23" i="22" s="1"/>
  <c r="A28" i="34"/>
  <c r="A24" i="39"/>
  <c r="A22" i="38"/>
  <c r="Q22" i="38" s="1"/>
  <c r="A29" i="37"/>
  <c r="A30" i="43" l="1"/>
  <c r="A24" i="22" s="1"/>
  <c r="O24" i="22" s="1"/>
  <c r="A23" i="38"/>
  <c r="Q23" i="38" s="1"/>
  <c r="A25" i="39"/>
  <c r="A29" i="34"/>
  <c r="A30" i="37"/>
  <c r="A31" i="43" l="1"/>
  <c r="A25" i="22" s="1"/>
  <c r="O25" i="22" s="1"/>
  <c r="A24" i="38"/>
  <c r="Q24" i="38" s="1"/>
  <c r="A26" i="39"/>
  <c r="A30" i="34"/>
  <c r="A31" i="37"/>
  <c r="A32" i="37" l="1"/>
  <c r="A27" i="39"/>
  <c r="A25" i="38"/>
  <c r="Q25" i="38" s="1"/>
  <c r="A31" i="34"/>
  <c r="A32" i="43"/>
  <c r="A26" i="22" s="1"/>
  <c r="O26" i="22" s="1"/>
  <c r="A33" i="43" l="1"/>
  <c r="A27" i="22" s="1"/>
  <c r="O27" i="22" s="1"/>
  <c r="A32" i="34"/>
  <c r="A33" i="37"/>
  <c r="A28" i="39"/>
  <c r="A26" i="38"/>
  <c r="Q26" i="38" s="1"/>
  <c r="A34" i="43" l="1"/>
  <c r="A28" i="22" s="1"/>
  <c r="O28" i="22" s="1"/>
  <c r="A33" i="34"/>
  <c r="A27" i="38"/>
  <c r="Q27" i="38" s="1"/>
  <c r="A29" i="39"/>
  <c r="A34" i="37"/>
  <c r="A35" i="43" l="1"/>
  <c r="A29" i="22" s="1"/>
  <c r="O29" i="22" s="1"/>
  <c r="A30" i="39"/>
  <c r="A35" i="37"/>
  <c r="A28" i="38"/>
  <c r="Q28" i="38" s="1"/>
  <c r="A34" i="34"/>
  <c r="A36" i="43" l="1"/>
  <c r="A30" i="22" s="1"/>
  <c r="O30" i="22" s="1"/>
  <c r="A31" i="39"/>
  <c r="A35" i="34"/>
  <c r="A36" i="37"/>
  <c r="A29" i="38"/>
  <c r="Q29" i="38" s="1"/>
  <c r="A37" i="43" l="1"/>
  <c r="A31" i="22" s="1"/>
  <c r="O31" i="22" s="1"/>
  <c r="A36" i="34"/>
  <c r="A30" i="38"/>
  <c r="Q30" i="38" s="1"/>
  <c r="A32" i="39"/>
  <c r="A37" i="37"/>
  <c r="G34" i="39" l="1"/>
  <c r="I27" i="48"/>
  <c r="A38" i="43"/>
  <c r="A32" i="22" s="1"/>
  <c r="O32" i="22" s="1"/>
  <c r="A31" i="38"/>
  <c r="Q31" i="38" s="1"/>
  <c r="A38" i="37"/>
  <c r="A37" i="34"/>
  <c r="A33" i="39"/>
  <c r="A39" i="43" l="1"/>
  <c r="A33" i="22" s="1"/>
  <c r="O33" i="22" s="1"/>
  <c r="A39" i="34"/>
  <c r="A32" i="38"/>
  <c r="Q32" i="38" s="1"/>
  <c r="B206" i="49"/>
  <c r="E206" i="49" s="1"/>
  <c r="A207" i="53"/>
  <c r="D207" i="53" s="1"/>
  <c r="B381" i="50"/>
  <c r="E381" i="50" s="1"/>
  <c r="B781" i="51"/>
  <c r="B789" i="51" s="1"/>
  <c r="A209" i="52"/>
  <c r="D209" i="52" s="1"/>
  <c r="A34" i="39"/>
  <c r="A38" i="34"/>
  <c r="A39" i="37"/>
  <c r="A40" i="43" l="1"/>
  <c r="A34" i="22" s="1"/>
  <c r="O34" i="22" s="1"/>
  <c r="B389" i="50"/>
  <c r="E389" i="50" s="1"/>
  <c r="G36" i="39"/>
  <c r="A35" i="39"/>
  <c r="A40" i="37"/>
  <c r="A33" i="38"/>
  <c r="Q33" i="38" s="1"/>
  <c r="E781" i="51"/>
  <c r="E789" i="51"/>
  <c r="B797" i="51"/>
  <c r="A41" i="43" l="1"/>
  <c r="A35" i="22" s="1"/>
  <c r="O35" i="22" s="1"/>
  <c r="I29" i="48"/>
  <c r="A41" i="37"/>
  <c r="A36" i="39"/>
  <c r="A34" i="38"/>
  <c r="Q34" i="38" s="1"/>
  <c r="A40" i="34"/>
  <c r="B805" i="51"/>
  <c r="E805" i="51" s="1"/>
  <c r="E797" i="51"/>
  <c r="A42" i="43" l="1"/>
  <c r="A36" i="22" s="1"/>
  <c r="O36" i="22" s="1"/>
  <c r="A37" i="39"/>
  <c r="A42" i="37"/>
  <c r="A35" i="38"/>
  <c r="Q35" i="38" s="1"/>
  <c r="B843" i="51"/>
  <c r="A225" i="52"/>
  <c r="D225" i="52" s="1"/>
  <c r="B222" i="49"/>
  <c r="E222" i="49" s="1"/>
  <c r="A223" i="53"/>
  <c r="D223" i="53" s="1"/>
  <c r="B411" i="50"/>
  <c r="A43" i="43" l="1"/>
  <c r="A37" i="22" s="1"/>
  <c r="O37" i="22" s="1"/>
  <c r="A43" i="37"/>
  <c r="A36" i="38"/>
  <c r="Q36" i="38" s="1"/>
  <c r="A38" i="39"/>
  <c r="B419" i="50"/>
  <c r="E419" i="50" s="1"/>
  <c r="E411" i="50"/>
  <c r="E843" i="51"/>
  <c r="B851" i="51"/>
  <c r="A44" i="43" l="1"/>
  <c r="A38" i="22" s="1"/>
  <c r="O38" i="22" s="1"/>
  <c r="A37" i="38"/>
  <c r="Q37" i="38" s="1"/>
  <c r="A39" i="39"/>
  <c r="A44" i="37"/>
  <c r="B859" i="51"/>
  <c r="E851" i="51"/>
  <c r="A45" i="43" l="1"/>
  <c r="A39" i="22" s="1"/>
  <c r="O39" i="22" s="1"/>
  <c r="A40" i="39"/>
  <c r="A38" i="38"/>
  <c r="Q38" i="38" s="1"/>
  <c r="A45" i="37"/>
  <c r="E859" i="51"/>
  <c r="B867" i="51"/>
  <c r="E867" i="51" s="1"/>
  <c r="A46" i="37" l="1"/>
  <c r="A39" i="38"/>
  <c r="Q39" i="38" s="1"/>
  <c r="A41" i="39"/>
  <c r="A46" i="43"/>
  <c r="A40" i="22" s="1"/>
  <c r="O40" i="22" s="1"/>
  <c r="A47" i="43" l="1"/>
  <c r="A41" i="22" s="1"/>
  <c r="O41" i="22" s="1"/>
  <c r="A40" i="38"/>
  <c r="Q40" i="38" s="1"/>
  <c r="A42" i="39"/>
  <c r="A47" i="37"/>
  <c r="A48" i="43" l="1"/>
  <c r="A42" i="22" s="1"/>
  <c r="O42" i="22" s="1"/>
  <c r="A43" i="39"/>
  <c r="A48" i="37"/>
  <c r="A41" i="38"/>
  <c r="Q41" i="38" s="1"/>
  <c r="A49" i="43" l="1"/>
  <c r="A43" i="22" s="1"/>
  <c r="O43" i="22" s="1"/>
  <c r="A44" i="39"/>
  <c r="A42" i="38"/>
  <c r="Q42" i="38" s="1"/>
  <c r="A49" i="37"/>
  <c r="A50" i="43" l="1"/>
  <c r="A44" i="22" s="1"/>
  <c r="O44" i="22" s="1"/>
  <c r="A50" i="37"/>
  <c r="A45" i="39"/>
  <c r="A43" i="38"/>
  <c r="Q43" i="38" s="1"/>
  <c r="A51" i="43" l="1"/>
  <c r="A45" i="22" s="1"/>
  <c r="O45" i="22" s="1"/>
  <c r="A46" i="39"/>
  <c r="A44" i="38"/>
  <c r="Q44" i="38" s="1"/>
  <c r="A51" i="37"/>
  <c r="G47" i="39"/>
  <c r="A52" i="43" l="1"/>
  <c r="A46" i="22" s="1"/>
  <c r="O46" i="22" s="1"/>
  <c r="I40" i="48"/>
  <c r="A45" i="38"/>
  <c r="Q45" i="38" s="1"/>
  <c r="A47" i="39"/>
  <c r="A52" i="37"/>
  <c r="G48" i="39"/>
  <c r="B1184" i="51" l="1"/>
  <c r="E1184" i="51" s="1"/>
  <c r="I42" i="48"/>
  <c r="A53" i="43"/>
  <c r="A47" i="22" s="1"/>
  <c r="O47" i="22" s="1"/>
  <c r="B576" i="50"/>
  <c r="E576" i="50" s="1"/>
  <c r="B310" i="49"/>
  <c r="E310" i="49" s="1"/>
  <c r="A311" i="53"/>
  <c r="D311" i="53" s="1"/>
  <c r="A313" i="52"/>
  <c r="D313" i="52" s="1"/>
  <c r="I41" i="48"/>
  <c r="A48" i="39"/>
  <c r="A46" i="38"/>
  <c r="Q46" i="38" s="1"/>
  <c r="A53" i="37"/>
  <c r="G49" i="39"/>
  <c r="B1192" i="51" l="1"/>
  <c r="E1192" i="51" s="1"/>
  <c r="B326" i="49"/>
  <c r="E326" i="49" s="1"/>
  <c r="B318" i="49"/>
  <c r="E318" i="49" s="1"/>
  <c r="B584" i="50"/>
  <c r="E584" i="50" s="1"/>
  <c r="A54" i="37"/>
  <c r="A47" i="38"/>
  <c r="Q47" i="38" s="1"/>
  <c r="A49" i="39"/>
  <c r="A54" i="43"/>
  <c r="A48" i="22" s="1"/>
  <c r="O48" i="22" s="1"/>
  <c r="B1215" i="51"/>
  <c r="E1215" i="51" s="1"/>
  <c r="A319" i="53"/>
  <c r="D319" i="53" s="1"/>
  <c r="B591" i="50"/>
  <c r="B599" i="50" s="1"/>
  <c r="E599" i="50" s="1"/>
  <c r="A321" i="52"/>
  <c r="D321" i="52" s="1"/>
  <c r="B1246" i="51"/>
  <c r="B1254" i="51" s="1"/>
  <c r="B606" i="50"/>
  <c r="E606" i="50" s="1"/>
  <c r="A327" i="53"/>
  <c r="D327" i="53" s="1"/>
  <c r="A329" i="52"/>
  <c r="D329" i="52" s="1"/>
  <c r="G50" i="39"/>
  <c r="B1200" i="51" l="1"/>
  <c r="E1200" i="51" s="1"/>
  <c r="E591" i="50"/>
  <c r="B1223" i="51"/>
  <c r="B1231" i="51" s="1"/>
  <c r="E1231" i="51" s="1"/>
  <c r="A55" i="43"/>
  <c r="A49" i="22" s="1"/>
  <c r="O49" i="22" s="1"/>
  <c r="I43" i="48"/>
  <c r="A55" i="37"/>
  <c r="A50" i="39"/>
  <c r="A48" i="38"/>
  <c r="Q48" i="38" s="1"/>
  <c r="B614" i="50"/>
  <c r="E614" i="50" s="1"/>
  <c r="E1246" i="51"/>
  <c r="G51" i="39"/>
  <c r="B1262" i="51"/>
  <c r="E1254" i="51"/>
  <c r="B1208" i="51" l="1"/>
  <c r="E1208" i="51" s="1"/>
  <c r="B1239" i="51"/>
  <c r="E1239" i="51" s="1"/>
  <c r="E1223" i="51"/>
  <c r="B621" i="50"/>
  <c r="E621" i="50" s="1"/>
  <c r="A337" i="52"/>
  <c r="D337" i="52" s="1"/>
  <c r="B1277" i="51"/>
  <c r="E1277" i="51" s="1"/>
  <c r="A56" i="43"/>
  <c r="A50" i="22" s="1"/>
  <c r="O50" i="22" s="1"/>
  <c r="B334" i="49"/>
  <c r="E334" i="49" s="1"/>
  <c r="A335" i="53"/>
  <c r="D335" i="53" s="1"/>
  <c r="I44" i="48"/>
  <c r="A49" i="38"/>
  <c r="Q49" i="38" s="1"/>
  <c r="A56" i="37"/>
  <c r="A51" i="39"/>
  <c r="G52" i="39"/>
  <c r="E1262" i="51"/>
  <c r="B1270" i="51"/>
  <c r="E1270" i="51" s="1"/>
  <c r="G53" i="39" l="1"/>
  <c r="B1285" i="51"/>
  <c r="E1285" i="51" s="1"/>
  <c r="B629" i="50"/>
  <c r="E629" i="50" s="1"/>
  <c r="B1308" i="51"/>
  <c r="E1308" i="51" s="1"/>
  <c r="B636" i="50"/>
  <c r="E636" i="50" s="1"/>
  <c r="A343" i="53"/>
  <c r="D343" i="53" s="1"/>
  <c r="A345" i="52"/>
  <c r="D345" i="52" s="1"/>
  <c r="B342" i="49"/>
  <c r="E342" i="49" s="1"/>
  <c r="A57" i="43"/>
  <c r="A51" i="22" s="1"/>
  <c r="O51" i="22" s="1"/>
  <c r="I45" i="48"/>
  <c r="A52" i="39"/>
  <c r="A57" i="37"/>
  <c r="A50" i="38"/>
  <c r="Q50" i="38" s="1"/>
  <c r="G54" i="39" l="1"/>
  <c r="B1293" i="51"/>
  <c r="B1301" i="51" s="1"/>
  <c r="E1301" i="51" s="1"/>
  <c r="B644" i="50"/>
  <c r="E644" i="50" s="1"/>
  <c r="B1316" i="51"/>
  <c r="A351" i="53"/>
  <c r="D351" i="53" s="1"/>
  <c r="A353" i="52"/>
  <c r="D353" i="52" s="1"/>
  <c r="A58" i="43"/>
  <c r="A52" i="22" s="1"/>
  <c r="O52" i="22" s="1"/>
  <c r="B651" i="50"/>
  <c r="B659" i="50" s="1"/>
  <c r="E659" i="50" s="1"/>
  <c r="B1339" i="51"/>
  <c r="E1339" i="51" s="1"/>
  <c r="A53" i="39"/>
  <c r="A51" i="38"/>
  <c r="Q51" i="38" s="1"/>
  <c r="B350" i="49"/>
  <c r="E350" i="49" s="1"/>
  <c r="G55" i="39" l="1"/>
  <c r="A59" i="43"/>
  <c r="A53" i="22" s="1"/>
  <c r="O53" i="22" s="1"/>
  <c r="E1293" i="51"/>
  <c r="E1316" i="51"/>
  <c r="B1324" i="51"/>
  <c r="A55" i="39"/>
  <c r="E651" i="50"/>
  <c r="B1347" i="51"/>
  <c r="E1347" i="51" s="1"/>
  <c r="A53" i="38"/>
  <c r="Q53" i="38" s="1"/>
  <c r="A54" i="39"/>
  <c r="A52" i="38"/>
  <c r="Q52" i="38" s="1"/>
  <c r="A60" i="43" l="1"/>
  <c r="A54" i="22" s="1"/>
  <c r="O54" i="22" s="1"/>
  <c r="B1332" i="51"/>
  <c r="E1332" i="51" s="1"/>
  <c r="E1324" i="51"/>
  <c r="B1355" i="51"/>
  <c r="E1355" i="51" s="1"/>
  <c r="A61" i="43" l="1"/>
  <c r="A55" i="22" s="1"/>
  <c r="O55" i="22" s="1"/>
  <c r="G56" i="39"/>
  <c r="A54" i="38"/>
  <c r="Q54" i="38" s="1"/>
  <c r="A56" i="39"/>
  <c r="B1363" i="51"/>
  <c r="E1363" i="51" s="1"/>
  <c r="A62" i="43" l="1"/>
  <c r="A56" i="22" s="1"/>
  <c r="O56" i="22" s="1"/>
  <c r="G57" i="39"/>
  <c r="A55" i="38"/>
  <c r="Q55" i="38" s="1"/>
  <c r="A57" i="39"/>
  <c r="F1" i="38"/>
  <c r="C4" i="38"/>
  <c r="E82" i="22"/>
  <c r="T2" i="22"/>
  <c r="B1" i="53"/>
  <c r="F81" i="22"/>
  <c r="B84" i="22"/>
  <c r="C83" i="22"/>
  <c r="D81" i="22"/>
  <c r="D84" i="22"/>
  <c r="N4" i="43"/>
  <c r="A1" i="22"/>
  <c r="D87" i="22"/>
  <c r="D85" i="22"/>
  <c r="C84" i="22"/>
  <c r="C82" i="22"/>
  <c r="F85" i="22"/>
  <c r="N3" i="43"/>
  <c r="C86" i="22"/>
  <c r="B83" i="22"/>
  <c r="B1" i="38"/>
  <c r="D86" i="22"/>
  <c r="F84" i="22"/>
  <c r="F82" i="22"/>
  <c r="B87" i="22"/>
  <c r="L2" i="39"/>
  <c r="B3" i="53"/>
  <c r="C87" i="22"/>
  <c r="E87" i="22"/>
  <c r="B1" i="39"/>
  <c r="G6" i="43"/>
  <c r="F87" i="22"/>
  <c r="G81" i="22"/>
  <c r="R2" i="38"/>
  <c r="C81" i="22"/>
  <c r="B3" i="49"/>
  <c r="B85" i="22"/>
  <c r="E86" i="22"/>
  <c r="B1" i="52"/>
  <c r="G5" i="43"/>
  <c r="B81" i="22"/>
  <c r="D82" i="22"/>
  <c r="B3" i="52"/>
  <c r="B86" i="22"/>
  <c r="E81" i="22"/>
  <c r="B82" i="22"/>
  <c r="F86" i="22"/>
  <c r="E85" i="22"/>
  <c r="C85" i="22"/>
  <c r="F83" i="22"/>
  <c r="D83" i="22"/>
  <c r="E83" i="22"/>
  <c r="B1" i="49"/>
  <c r="E84" i="22"/>
  <c r="A74" i="22"/>
  <c r="C6" i="39" s="1"/>
  <c r="N18" i="48"/>
  <c r="A505" i="51" s="1"/>
  <c r="D505" i="51" s="1"/>
  <c r="A81" i="22"/>
  <c r="A82" i="22" s="1"/>
  <c r="A83" i="22" s="1"/>
  <c r="A84" i="22" s="1"/>
  <c r="A85" i="22" s="1"/>
  <c r="A86" i="22" s="1"/>
  <c r="A87" i="22" s="1"/>
  <c r="T3" i="22"/>
  <c r="N20" i="48"/>
  <c r="A154" i="53" s="1"/>
  <c r="D154" i="53" s="1"/>
  <c r="N13" i="48"/>
  <c r="A174" i="50" s="1"/>
  <c r="N32" i="48"/>
  <c r="A250" i="53" s="1"/>
  <c r="D250" i="53" s="1"/>
  <c r="N10" i="48"/>
  <c r="A74" i="53" s="1"/>
  <c r="D74" i="53" s="1"/>
  <c r="N5" i="48"/>
  <c r="N11" i="48"/>
  <c r="N24" i="48"/>
  <c r="N21" i="48"/>
  <c r="A294" i="50" s="1"/>
  <c r="D294" i="50" s="1"/>
  <c r="N27" i="48"/>
  <c r="A384" i="50" s="1"/>
  <c r="A392" i="50" s="1"/>
  <c r="D392" i="50" s="1"/>
  <c r="N3" i="48"/>
  <c r="A17" i="49" s="1"/>
  <c r="D17" i="49" s="1"/>
  <c r="N23" i="48"/>
  <c r="N25" i="48"/>
  <c r="A722" i="51" s="1"/>
  <c r="N41" i="48"/>
  <c r="A322" i="53" s="1"/>
  <c r="D322" i="53" s="1"/>
  <c r="N42" i="48"/>
  <c r="A329" i="49" s="1"/>
  <c r="D329" i="49" s="1"/>
  <c r="N22" i="48"/>
  <c r="N30" i="48"/>
  <c r="A234" i="53" s="1"/>
  <c r="D234" i="53" s="1"/>
  <c r="N35" i="48"/>
  <c r="A274" i="53" s="1"/>
  <c r="D274" i="53" s="1"/>
  <c r="N17" i="48"/>
  <c r="A129" i="49" s="1"/>
  <c r="D129" i="49" s="1"/>
  <c r="N8" i="48"/>
  <c r="A58" i="53" s="1"/>
  <c r="D58" i="53" s="1"/>
  <c r="N44" i="48"/>
  <c r="A1311" i="51" s="1"/>
  <c r="N14" i="48"/>
  <c r="A105" i="49" s="1"/>
  <c r="D105" i="49" s="1"/>
  <c r="N26" i="48"/>
  <c r="N2" i="48"/>
  <c r="A9" i="51" s="1"/>
  <c r="N45" i="48"/>
  <c r="A353" i="49" s="1"/>
  <c r="D353" i="49" s="1"/>
  <c r="N7" i="48"/>
  <c r="A164" i="51" s="1"/>
  <c r="N38" i="48"/>
  <c r="A1125" i="51" s="1"/>
  <c r="D1125" i="51" s="1"/>
  <c r="N31" i="48"/>
  <c r="N33" i="48"/>
  <c r="A474" i="50" s="1"/>
  <c r="N19" i="48"/>
  <c r="A146" i="53" s="1"/>
  <c r="D146" i="53" s="1"/>
  <c r="N29" i="48"/>
  <c r="N37" i="48"/>
  <c r="A289" i="49" s="1"/>
  <c r="D289" i="49" s="1"/>
  <c r="N9" i="48"/>
  <c r="A65" i="49" s="1"/>
  <c r="D65" i="49" s="1"/>
  <c r="N4" i="48"/>
  <c r="A26" i="53" s="1"/>
  <c r="D26" i="53" s="1"/>
  <c r="N34" i="48"/>
  <c r="N40" i="48"/>
  <c r="A579" i="50" s="1"/>
  <c r="D579" i="50" s="1"/>
  <c r="N28" i="48"/>
  <c r="A399" i="50" s="1"/>
  <c r="D399" i="50" s="1"/>
  <c r="N16" i="48"/>
  <c r="A443" i="51" s="1"/>
  <c r="D443" i="51" s="1"/>
  <c r="N39" i="48"/>
  <c r="N12" i="48"/>
  <c r="A89" i="49" s="1"/>
  <c r="D89" i="49" s="1"/>
  <c r="N6" i="48"/>
  <c r="A41" i="49" s="1"/>
  <c r="D41" i="49" s="1"/>
  <c r="N43" i="48"/>
  <c r="A624" i="50" s="1"/>
  <c r="D624" i="50" s="1"/>
  <c r="N36" i="48"/>
  <c r="N15" i="48"/>
  <c r="A114" i="53" s="1"/>
  <c r="D114" i="53" s="1"/>
  <c r="B3" i="54" l="1"/>
  <c r="G8" i="38"/>
  <c r="G12" i="38"/>
  <c r="G16" i="38"/>
  <c r="G20" i="38"/>
  <c r="G24" i="38"/>
  <c r="G28" i="38"/>
  <c r="G32" i="38"/>
  <c r="G36" i="38"/>
  <c r="G40" i="38"/>
  <c r="G44" i="38"/>
  <c r="G48" i="38"/>
  <c r="G52" i="38"/>
  <c r="G56" i="38"/>
  <c r="G60" i="38"/>
  <c r="G64" i="38"/>
  <c r="G68" i="38"/>
  <c r="G9" i="38"/>
  <c r="G13" i="38"/>
  <c r="G17" i="38"/>
  <c r="G21" i="38"/>
  <c r="G25" i="38"/>
  <c r="G29" i="38"/>
  <c r="G33" i="38"/>
  <c r="G37" i="38"/>
  <c r="G41" i="38"/>
  <c r="G45" i="38"/>
  <c r="G49" i="38"/>
  <c r="G53" i="38"/>
  <c r="G57" i="38"/>
  <c r="G61" i="38"/>
  <c r="G65" i="38"/>
  <c r="G69" i="38"/>
  <c r="G10" i="38"/>
  <c r="G14" i="38"/>
  <c r="G18" i="38"/>
  <c r="G22" i="38"/>
  <c r="G26" i="38"/>
  <c r="G30" i="38"/>
  <c r="G34" i="38"/>
  <c r="G38" i="38"/>
  <c r="G42" i="38"/>
  <c r="G46" i="38"/>
  <c r="G50" i="38"/>
  <c r="G54" i="38"/>
  <c r="G58" i="38"/>
  <c r="G62" i="38"/>
  <c r="G66" i="38"/>
  <c r="G70" i="38"/>
  <c r="G11" i="38"/>
  <c r="G15" i="38"/>
  <c r="G19" i="38"/>
  <c r="G23" i="38"/>
  <c r="G27" i="38"/>
  <c r="G31" i="38"/>
  <c r="G35" i="38"/>
  <c r="G39" i="38"/>
  <c r="G43" i="38"/>
  <c r="G47" i="38"/>
  <c r="G51" i="38"/>
  <c r="G55" i="38"/>
  <c r="G59" i="38"/>
  <c r="G63" i="38"/>
  <c r="G67" i="38"/>
  <c r="G7" i="38"/>
  <c r="A3" i="54"/>
  <c r="N8" i="54" s="1"/>
  <c r="A63" i="43"/>
  <c r="A57" i="22" s="1"/>
  <c r="O57" i="22" s="1"/>
  <c r="G58" i="39"/>
  <c r="A56" i="38"/>
  <c r="Q56" i="38" s="1"/>
  <c r="A58" i="39"/>
  <c r="U1" i="38"/>
  <c r="D6" i="54" s="1"/>
  <c r="G1" i="38"/>
  <c r="A609" i="50"/>
  <c r="D609" i="50" s="1"/>
  <c r="H1" i="39"/>
  <c r="A257" i="51"/>
  <c r="D257" i="51" s="1"/>
  <c r="A567" i="51"/>
  <c r="D567" i="51" s="1"/>
  <c r="A18" i="53"/>
  <c r="D18" i="53" s="1"/>
  <c r="A234" i="50"/>
  <c r="D234" i="50" s="1"/>
  <c r="A407" i="50"/>
  <c r="D407" i="50" s="1"/>
  <c r="A218" i="53"/>
  <c r="D218" i="53" s="1"/>
  <c r="A412" i="51"/>
  <c r="D412" i="51" s="1"/>
  <c r="A815" i="51"/>
  <c r="D815" i="51" s="1"/>
  <c r="A381" i="51"/>
  <c r="D381" i="51" s="1"/>
  <c r="A429" i="50"/>
  <c r="D429" i="50" s="1"/>
  <c r="A106" i="53"/>
  <c r="D106" i="53" s="1"/>
  <c r="A337" i="49"/>
  <c r="D337" i="49" s="1"/>
  <c r="A632" i="50"/>
  <c r="D632" i="50" s="1"/>
  <c r="A40" i="51"/>
  <c r="D40" i="51" s="1"/>
  <c r="A145" i="49"/>
  <c r="D145" i="49" s="1"/>
  <c r="A189" i="50"/>
  <c r="D189" i="50" s="1"/>
  <c r="A1280" i="51"/>
  <c r="A1094" i="51"/>
  <c r="D1094" i="51" s="1"/>
  <c r="A536" i="51"/>
  <c r="A1133" i="51"/>
  <c r="D1133" i="51" s="1"/>
  <c r="A1342" i="51"/>
  <c r="D1342" i="51" s="1"/>
  <c r="A217" i="49"/>
  <c r="D217" i="49" s="1"/>
  <c r="D722" i="51"/>
  <c r="A730" i="51"/>
  <c r="A738" i="51" s="1"/>
  <c r="A746" i="51" s="1"/>
  <c r="D746" i="51" s="1"/>
  <c r="D1" i="38"/>
  <c r="A161" i="49"/>
  <c r="D161" i="49" s="1"/>
  <c r="A459" i="50"/>
  <c r="A130" i="53"/>
  <c r="D130" i="53" s="1"/>
  <c r="A279" i="50"/>
  <c r="D279" i="50" s="1"/>
  <c r="A233" i="49"/>
  <c r="D233" i="49" s="1"/>
  <c r="A1187" i="51"/>
  <c r="D1187" i="51" s="1"/>
  <c r="A195" i="51"/>
  <c r="A504" i="50"/>
  <c r="D504" i="50" s="1"/>
  <c r="A264" i="50"/>
  <c r="A272" i="50" s="1"/>
  <c r="D272" i="50" s="1"/>
  <c r="A654" i="50"/>
  <c r="D654" i="50" s="1"/>
  <c r="A598" i="51"/>
  <c r="A1032" i="51"/>
  <c r="A877" i="51"/>
  <c r="D877" i="51" s="1"/>
  <c r="A57" i="49"/>
  <c r="D57" i="49" s="1"/>
  <c r="A162" i="53"/>
  <c r="D162" i="53" s="1"/>
  <c r="D164" i="51"/>
  <c r="A172" i="51"/>
  <c r="A482" i="50"/>
  <c r="D482" i="50" s="1"/>
  <c r="D474" i="50"/>
  <c r="D174" i="50"/>
  <c r="A182" i="50"/>
  <c r="D182" i="50" s="1"/>
  <c r="A204" i="50"/>
  <c r="A113" i="49"/>
  <c r="D113" i="49" s="1"/>
  <c r="A219" i="50"/>
  <c r="A121" i="49"/>
  <c r="D121" i="49" s="1"/>
  <c r="A226" i="53"/>
  <c r="D226" i="53" s="1"/>
  <c r="A846" i="51"/>
  <c r="A225" i="49"/>
  <c r="D225" i="49" s="1"/>
  <c r="A414" i="50"/>
  <c r="A242" i="53"/>
  <c r="D242" i="53" s="1"/>
  <c r="A908" i="51"/>
  <c r="A9" i="49"/>
  <c r="D9" i="49" s="1"/>
  <c r="A9" i="50"/>
  <c r="A10" i="53"/>
  <c r="D10" i="53" s="1"/>
  <c r="D1311" i="51"/>
  <c r="A1319" i="51"/>
  <c r="A321" i="49"/>
  <c r="D321" i="49" s="1"/>
  <c r="A594" i="50"/>
  <c r="A534" i="50"/>
  <c r="A39" i="50"/>
  <c r="A784" i="51"/>
  <c r="A210" i="53"/>
  <c r="D210" i="53" s="1"/>
  <c r="A209" i="49"/>
  <c r="D209" i="49" s="1"/>
  <c r="A444" i="50"/>
  <c r="A90" i="53"/>
  <c r="D90" i="53" s="1"/>
  <c r="A314" i="53"/>
  <c r="D314" i="53" s="1"/>
  <c r="A313" i="49"/>
  <c r="D313" i="49" s="1"/>
  <c r="A298" i="53"/>
  <c r="D298" i="53" s="1"/>
  <c r="A297" i="49"/>
  <c r="D297" i="49" s="1"/>
  <c r="A369" i="50"/>
  <c r="A201" i="49"/>
  <c r="D201" i="49" s="1"/>
  <c r="A202" i="53"/>
  <c r="D202" i="53" s="1"/>
  <c r="A753" i="51"/>
  <c r="A346" i="53"/>
  <c r="D346" i="53" s="1"/>
  <c r="A345" i="49"/>
  <c r="D345" i="49" s="1"/>
  <c r="A629" i="51"/>
  <c r="A309" i="50"/>
  <c r="A169" i="49"/>
  <c r="D169" i="49" s="1"/>
  <c r="A330" i="53"/>
  <c r="D330" i="53" s="1"/>
  <c r="A1249" i="51"/>
  <c r="A177" i="49"/>
  <c r="D177" i="49" s="1"/>
  <c r="A178" i="53"/>
  <c r="D178" i="53" s="1"/>
  <c r="A660" i="51"/>
  <c r="A324" i="50"/>
  <c r="A549" i="50"/>
  <c r="A81" i="49"/>
  <c r="D81" i="49" s="1"/>
  <c r="A288" i="51"/>
  <c r="A144" i="50"/>
  <c r="A587" i="50"/>
  <c r="D587" i="50" s="1"/>
  <c r="A122" i="53"/>
  <c r="D122" i="53" s="1"/>
  <c r="A639" i="50"/>
  <c r="A170" i="53"/>
  <c r="D170" i="53" s="1"/>
  <c r="A153" i="49"/>
  <c r="D153" i="49" s="1"/>
  <c r="A226" i="51"/>
  <c r="A66" i="53"/>
  <c r="D66" i="53" s="1"/>
  <c r="A257" i="49"/>
  <c r="D257" i="49" s="1"/>
  <c r="A258" i="53"/>
  <c r="D258" i="53" s="1"/>
  <c r="A54" i="50"/>
  <c r="A33" i="49"/>
  <c r="D33" i="49" s="1"/>
  <c r="A34" i="53"/>
  <c r="D34" i="53" s="1"/>
  <c r="A25" i="49"/>
  <c r="D25" i="49" s="1"/>
  <c r="A1063" i="51"/>
  <c r="A282" i="53"/>
  <c r="D282" i="53" s="1"/>
  <c r="A519" i="50"/>
  <c r="A69" i="50"/>
  <c r="A133" i="51"/>
  <c r="A42" i="53"/>
  <c r="D42" i="53" s="1"/>
  <c r="A319" i="51"/>
  <c r="A451" i="51"/>
  <c r="A266" i="53"/>
  <c r="D266" i="53" s="1"/>
  <c r="A265" i="49"/>
  <c r="D265" i="49" s="1"/>
  <c r="A1001" i="51"/>
  <c r="A489" i="50"/>
  <c r="A71" i="51"/>
  <c r="A970" i="51"/>
  <c r="A159" i="50"/>
  <c r="A114" i="50"/>
  <c r="A338" i="53"/>
  <c r="D338" i="53" s="1"/>
  <c r="A186" i="53"/>
  <c r="D186" i="53" s="1"/>
  <c r="A691" i="51"/>
  <c r="A185" i="49"/>
  <c r="D185" i="49" s="1"/>
  <c r="A339" i="50"/>
  <c r="A102" i="51"/>
  <c r="A1218" i="51"/>
  <c r="D384" i="50"/>
  <c r="A281" i="49"/>
  <c r="D281" i="49" s="1"/>
  <c r="A82" i="53"/>
  <c r="D82" i="53" s="1"/>
  <c r="A241" i="49"/>
  <c r="D241" i="49" s="1"/>
  <c r="A513" i="51"/>
  <c r="A290" i="53"/>
  <c r="D290" i="53" s="1"/>
  <c r="A564" i="50"/>
  <c r="A305" i="49"/>
  <c r="D305" i="49" s="1"/>
  <c r="A1156" i="51"/>
  <c r="A306" i="53"/>
  <c r="D306" i="53" s="1"/>
  <c r="A1141" i="51"/>
  <c r="A49" i="49"/>
  <c r="D49" i="49" s="1"/>
  <c r="A84" i="50"/>
  <c r="A17" i="51"/>
  <c r="D9" i="51"/>
  <c r="A98" i="53"/>
  <c r="D98" i="53" s="1"/>
  <c r="A350" i="51"/>
  <c r="A97" i="49"/>
  <c r="D97" i="49" s="1"/>
  <c r="A50" i="53"/>
  <c r="D50" i="53" s="1"/>
  <c r="A194" i="53"/>
  <c r="D194" i="53" s="1"/>
  <c r="A193" i="49"/>
  <c r="D193" i="49" s="1"/>
  <c r="A354" i="50"/>
  <c r="A24" i="50"/>
  <c r="A474" i="51"/>
  <c r="A939" i="51"/>
  <c r="A137" i="49"/>
  <c r="D137" i="49" s="1"/>
  <c r="A138" i="53"/>
  <c r="D138" i="53" s="1"/>
  <c r="A249" i="50"/>
  <c r="A273" i="49"/>
  <c r="D273" i="49" s="1"/>
  <c r="A249" i="49"/>
  <c r="D249" i="49" s="1"/>
  <c r="A129" i="50"/>
  <c r="A73" i="49"/>
  <c r="D73" i="49" s="1"/>
  <c r="A354" i="53"/>
  <c r="D354" i="53" s="1"/>
  <c r="A302" i="50"/>
  <c r="D302" i="50" s="1"/>
  <c r="A99" i="50"/>
  <c r="H15" i="48" l="1"/>
  <c r="H13" i="48"/>
  <c r="H17" i="48"/>
  <c r="I17" i="48"/>
  <c r="H19" i="48"/>
  <c r="I19" i="48"/>
  <c r="H5" i="48"/>
  <c r="H3" i="48"/>
  <c r="H4" i="48"/>
  <c r="I4" i="48"/>
  <c r="H7" i="48"/>
  <c r="H8" i="48"/>
  <c r="I8" i="48"/>
  <c r="H20" i="48"/>
  <c r="H38" i="48"/>
  <c r="L43" i="38"/>
  <c r="F45" i="39"/>
  <c r="R38" i="48"/>
  <c r="Q38" i="48" s="1"/>
  <c r="I38" i="48"/>
  <c r="L39" i="38"/>
  <c r="R34" i="48"/>
  <c r="Q34" i="48" s="1"/>
  <c r="H34" i="48"/>
  <c r="F41" i="39"/>
  <c r="I34" i="48"/>
  <c r="L42" i="38"/>
  <c r="H37" i="48"/>
  <c r="F44" i="39"/>
  <c r="R37" i="48"/>
  <c r="Q37" i="48" s="1"/>
  <c r="I37" i="48"/>
  <c r="L37" i="38"/>
  <c r="H32" i="48"/>
  <c r="F39" i="39"/>
  <c r="R32" i="48"/>
  <c r="Q32" i="48" s="1"/>
  <c r="I32" i="48"/>
  <c r="H14" i="48"/>
  <c r="R30" i="48"/>
  <c r="Q30" i="48" s="1"/>
  <c r="F37" i="39"/>
  <c r="L35" i="38"/>
  <c r="H30" i="48"/>
  <c r="I30" i="48"/>
  <c r="H2" i="48"/>
  <c r="H10" i="48"/>
  <c r="L41" i="38"/>
  <c r="F43" i="39"/>
  <c r="H36" i="48"/>
  <c r="R36" i="48"/>
  <c r="Q36" i="48" s="1"/>
  <c r="I36" i="48"/>
  <c r="H35" i="48"/>
  <c r="R35" i="48"/>
  <c r="Q35" i="48" s="1"/>
  <c r="F42" i="39"/>
  <c r="L40" i="38"/>
  <c r="I35" i="48"/>
  <c r="H16" i="48"/>
  <c r="H22" i="48"/>
  <c r="H12" i="48"/>
  <c r="H24" i="48"/>
  <c r="L33" i="38"/>
  <c r="R28" i="48"/>
  <c r="Q28" i="48" s="1"/>
  <c r="H28" i="48"/>
  <c r="F35" i="39"/>
  <c r="I28" i="48"/>
  <c r="L38" i="38"/>
  <c r="F40" i="39"/>
  <c r="H33" i="48"/>
  <c r="R33" i="48"/>
  <c r="Q33" i="48" s="1"/>
  <c r="I33" i="48"/>
  <c r="R31" i="48"/>
  <c r="Q31" i="48" s="1"/>
  <c r="L36" i="38"/>
  <c r="F38" i="39"/>
  <c r="H31" i="48"/>
  <c r="I31" i="48"/>
  <c r="H39" i="48"/>
  <c r="F46" i="39"/>
  <c r="R39" i="48"/>
  <c r="Q39" i="48" s="1"/>
  <c r="L44" i="38"/>
  <c r="I39" i="48"/>
  <c r="H9" i="48"/>
  <c r="H6" i="48"/>
  <c r="I6" i="48"/>
  <c r="I7" i="48"/>
  <c r="I3" i="48"/>
  <c r="H11" i="48"/>
  <c r="I11" i="48"/>
  <c r="I10" i="48"/>
  <c r="G8" i="54"/>
  <c r="G9" i="54"/>
  <c r="N9" i="54"/>
  <c r="I13" i="48"/>
  <c r="A64" i="43"/>
  <c r="A58" i="22" s="1"/>
  <c r="O58" i="22" s="1"/>
  <c r="G59" i="39"/>
  <c r="A59" i="39"/>
  <c r="A57" i="38"/>
  <c r="Q57" i="38" s="1"/>
  <c r="A662" i="50"/>
  <c r="D662" i="50" s="1"/>
  <c r="L29" i="38"/>
  <c r="F31" i="39"/>
  <c r="R24" i="48"/>
  <c r="Q24" i="48" s="1"/>
  <c r="I24" i="48"/>
  <c r="F28" i="39"/>
  <c r="L26" i="38"/>
  <c r="H21" i="48"/>
  <c r="R21" i="48"/>
  <c r="Q21" i="48" s="1"/>
  <c r="I21" i="48"/>
  <c r="R26" i="48"/>
  <c r="Q26" i="48" s="1"/>
  <c r="H26" i="48"/>
  <c r="F33" i="39"/>
  <c r="L31" i="38"/>
  <c r="I26" i="48"/>
  <c r="R13" i="48"/>
  <c r="Q13" i="48" s="1"/>
  <c r="L18" i="38"/>
  <c r="F20" i="39"/>
  <c r="F15" i="39"/>
  <c r="R8" i="48"/>
  <c r="Q8" i="48" s="1"/>
  <c r="L13" i="38"/>
  <c r="R11" i="48"/>
  <c r="Q11" i="48" s="1"/>
  <c r="L16" i="38"/>
  <c r="F18" i="39"/>
  <c r="F27" i="39"/>
  <c r="L25" i="38"/>
  <c r="R20" i="48"/>
  <c r="Q20" i="48" s="1"/>
  <c r="I20" i="48"/>
  <c r="R6" i="48"/>
  <c r="Q6" i="48" s="1"/>
  <c r="F13" i="39"/>
  <c r="L11" i="38"/>
  <c r="F14" i="39"/>
  <c r="R7" i="48"/>
  <c r="Q7" i="48" s="1"/>
  <c r="L12" i="38"/>
  <c r="L14" i="38"/>
  <c r="F16" i="39"/>
  <c r="R9" i="48"/>
  <c r="Q9" i="48" s="1"/>
  <c r="I9" i="48"/>
  <c r="R10" i="48"/>
  <c r="Q10" i="48" s="1"/>
  <c r="F17" i="39"/>
  <c r="L15" i="38"/>
  <c r="R17" i="48"/>
  <c r="Q17" i="48" s="1"/>
  <c r="L22" i="38"/>
  <c r="F24" i="39"/>
  <c r="I2" i="48"/>
  <c r="E72" i="39"/>
  <c r="J72" i="39" s="1"/>
  <c r="K72" i="39" s="1"/>
  <c r="L7" i="38"/>
  <c r="F9" i="39"/>
  <c r="R2" i="48"/>
  <c r="Q2" i="48" s="1"/>
  <c r="E77" i="39"/>
  <c r="J77" i="39" s="1"/>
  <c r="K77" i="39" s="1"/>
  <c r="E80" i="39"/>
  <c r="J80" i="39" s="1"/>
  <c r="K80" i="39" s="1"/>
  <c r="E84" i="39"/>
  <c r="J84" i="39" s="1"/>
  <c r="K84" i="39" s="1"/>
  <c r="E76" i="39"/>
  <c r="J76" i="39" s="1"/>
  <c r="K76" i="39" s="1"/>
  <c r="E75" i="39"/>
  <c r="J75" i="39" s="1"/>
  <c r="K75" i="39" s="1"/>
  <c r="E79" i="39"/>
  <c r="J79" i="39" s="1"/>
  <c r="K79" i="39" s="1"/>
  <c r="E73" i="39"/>
  <c r="J73" i="39" s="1"/>
  <c r="K73" i="39" s="1"/>
  <c r="E83" i="39"/>
  <c r="J83" i="39" s="1"/>
  <c r="K83" i="39" s="1"/>
  <c r="E82" i="39"/>
  <c r="J82" i="39" s="1"/>
  <c r="K82" i="39" s="1"/>
  <c r="E81" i="39"/>
  <c r="J81" i="39" s="1"/>
  <c r="K81" i="39" s="1"/>
  <c r="E78" i="39"/>
  <c r="J78" i="39" s="1"/>
  <c r="K78" i="39" s="1"/>
  <c r="E74" i="39"/>
  <c r="J74" i="39" s="1"/>
  <c r="K74" i="39" s="1"/>
  <c r="H25" i="48"/>
  <c r="F32" i="39"/>
  <c r="L30" i="38"/>
  <c r="R25" i="48"/>
  <c r="Q25" i="48" s="1"/>
  <c r="I25" i="48"/>
  <c r="R14" i="48"/>
  <c r="Q14" i="48" s="1"/>
  <c r="F21" i="39"/>
  <c r="L19" i="38"/>
  <c r="I14" i="48"/>
  <c r="L10" i="38"/>
  <c r="F12" i="39"/>
  <c r="R5" i="48"/>
  <c r="Q5" i="48" s="1"/>
  <c r="I5" i="48"/>
  <c r="L21" i="38"/>
  <c r="F23" i="39"/>
  <c r="R16" i="48"/>
  <c r="Q16" i="48" s="1"/>
  <c r="I16" i="48"/>
  <c r="L8" i="38"/>
  <c r="F10" i="39"/>
  <c r="R3" i="48"/>
  <c r="Q3" i="48" s="1"/>
  <c r="L27" i="38"/>
  <c r="R22" i="48"/>
  <c r="Q22" i="48" s="1"/>
  <c r="F29" i="39"/>
  <c r="I22" i="48"/>
  <c r="L23" i="38"/>
  <c r="H18" i="48"/>
  <c r="R18" i="48"/>
  <c r="Q18" i="48" s="1"/>
  <c r="F25" i="39"/>
  <c r="I18" i="48"/>
  <c r="F26" i="39"/>
  <c r="L24" i="38"/>
  <c r="R19" i="48"/>
  <c r="Q19" i="48" s="1"/>
  <c r="F30" i="39"/>
  <c r="L28" i="38"/>
  <c r="R23" i="48"/>
  <c r="Q23" i="48" s="1"/>
  <c r="H23" i="48"/>
  <c r="I23" i="48"/>
  <c r="L17" i="38"/>
  <c r="R12" i="48"/>
  <c r="Q12" i="48" s="1"/>
  <c r="F19" i="39"/>
  <c r="I12" i="48"/>
  <c r="R15" i="48"/>
  <c r="Q15" i="48" s="1"/>
  <c r="L20" i="38"/>
  <c r="F22" i="39"/>
  <c r="I15" i="48"/>
  <c r="L9" i="38"/>
  <c r="R4" i="48"/>
  <c r="Q4" i="48" s="1"/>
  <c r="F11" i="39"/>
  <c r="A389" i="51"/>
  <c r="A397" i="51" s="1"/>
  <c r="A437" i="50"/>
  <c r="D437" i="50" s="1"/>
  <c r="A575" i="51"/>
  <c r="D575" i="51" s="1"/>
  <c r="D738" i="51"/>
  <c r="A1102" i="51"/>
  <c r="A1110" i="51" s="1"/>
  <c r="A265" i="51"/>
  <c r="A273" i="51" s="1"/>
  <c r="A197" i="50"/>
  <c r="D197" i="50" s="1"/>
  <c r="A617" i="50"/>
  <c r="D617" i="50" s="1"/>
  <c r="A512" i="50"/>
  <c r="D512" i="50" s="1"/>
  <c r="A242" i="50"/>
  <c r="D242" i="50" s="1"/>
  <c r="A823" i="51"/>
  <c r="A831" i="51" s="1"/>
  <c r="A420" i="51"/>
  <c r="D420" i="51" s="1"/>
  <c r="A287" i="50"/>
  <c r="D287" i="50" s="1"/>
  <c r="A48" i="51"/>
  <c r="D48" i="51" s="1"/>
  <c r="A885" i="51"/>
  <c r="A893" i="51" s="1"/>
  <c r="D264" i="50"/>
  <c r="D730" i="51"/>
  <c r="A1195" i="51"/>
  <c r="A1203" i="51" s="1"/>
  <c r="A1350" i="51"/>
  <c r="A1358" i="51" s="1"/>
  <c r="D1280" i="51"/>
  <c r="A1288" i="51"/>
  <c r="D536" i="51"/>
  <c r="A544" i="51"/>
  <c r="D1032" i="51"/>
  <c r="A1040" i="51"/>
  <c r="D598" i="51"/>
  <c r="A606" i="51"/>
  <c r="D195" i="51"/>
  <c r="A203" i="51"/>
  <c r="D459" i="50"/>
  <c r="A467" i="50"/>
  <c r="D467" i="50" s="1"/>
  <c r="A92" i="50"/>
  <c r="D92" i="50" s="1"/>
  <c r="D84" i="50"/>
  <c r="D102" i="51"/>
  <c r="A110" i="51"/>
  <c r="A699" i="51"/>
  <c r="D691" i="51"/>
  <c r="A122" i="50"/>
  <c r="D122" i="50" s="1"/>
  <c r="D114" i="50"/>
  <c r="D71" i="51"/>
  <c r="A79" i="51"/>
  <c r="D639" i="50"/>
  <c r="A647" i="50"/>
  <c r="D647" i="50" s="1"/>
  <c r="D144" i="50"/>
  <c r="A152" i="50"/>
  <c r="D152" i="50" s="1"/>
  <c r="D324" i="50"/>
  <c r="A332" i="50"/>
  <c r="D332" i="50" s="1"/>
  <c r="D1249" i="51"/>
  <c r="A1257" i="51"/>
  <c r="A637" i="51"/>
  <c r="D629" i="51"/>
  <c r="D784" i="51"/>
  <c r="A792" i="51"/>
  <c r="A17" i="50"/>
  <c r="D17" i="50" s="1"/>
  <c r="D9" i="50"/>
  <c r="D414" i="50"/>
  <c r="A422" i="50"/>
  <c r="D422" i="50" s="1"/>
  <c r="D129" i="50"/>
  <c r="A137" i="50"/>
  <c r="D137" i="50" s="1"/>
  <c r="D24" i="50"/>
  <c r="A32" i="50"/>
  <c r="D32" i="50" s="1"/>
  <c r="D939" i="51"/>
  <c r="A947" i="51"/>
  <c r="A362" i="50"/>
  <c r="D362" i="50" s="1"/>
  <c r="D354" i="50"/>
  <c r="D1156" i="51"/>
  <c r="A1164" i="51"/>
  <c r="D513" i="51"/>
  <c r="A521" i="51"/>
  <c r="D489" i="50"/>
  <c r="A497" i="50"/>
  <c r="D497" i="50" s="1"/>
  <c r="A141" i="51"/>
  <c r="D133" i="51"/>
  <c r="D1063" i="51"/>
  <c r="A1071" i="51"/>
  <c r="D54" i="50"/>
  <c r="A62" i="50"/>
  <c r="D62" i="50" s="1"/>
  <c r="D288" i="51"/>
  <c r="A296" i="51"/>
  <c r="D660" i="51"/>
  <c r="A668" i="51"/>
  <c r="D444" i="50"/>
  <c r="A452" i="50"/>
  <c r="D452" i="50" s="1"/>
  <c r="D39" i="50"/>
  <c r="A47" i="50"/>
  <c r="D47" i="50" s="1"/>
  <c r="D204" i="50"/>
  <c r="A212" i="50"/>
  <c r="D212" i="50" s="1"/>
  <c r="D99" i="50"/>
  <c r="A107" i="50"/>
  <c r="D107" i="50" s="1"/>
  <c r="D249" i="50"/>
  <c r="A257" i="50"/>
  <c r="D257" i="50" s="1"/>
  <c r="D474" i="51"/>
  <c r="A482" i="51"/>
  <c r="D350" i="51"/>
  <c r="A358" i="51"/>
  <c r="D1218" i="51"/>
  <c r="A1226" i="51"/>
  <c r="D339" i="50"/>
  <c r="A347" i="50"/>
  <c r="D347" i="50" s="1"/>
  <c r="A978" i="51"/>
  <c r="D970" i="51"/>
  <c r="D1001" i="51"/>
  <c r="A1009" i="51"/>
  <c r="A459" i="51"/>
  <c r="D451" i="51"/>
  <c r="A77" i="50"/>
  <c r="D77" i="50" s="1"/>
  <c r="D69" i="50"/>
  <c r="D369" i="50"/>
  <c r="A377" i="50"/>
  <c r="D377" i="50" s="1"/>
  <c r="D534" i="50"/>
  <c r="A542" i="50"/>
  <c r="D542" i="50" s="1"/>
  <c r="A916" i="51"/>
  <c r="D908" i="51"/>
  <c r="D846" i="51"/>
  <c r="A854" i="51"/>
  <c r="A180" i="51"/>
  <c r="D172" i="51"/>
  <c r="D17" i="51"/>
  <c r="A25" i="51"/>
  <c r="A1149" i="51"/>
  <c r="D1149" i="51" s="1"/>
  <c r="D1141" i="51"/>
  <c r="D564" i="50"/>
  <c r="A572" i="50"/>
  <c r="D572" i="50" s="1"/>
  <c r="D159" i="50"/>
  <c r="A167" i="50"/>
  <c r="D167" i="50" s="1"/>
  <c r="D319" i="51"/>
  <c r="A327" i="51"/>
  <c r="D519" i="50"/>
  <c r="A527" i="50"/>
  <c r="D527" i="50" s="1"/>
  <c r="D226" i="51"/>
  <c r="A234" i="51"/>
  <c r="A557" i="50"/>
  <c r="D557" i="50" s="1"/>
  <c r="D549" i="50"/>
  <c r="D309" i="50"/>
  <c r="A317" i="50"/>
  <c r="D317" i="50" s="1"/>
  <c r="D753" i="51"/>
  <c r="A761" i="51"/>
  <c r="D594" i="50"/>
  <c r="A602" i="50"/>
  <c r="D602" i="50" s="1"/>
  <c r="D1319" i="51"/>
  <c r="A1327" i="51"/>
  <c r="D219" i="50"/>
  <c r="A227" i="50"/>
  <c r="D227" i="50" s="1"/>
  <c r="AA44" i="22" l="1"/>
  <c r="AB44" i="22" s="1"/>
  <c r="AA43" i="22"/>
  <c r="AB43" i="22" s="1"/>
  <c r="W43" i="22"/>
  <c r="C46" i="39"/>
  <c r="C51" i="37"/>
  <c r="D51" i="37" s="1"/>
  <c r="H44" i="38"/>
  <c r="I44" i="38" s="1"/>
  <c r="A441" i="50"/>
  <c r="A238" i="49"/>
  <c r="D238" i="49" s="1"/>
  <c r="A905" i="51"/>
  <c r="B238" i="53"/>
  <c r="E238" i="53" s="1"/>
  <c r="T31" i="48"/>
  <c r="AA35" i="22"/>
  <c r="AB35" i="22" s="1"/>
  <c r="C43" i="37"/>
  <c r="D43" i="37" s="1"/>
  <c r="H36" i="38"/>
  <c r="I36" i="38" s="1"/>
  <c r="C38" i="39"/>
  <c r="W35" i="22"/>
  <c r="H40" i="39"/>
  <c r="G40" i="39"/>
  <c r="H35" i="39"/>
  <c r="G35" i="39"/>
  <c r="AA32" i="22"/>
  <c r="AB32" i="22" s="1"/>
  <c r="H33" i="38"/>
  <c r="I33" i="38" s="1"/>
  <c r="C40" i="37"/>
  <c r="D40" i="37" s="1"/>
  <c r="B39" i="34"/>
  <c r="D39" i="34" s="1"/>
  <c r="C35" i="39"/>
  <c r="W32" i="22"/>
  <c r="A268" i="49"/>
  <c r="D268" i="49" s="1"/>
  <c r="A1027" i="51"/>
  <c r="A499" i="50"/>
  <c r="A514" i="50"/>
  <c r="A1058" i="51"/>
  <c r="A276" i="49"/>
  <c r="D276" i="49" s="1"/>
  <c r="AA40" i="22"/>
  <c r="AB40" i="22" s="1"/>
  <c r="C43" i="39"/>
  <c r="W40" i="22"/>
  <c r="H41" i="38"/>
  <c r="I41" i="38" s="1"/>
  <c r="C48" i="37"/>
  <c r="D48" i="37" s="1"/>
  <c r="H37" i="39"/>
  <c r="G37" i="39"/>
  <c r="H39" i="39"/>
  <c r="G39" i="39"/>
  <c r="A529" i="50"/>
  <c r="A1089" i="51"/>
  <c r="A284" i="49"/>
  <c r="D284" i="49" s="1"/>
  <c r="AA41" i="22"/>
  <c r="AB41" i="22" s="1"/>
  <c r="C44" i="39"/>
  <c r="W41" i="22"/>
  <c r="H42" i="38"/>
  <c r="I42" i="38" s="1"/>
  <c r="C49" i="37"/>
  <c r="D49" i="37" s="1"/>
  <c r="A260" i="49"/>
  <c r="D260" i="49" s="1"/>
  <c r="A484" i="50"/>
  <c r="A996" i="51"/>
  <c r="A1120" i="51"/>
  <c r="A292" i="49"/>
  <c r="D292" i="49" s="1"/>
  <c r="A544" i="50"/>
  <c r="AA42" i="22"/>
  <c r="AB42" i="22" s="1"/>
  <c r="W42" i="22"/>
  <c r="C50" i="37"/>
  <c r="D50" i="37" s="1"/>
  <c r="C45" i="39"/>
  <c r="H43" i="38"/>
  <c r="I43" i="38" s="1"/>
  <c r="A300" i="49"/>
  <c r="D300" i="49" s="1"/>
  <c r="A1151" i="51"/>
  <c r="A559" i="50"/>
  <c r="H38" i="39"/>
  <c r="G38" i="39"/>
  <c r="B967" i="51"/>
  <c r="B254" i="49"/>
  <c r="E254" i="49" s="1"/>
  <c r="A255" i="53"/>
  <c r="D255" i="53" s="1"/>
  <c r="A257" i="52"/>
  <c r="D257" i="52" s="1"/>
  <c r="B471" i="50"/>
  <c r="A214" i="49"/>
  <c r="D214" i="49" s="1"/>
  <c r="B214" i="53"/>
  <c r="E214" i="53" s="1"/>
  <c r="A396" i="50"/>
  <c r="A812" i="51"/>
  <c r="T28" i="48"/>
  <c r="A271" i="53"/>
  <c r="D271" i="53" s="1"/>
  <c r="B1029" i="51"/>
  <c r="B270" i="49"/>
  <c r="E270" i="49" s="1"/>
  <c r="B501" i="50"/>
  <c r="A273" i="52"/>
  <c r="D273" i="52" s="1"/>
  <c r="B270" i="53"/>
  <c r="E270" i="53" s="1"/>
  <c r="A501" i="50"/>
  <c r="A1029" i="51"/>
  <c r="T35" i="48"/>
  <c r="A270" i="49"/>
  <c r="D270" i="49" s="1"/>
  <c r="T36" i="48"/>
  <c r="B278" i="53"/>
  <c r="E278" i="53" s="1"/>
  <c r="A278" i="49"/>
  <c r="D278" i="49" s="1"/>
  <c r="A516" i="50"/>
  <c r="A1060" i="51"/>
  <c r="A233" i="52"/>
  <c r="D233" i="52" s="1"/>
  <c r="A231" i="53"/>
  <c r="D231" i="53" s="1"/>
  <c r="B426" i="50"/>
  <c r="B230" i="49"/>
  <c r="E230" i="49" s="1"/>
  <c r="B874" i="51"/>
  <c r="A228" i="49"/>
  <c r="D228" i="49" s="1"/>
  <c r="A424" i="50"/>
  <c r="A872" i="51"/>
  <c r="T32" i="48"/>
  <c r="B246" i="53"/>
  <c r="E246" i="53" s="1"/>
  <c r="A246" i="49"/>
  <c r="D246" i="49" s="1"/>
  <c r="A936" i="51"/>
  <c r="A456" i="50"/>
  <c r="H44" i="39"/>
  <c r="G44" i="39"/>
  <c r="A263" i="53"/>
  <c r="D263" i="53" s="1"/>
  <c r="B262" i="49"/>
  <c r="E262" i="49" s="1"/>
  <c r="A265" i="52"/>
  <c r="D265" i="52" s="1"/>
  <c r="B486" i="50"/>
  <c r="B998" i="51"/>
  <c r="H45" i="39"/>
  <c r="G45" i="39"/>
  <c r="H46" i="39"/>
  <c r="G46" i="39"/>
  <c r="A469" i="50"/>
  <c r="A252" i="49"/>
  <c r="D252" i="49" s="1"/>
  <c r="A965" i="51"/>
  <c r="AA37" i="22"/>
  <c r="AB37" i="22" s="1"/>
  <c r="C45" i="37"/>
  <c r="D45" i="37" s="1"/>
  <c r="H38" i="38"/>
  <c r="I38" i="38" s="1"/>
  <c r="C40" i="39"/>
  <c r="W37" i="22"/>
  <c r="A212" i="49"/>
  <c r="D212" i="49" s="1"/>
  <c r="A810" i="51"/>
  <c r="A394" i="50"/>
  <c r="AA39" i="22"/>
  <c r="AB39" i="22" s="1"/>
  <c r="C47" i="37"/>
  <c r="D47" i="37" s="1"/>
  <c r="C42" i="39"/>
  <c r="H40" i="38"/>
  <c r="I40" i="38" s="1"/>
  <c r="W39" i="22"/>
  <c r="H43" i="39"/>
  <c r="G43" i="39"/>
  <c r="B230" i="53"/>
  <c r="E230" i="53" s="1"/>
  <c r="A874" i="51"/>
  <c r="A230" i="49"/>
  <c r="D230" i="49" s="1"/>
  <c r="A426" i="50"/>
  <c r="T30" i="48"/>
  <c r="AA34" i="22"/>
  <c r="AB34" i="22" s="1"/>
  <c r="AA33" i="22"/>
  <c r="AB33" i="22" s="1"/>
  <c r="C37" i="39"/>
  <c r="C42" i="37"/>
  <c r="D42" i="37" s="1"/>
  <c r="W34" i="22"/>
  <c r="H35" i="38"/>
  <c r="I35" i="38" s="1"/>
  <c r="A249" i="52"/>
  <c r="D249" i="52" s="1"/>
  <c r="A247" i="53"/>
  <c r="D247" i="53" s="1"/>
  <c r="B936" i="51"/>
  <c r="B246" i="49"/>
  <c r="E246" i="49" s="1"/>
  <c r="B456" i="50"/>
  <c r="A531" i="50"/>
  <c r="T37" i="48"/>
  <c r="A286" i="49"/>
  <c r="D286" i="49" s="1"/>
  <c r="B286" i="53"/>
  <c r="E286" i="53" s="1"/>
  <c r="A1091" i="51"/>
  <c r="H41" i="39"/>
  <c r="G41" i="39"/>
  <c r="AA38" i="22"/>
  <c r="AB38" i="22" s="1"/>
  <c r="C41" i="39"/>
  <c r="H39" i="38"/>
  <c r="I39" i="38" s="1"/>
  <c r="W38" i="22"/>
  <c r="C46" i="37"/>
  <c r="D46" i="37" s="1"/>
  <c r="A305" i="52"/>
  <c r="D305" i="52" s="1"/>
  <c r="B1153" i="51"/>
  <c r="A303" i="53"/>
  <c r="D303" i="53" s="1"/>
  <c r="B561" i="50"/>
  <c r="B302" i="49"/>
  <c r="E302" i="49" s="1"/>
  <c r="A1153" i="51"/>
  <c r="B302" i="53"/>
  <c r="E302" i="53" s="1"/>
  <c r="A561" i="50"/>
  <c r="T39" i="48"/>
  <c r="A302" i="49"/>
  <c r="D302" i="49" s="1"/>
  <c r="B905" i="51"/>
  <c r="B441" i="50"/>
  <c r="A241" i="52"/>
  <c r="D241" i="52" s="1"/>
  <c r="B238" i="49"/>
  <c r="E238" i="49" s="1"/>
  <c r="A239" i="53"/>
  <c r="D239" i="53" s="1"/>
  <c r="A439" i="50"/>
  <c r="A903" i="51"/>
  <c r="A236" i="49"/>
  <c r="D236" i="49" s="1"/>
  <c r="A254" i="49"/>
  <c r="D254" i="49" s="1"/>
  <c r="A967" i="51"/>
  <c r="T33" i="48"/>
  <c r="A471" i="50"/>
  <c r="B254" i="53"/>
  <c r="E254" i="53" s="1"/>
  <c r="B812" i="51"/>
  <c r="B214" i="49"/>
  <c r="E214" i="49" s="1"/>
  <c r="A217" i="52"/>
  <c r="D217" i="52" s="1"/>
  <c r="B396" i="50"/>
  <c r="A215" i="53"/>
  <c r="D215" i="53" s="1"/>
  <c r="H42" i="39"/>
  <c r="G42" i="39"/>
  <c r="A279" i="53"/>
  <c r="D279" i="53" s="1"/>
  <c r="B1060" i="51"/>
  <c r="A281" i="52"/>
  <c r="D281" i="52" s="1"/>
  <c r="B516" i="50"/>
  <c r="B278" i="49"/>
  <c r="E278" i="49" s="1"/>
  <c r="A244" i="49"/>
  <c r="D244" i="49" s="1"/>
  <c r="A934" i="51"/>
  <c r="A454" i="50"/>
  <c r="AA36" i="22"/>
  <c r="AB36" i="22" s="1"/>
  <c r="C39" i="39"/>
  <c r="C44" i="37"/>
  <c r="D44" i="37" s="1"/>
  <c r="W36" i="22"/>
  <c r="H37" i="38"/>
  <c r="I37" i="38" s="1"/>
  <c r="B1091" i="51"/>
  <c r="B286" i="49"/>
  <c r="E286" i="49" s="1"/>
  <c r="A287" i="53"/>
  <c r="D287" i="53" s="1"/>
  <c r="A289" i="52"/>
  <c r="D289" i="52" s="1"/>
  <c r="B531" i="50"/>
  <c r="B262" i="53"/>
  <c r="E262" i="53" s="1"/>
  <c r="A262" i="49"/>
  <c r="D262" i="49" s="1"/>
  <c r="A486" i="50"/>
  <c r="A998" i="51"/>
  <c r="T34" i="48"/>
  <c r="B1122" i="51"/>
  <c r="B546" i="50"/>
  <c r="B294" i="49"/>
  <c r="E294" i="49" s="1"/>
  <c r="A295" i="53"/>
  <c r="D295" i="53" s="1"/>
  <c r="A297" i="52"/>
  <c r="D297" i="52" s="1"/>
  <c r="B294" i="53"/>
  <c r="E294" i="53" s="1"/>
  <c r="A546" i="50"/>
  <c r="A294" i="49"/>
  <c r="D294" i="49" s="1"/>
  <c r="T38" i="48"/>
  <c r="A1122" i="51"/>
  <c r="G61" i="39"/>
  <c r="A65" i="43"/>
  <c r="A59" i="22" s="1"/>
  <c r="O59" i="22" s="1"/>
  <c r="A59" i="38"/>
  <c r="Q59" i="38" s="1"/>
  <c r="A61" i="39"/>
  <c r="G60" i="39"/>
  <c r="A58" i="38"/>
  <c r="Q58" i="38" s="1"/>
  <c r="A60" i="39"/>
  <c r="D265" i="51"/>
  <c r="D389" i="51"/>
  <c r="H22" i="39"/>
  <c r="G22" i="39"/>
  <c r="AA19" i="22"/>
  <c r="AB19" i="22" s="1"/>
  <c r="H20" i="38"/>
  <c r="I20" i="38" s="1"/>
  <c r="C27" i="37"/>
  <c r="D27" i="37" s="1"/>
  <c r="B26" i="34"/>
  <c r="D26" i="34" s="1"/>
  <c r="W19" i="22"/>
  <c r="C22" i="39"/>
  <c r="B174" i="53"/>
  <c r="E174" i="53" s="1"/>
  <c r="T23" i="48"/>
  <c r="A321" i="50"/>
  <c r="A657" i="51"/>
  <c r="A174" i="49"/>
  <c r="D174" i="49" s="1"/>
  <c r="AA27" i="22"/>
  <c r="AB27" i="22" s="1"/>
  <c r="B34" i="34"/>
  <c r="D34" i="34" s="1"/>
  <c r="C35" i="37"/>
  <c r="D35" i="37" s="1"/>
  <c r="H28" i="38"/>
  <c r="I28" i="38" s="1"/>
  <c r="C30" i="39"/>
  <c r="W27" i="22"/>
  <c r="H25" i="39"/>
  <c r="G25" i="39"/>
  <c r="AA22" i="22"/>
  <c r="AB22" i="22" s="1"/>
  <c r="C25" i="39"/>
  <c r="B29" i="34"/>
  <c r="D29" i="34" s="1"/>
  <c r="H23" i="38"/>
  <c r="I23" i="38" s="1"/>
  <c r="C30" i="37"/>
  <c r="D30" i="37" s="1"/>
  <c r="W22" i="22"/>
  <c r="B166" i="53"/>
  <c r="E166" i="53" s="1"/>
  <c r="T22" i="48"/>
  <c r="A166" i="49"/>
  <c r="D166" i="49" s="1"/>
  <c r="A306" i="50"/>
  <c r="A626" i="51"/>
  <c r="G10" i="39"/>
  <c r="H10" i="39"/>
  <c r="AA7" i="22"/>
  <c r="AB7" i="22" s="1"/>
  <c r="H8" i="38"/>
  <c r="I8" i="38" s="1"/>
  <c r="W7" i="22"/>
  <c r="C10" i="39"/>
  <c r="B10" i="34"/>
  <c r="D10" i="34" s="1"/>
  <c r="C11" i="37"/>
  <c r="D11" i="37" s="1"/>
  <c r="A49" i="50"/>
  <c r="A97" i="51"/>
  <c r="A28" i="49"/>
  <c r="D28" i="49" s="1"/>
  <c r="AA9" i="22"/>
  <c r="AB9" i="22" s="1"/>
  <c r="W9" i="22"/>
  <c r="C12" i="39"/>
  <c r="H10" i="38"/>
  <c r="I10" i="38" s="1"/>
  <c r="B16" i="34"/>
  <c r="D16" i="34" s="1"/>
  <c r="C17" i="37"/>
  <c r="D17" i="37" s="1"/>
  <c r="A100" i="49"/>
  <c r="D100" i="49" s="1"/>
  <c r="A184" i="50"/>
  <c r="A376" i="51"/>
  <c r="A188" i="49"/>
  <c r="D188" i="49" s="1"/>
  <c r="A717" i="51"/>
  <c r="A349" i="50"/>
  <c r="AA29" i="22"/>
  <c r="AB29" i="22" s="1"/>
  <c r="B36" i="34"/>
  <c r="D36" i="34" s="1"/>
  <c r="C32" i="39"/>
  <c r="C37" i="37"/>
  <c r="D37" i="37" s="1"/>
  <c r="H30" i="38"/>
  <c r="I30" i="38" s="1"/>
  <c r="W29" i="22"/>
  <c r="B126" i="49"/>
  <c r="E126" i="49" s="1"/>
  <c r="A127" i="53"/>
  <c r="D127" i="53" s="1"/>
  <c r="B471" i="51"/>
  <c r="A129" i="52"/>
  <c r="D129" i="52" s="1"/>
  <c r="B231" i="50"/>
  <c r="A126" i="49"/>
  <c r="D126" i="49" s="1"/>
  <c r="T17" i="48"/>
  <c r="A471" i="51"/>
  <c r="B126" i="53"/>
  <c r="E126" i="53" s="1"/>
  <c r="A231" i="50"/>
  <c r="H17" i="39"/>
  <c r="G17" i="39"/>
  <c r="A65" i="52"/>
  <c r="D65" i="52" s="1"/>
  <c r="B111" i="50"/>
  <c r="B223" i="51"/>
  <c r="B62" i="49"/>
  <c r="E62" i="49" s="1"/>
  <c r="A63" i="53"/>
  <c r="D63" i="53" s="1"/>
  <c r="T9" i="48"/>
  <c r="A223" i="51"/>
  <c r="A62" i="49"/>
  <c r="D62" i="49" s="1"/>
  <c r="A111" i="50"/>
  <c r="B62" i="53"/>
  <c r="E62" i="53" s="1"/>
  <c r="A44" i="49"/>
  <c r="D44" i="49" s="1"/>
  <c r="A79" i="50"/>
  <c r="A159" i="51"/>
  <c r="A41" i="52"/>
  <c r="D41" i="52" s="1"/>
  <c r="B130" i="51"/>
  <c r="A39" i="53"/>
  <c r="D39" i="53" s="1"/>
  <c r="B66" i="50"/>
  <c r="B38" i="49"/>
  <c r="E38" i="49" s="1"/>
  <c r="B38" i="53"/>
  <c r="E38" i="53" s="1"/>
  <c r="T6" i="48"/>
  <c r="A66" i="50"/>
  <c r="A38" i="49"/>
  <c r="D38" i="49" s="1"/>
  <c r="A130" i="51"/>
  <c r="A274" i="50"/>
  <c r="A148" i="49"/>
  <c r="D148" i="49" s="1"/>
  <c r="A562" i="51"/>
  <c r="B78" i="49"/>
  <c r="E78" i="49" s="1"/>
  <c r="A79" i="53"/>
  <c r="D79" i="53" s="1"/>
  <c r="A81" i="52"/>
  <c r="D81" i="52" s="1"/>
  <c r="B285" i="51"/>
  <c r="B141" i="50"/>
  <c r="A285" i="51"/>
  <c r="T11" i="48"/>
  <c r="B78" i="53"/>
  <c r="E78" i="53" s="1"/>
  <c r="A78" i="49"/>
  <c r="D78" i="49" s="1"/>
  <c r="A141" i="50"/>
  <c r="A190" i="51"/>
  <c r="A94" i="50"/>
  <c r="A52" i="49"/>
  <c r="D52" i="49" s="1"/>
  <c r="B171" i="50"/>
  <c r="B347" i="51"/>
  <c r="B94" i="49"/>
  <c r="E94" i="49" s="1"/>
  <c r="A95" i="53"/>
  <c r="D95" i="53" s="1"/>
  <c r="A97" i="52"/>
  <c r="D97" i="52" s="1"/>
  <c r="B94" i="53"/>
  <c r="E94" i="53" s="1"/>
  <c r="A94" i="49"/>
  <c r="D94" i="49" s="1"/>
  <c r="A171" i="50"/>
  <c r="A347" i="51"/>
  <c r="T13" i="48"/>
  <c r="H33" i="39"/>
  <c r="G33" i="39"/>
  <c r="A161" i="52"/>
  <c r="D161" i="52" s="1"/>
  <c r="B291" i="50"/>
  <c r="B158" i="49"/>
  <c r="E158" i="49" s="1"/>
  <c r="A159" i="53"/>
  <c r="D159" i="53" s="1"/>
  <c r="B595" i="51"/>
  <c r="H28" i="39"/>
  <c r="G28" i="39"/>
  <c r="A180" i="49"/>
  <c r="D180" i="49" s="1"/>
  <c r="A334" i="50"/>
  <c r="A686" i="51"/>
  <c r="B22" i="49"/>
  <c r="E22" i="49" s="1"/>
  <c r="B36" i="50"/>
  <c r="A23" i="53"/>
  <c r="D23" i="53" s="1"/>
  <c r="B68" i="51"/>
  <c r="A25" i="52"/>
  <c r="D25" i="52" s="1"/>
  <c r="A36" i="50"/>
  <c r="T4" i="48"/>
  <c r="A68" i="51"/>
  <c r="B22" i="53"/>
  <c r="E22" i="53" s="1"/>
  <c r="A22" i="49"/>
  <c r="D22" i="49" s="1"/>
  <c r="B86" i="49"/>
  <c r="E86" i="49" s="1"/>
  <c r="B156" i="50"/>
  <c r="B316" i="51"/>
  <c r="A87" i="53"/>
  <c r="D87" i="53" s="1"/>
  <c r="A89" i="52"/>
  <c r="D89" i="52" s="1"/>
  <c r="B86" i="53"/>
  <c r="E86" i="53" s="1"/>
  <c r="A156" i="50"/>
  <c r="T12" i="48"/>
  <c r="A316" i="51"/>
  <c r="A86" i="49"/>
  <c r="D86" i="49" s="1"/>
  <c r="A319" i="50"/>
  <c r="A172" i="49"/>
  <c r="D172" i="49" s="1"/>
  <c r="A655" i="51"/>
  <c r="A145" i="52"/>
  <c r="D145" i="52" s="1"/>
  <c r="B142" i="49"/>
  <c r="E142" i="49" s="1"/>
  <c r="B261" i="50"/>
  <c r="B533" i="51"/>
  <c r="A143" i="53"/>
  <c r="D143" i="53" s="1"/>
  <c r="H26" i="39"/>
  <c r="G26" i="39"/>
  <c r="A132" i="49"/>
  <c r="D132" i="49" s="1"/>
  <c r="A500" i="51"/>
  <c r="A244" i="50"/>
  <c r="B306" i="50"/>
  <c r="A167" i="53"/>
  <c r="D167" i="53" s="1"/>
  <c r="B166" i="49"/>
  <c r="E166" i="49" s="1"/>
  <c r="B626" i="51"/>
  <c r="A169" i="52"/>
  <c r="D169" i="52" s="1"/>
  <c r="B216" i="50"/>
  <c r="B440" i="51"/>
  <c r="A119" i="53"/>
  <c r="D119" i="53" s="1"/>
  <c r="A121" i="52"/>
  <c r="D121" i="52" s="1"/>
  <c r="B118" i="49"/>
  <c r="E118" i="49" s="1"/>
  <c r="A216" i="50"/>
  <c r="B118" i="53"/>
  <c r="E118" i="53" s="1"/>
  <c r="A440" i="51"/>
  <c r="T16" i="48"/>
  <c r="A118" i="49"/>
  <c r="D118" i="49" s="1"/>
  <c r="H12" i="39"/>
  <c r="G12" i="39"/>
  <c r="A103" i="53"/>
  <c r="D103" i="53" s="1"/>
  <c r="A105" i="52"/>
  <c r="D105" i="52" s="1"/>
  <c r="B102" i="49"/>
  <c r="E102" i="49" s="1"/>
  <c r="B186" i="50"/>
  <c r="B378" i="51"/>
  <c r="A378" i="51"/>
  <c r="T14" i="48"/>
  <c r="A186" i="50"/>
  <c r="A102" i="49"/>
  <c r="D102" i="49" s="1"/>
  <c r="B102" i="53"/>
  <c r="E102" i="53" s="1"/>
  <c r="A4" i="49"/>
  <c r="D4" i="49" s="1"/>
  <c r="A4" i="50"/>
  <c r="A4" i="51"/>
  <c r="A6" i="51"/>
  <c r="T2" i="48"/>
  <c r="A6" i="50"/>
  <c r="B6" i="53"/>
  <c r="E6" i="53" s="1"/>
  <c r="A6" i="49"/>
  <c r="D6" i="49" s="1"/>
  <c r="H24" i="39"/>
  <c r="G24" i="39"/>
  <c r="AA21" i="22"/>
  <c r="AB21" i="22" s="1"/>
  <c r="W21" i="22"/>
  <c r="C24" i="39"/>
  <c r="H22" i="38"/>
  <c r="I22" i="38" s="1"/>
  <c r="C29" i="37"/>
  <c r="D29" i="37" s="1"/>
  <c r="B28" i="34"/>
  <c r="D28" i="34" s="1"/>
  <c r="A68" i="49"/>
  <c r="D68" i="49" s="1"/>
  <c r="A124" i="50"/>
  <c r="A252" i="51"/>
  <c r="A109" i="50"/>
  <c r="A60" i="49"/>
  <c r="D60" i="49" s="1"/>
  <c r="A221" i="51"/>
  <c r="AA13" i="22"/>
  <c r="AB13" i="22" s="1"/>
  <c r="W13" i="22"/>
  <c r="C21" i="37"/>
  <c r="D21" i="37" s="1"/>
  <c r="H14" i="38"/>
  <c r="I14" i="38" s="1"/>
  <c r="B20" i="34"/>
  <c r="D20" i="34" s="1"/>
  <c r="C16" i="39"/>
  <c r="H14" i="39"/>
  <c r="G14" i="39"/>
  <c r="AA10" i="22"/>
  <c r="AB10" i="22" s="1"/>
  <c r="W10" i="22"/>
  <c r="C18" i="37"/>
  <c r="D18" i="37" s="1"/>
  <c r="H11" i="38"/>
  <c r="I11" i="38" s="1"/>
  <c r="C13" i="39"/>
  <c r="B17" i="34"/>
  <c r="D17" i="34" s="1"/>
  <c r="H18" i="39"/>
  <c r="G18" i="39"/>
  <c r="AA15" i="22"/>
  <c r="AB15" i="22" s="1"/>
  <c r="W15" i="22"/>
  <c r="C23" i="37"/>
  <c r="D23" i="37" s="1"/>
  <c r="H16" i="38"/>
  <c r="I16" i="38" s="1"/>
  <c r="B22" i="34"/>
  <c r="D22" i="34" s="1"/>
  <c r="C18" i="39"/>
  <c r="H15" i="39"/>
  <c r="G15" i="39"/>
  <c r="H20" i="39"/>
  <c r="G20" i="39"/>
  <c r="AA17" i="22"/>
  <c r="AB17" i="22" s="1"/>
  <c r="W17" i="22"/>
  <c r="C25" i="37"/>
  <c r="D25" i="37" s="1"/>
  <c r="C20" i="39"/>
  <c r="H18" i="38"/>
  <c r="I18" i="38" s="1"/>
  <c r="B24" i="34"/>
  <c r="D24" i="34" s="1"/>
  <c r="A366" i="50"/>
  <c r="A198" i="49"/>
  <c r="D198" i="49" s="1"/>
  <c r="T26" i="48"/>
  <c r="B198" i="53"/>
  <c r="E198" i="53" s="1"/>
  <c r="A750" i="51"/>
  <c r="A156" i="49"/>
  <c r="D156" i="49" s="1"/>
  <c r="A289" i="50"/>
  <c r="A593" i="51"/>
  <c r="AA25" i="22"/>
  <c r="AB25" i="22" s="1"/>
  <c r="H26" i="38"/>
  <c r="I26" i="38" s="1"/>
  <c r="B32" i="34"/>
  <c r="D32" i="34" s="1"/>
  <c r="C28" i="39"/>
  <c r="C33" i="37"/>
  <c r="D33" i="37" s="1"/>
  <c r="W25" i="22"/>
  <c r="H31" i="39"/>
  <c r="G31" i="39"/>
  <c r="H11" i="39"/>
  <c r="G11" i="39"/>
  <c r="AA8" i="22"/>
  <c r="AB8" i="22" s="1"/>
  <c r="H9" i="38"/>
  <c r="I9" i="38" s="1"/>
  <c r="W8" i="22"/>
  <c r="C11" i="39"/>
  <c r="A199" i="50"/>
  <c r="A108" i="49"/>
  <c r="D108" i="49" s="1"/>
  <c r="A407" i="51"/>
  <c r="H19" i="39"/>
  <c r="G19" i="39"/>
  <c r="AA16" i="22"/>
  <c r="AB16" i="22" s="1"/>
  <c r="C19" i="39"/>
  <c r="C24" i="37"/>
  <c r="D24" i="37" s="1"/>
  <c r="H17" i="38"/>
  <c r="I17" i="38" s="1"/>
  <c r="B23" i="34"/>
  <c r="D23" i="34" s="1"/>
  <c r="W16" i="22"/>
  <c r="A261" i="50"/>
  <c r="A142" i="49"/>
  <c r="D142" i="49" s="1"/>
  <c r="T19" i="48"/>
  <c r="B142" i="53"/>
  <c r="E142" i="53" s="1"/>
  <c r="A533" i="51"/>
  <c r="AA23" i="22"/>
  <c r="AB23" i="22" s="1"/>
  <c r="H24" i="38"/>
  <c r="I24" i="38" s="1"/>
  <c r="C26" i="39"/>
  <c r="B30" i="34"/>
  <c r="D30" i="34" s="1"/>
  <c r="C31" i="37"/>
  <c r="D31" i="37" s="1"/>
  <c r="W23" i="22"/>
  <c r="B134" i="53"/>
  <c r="E134" i="53" s="1"/>
  <c r="A246" i="50"/>
  <c r="A134" i="49"/>
  <c r="D134" i="49" s="1"/>
  <c r="A502" i="51"/>
  <c r="T18" i="48"/>
  <c r="H29" i="39"/>
  <c r="G29" i="39"/>
  <c r="AA26" i="22"/>
  <c r="AB26" i="22" s="1"/>
  <c r="C29" i="39"/>
  <c r="B33" i="34"/>
  <c r="D33" i="34" s="1"/>
  <c r="H27" i="38"/>
  <c r="I27" i="38" s="1"/>
  <c r="W26" i="22"/>
  <c r="C34" i="37"/>
  <c r="D34" i="37" s="1"/>
  <c r="A14" i="49"/>
  <c r="D14" i="49" s="1"/>
  <c r="A21" i="50"/>
  <c r="B14" i="53"/>
  <c r="E14" i="53" s="1"/>
  <c r="A37" i="51"/>
  <c r="T3" i="48"/>
  <c r="A214" i="50"/>
  <c r="A116" i="49"/>
  <c r="D116" i="49" s="1"/>
  <c r="A438" i="51"/>
  <c r="AA20" i="22"/>
  <c r="AB20" i="22" s="1"/>
  <c r="H21" i="38"/>
  <c r="I21" i="38" s="1"/>
  <c r="W20" i="22"/>
  <c r="C23" i="39"/>
  <c r="B27" i="34"/>
  <c r="D27" i="34" s="1"/>
  <c r="C28" i="37"/>
  <c r="D28" i="37" s="1"/>
  <c r="AA18" i="22"/>
  <c r="AB18" i="22" s="1"/>
  <c r="C21" i="39"/>
  <c r="W18" i="22"/>
  <c r="C26" i="37"/>
  <c r="D26" i="37" s="1"/>
  <c r="B25" i="34"/>
  <c r="D25" i="34" s="1"/>
  <c r="H19" i="38"/>
  <c r="I19" i="38" s="1"/>
  <c r="H32" i="39"/>
  <c r="G32" i="39"/>
  <c r="H9" i="39"/>
  <c r="G9" i="39"/>
  <c r="AA6" i="22"/>
  <c r="AB6" i="22" s="1"/>
  <c r="C9" i="39"/>
  <c r="B8" i="34"/>
  <c r="D8" i="34" s="1"/>
  <c r="V6" i="22"/>
  <c r="V7" i="22" s="1"/>
  <c r="V8" i="22" s="1"/>
  <c r="V9" i="22" s="1"/>
  <c r="V10" i="22" s="1"/>
  <c r="V11" i="22" s="1"/>
  <c r="V12" i="22" s="1"/>
  <c r="V13" i="22" s="1"/>
  <c r="V14" i="22" s="1"/>
  <c r="V15" i="22" s="1"/>
  <c r="V16" i="22" s="1"/>
  <c r="V17" i="22" s="1"/>
  <c r="V18" i="22" s="1"/>
  <c r="V19" i="22" s="1"/>
  <c r="V20" i="22" s="1"/>
  <c r="V21" i="22" s="1"/>
  <c r="V22" i="22" s="1"/>
  <c r="V23" i="22" s="1"/>
  <c r="V24" i="22" s="1"/>
  <c r="V25" i="22" s="1"/>
  <c r="V26" i="22" s="1"/>
  <c r="V27" i="22" s="1"/>
  <c r="V28" i="22" s="1"/>
  <c r="V29" i="22" s="1"/>
  <c r="V30" i="22" s="1"/>
  <c r="V31" i="22" s="1"/>
  <c r="V32" i="22" s="1"/>
  <c r="V33" i="22" s="1"/>
  <c r="V34" i="22" s="1"/>
  <c r="V35" i="22" s="1"/>
  <c r="V36" i="22" s="1"/>
  <c r="V37" i="22" s="1"/>
  <c r="V38" i="22" s="1"/>
  <c r="V39" i="22" s="1"/>
  <c r="V40" i="22" s="1"/>
  <c r="V41" i="22" s="1"/>
  <c r="V42" i="22" s="1"/>
  <c r="V43" i="22" s="1"/>
  <c r="V44" i="22" s="1"/>
  <c r="V45" i="22" s="1"/>
  <c r="V46" i="22" s="1"/>
  <c r="V47" i="22" s="1"/>
  <c r="V48" i="22" s="1"/>
  <c r="V49" i="22" s="1"/>
  <c r="V50" i="22" s="1"/>
  <c r="V51" i="22" s="1"/>
  <c r="V52" i="22" s="1"/>
  <c r="V53" i="22" s="1"/>
  <c r="V54" i="22" s="1"/>
  <c r="V55" i="22" s="1"/>
  <c r="V56" i="22" s="1"/>
  <c r="V57" i="22" s="1"/>
  <c r="V58" i="22" s="1"/>
  <c r="V59" i="22" s="1"/>
  <c r="V60" i="22" s="1"/>
  <c r="V61" i="22" s="1"/>
  <c r="V62" i="22" s="1"/>
  <c r="V63" i="22" s="1"/>
  <c r="V64" i="22" s="1"/>
  <c r="V65" i="22" s="1"/>
  <c r="V66" i="22" s="1"/>
  <c r="V67" i="22" s="1"/>
  <c r="V68" i="22" s="1"/>
  <c r="V69" i="22" s="1"/>
  <c r="H7" i="38"/>
  <c r="I7" i="38" s="1"/>
  <c r="W6" i="22"/>
  <c r="C9" i="37"/>
  <c r="D9" i="37" s="1"/>
  <c r="B126" i="50"/>
  <c r="A71" i="53"/>
  <c r="D71" i="53" s="1"/>
  <c r="B70" i="49"/>
  <c r="E70" i="49" s="1"/>
  <c r="B254" i="51"/>
  <c r="A73" i="52"/>
  <c r="D73" i="52" s="1"/>
  <c r="A70" i="49"/>
  <c r="D70" i="49" s="1"/>
  <c r="T10" i="48"/>
  <c r="A254" i="51"/>
  <c r="B70" i="53"/>
  <c r="E70" i="53" s="1"/>
  <c r="A126" i="50"/>
  <c r="H16" i="39"/>
  <c r="G16" i="39"/>
  <c r="B46" i="49"/>
  <c r="E46" i="49" s="1"/>
  <c r="B81" i="50"/>
  <c r="A49" i="52"/>
  <c r="D49" i="52" s="1"/>
  <c r="A47" i="53"/>
  <c r="D47" i="53" s="1"/>
  <c r="B161" i="51"/>
  <c r="T7" i="48"/>
  <c r="A161" i="51"/>
  <c r="A46" i="49"/>
  <c r="D46" i="49" s="1"/>
  <c r="B46" i="53"/>
  <c r="E46" i="53" s="1"/>
  <c r="A81" i="50"/>
  <c r="H13" i="39"/>
  <c r="G13" i="39"/>
  <c r="B276" i="50"/>
  <c r="B564" i="51"/>
  <c r="A151" i="53"/>
  <c r="D151" i="53" s="1"/>
  <c r="A153" i="52"/>
  <c r="D153" i="52" s="1"/>
  <c r="B150" i="49"/>
  <c r="E150" i="49" s="1"/>
  <c r="H27" i="39"/>
  <c r="G27" i="39"/>
  <c r="A55" i="53"/>
  <c r="D55" i="53" s="1"/>
  <c r="B192" i="51"/>
  <c r="B96" i="50"/>
  <c r="B54" i="49"/>
  <c r="E54" i="49" s="1"/>
  <c r="A57" i="52"/>
  <c r="D57" i="52" s="1"/>
  <c r="A192" i="51"/>
  <c r="T8" i="48"/>
  <c r="A54" i="49"/>
  <c r="D54" i="49" s="1"/>
  <c r="B54" i="53"/>
  <c r="E54" i="53" s="1"/>
  <c r="A96" i="50"/>
  <c r="A201" i="52"/>
  <c r="D201" i="52" s="1"/>
  <c r="B366" i="50"/>
  <c r="B750" i="51"/>
  <c r="B198" i="49"/>
  <c r="E198" i="49" s="1"/>
  <c r="A199" i="53"/>
  <c r="D199" i="53" s="1"/>
  <c r="A196" i="49"/>
  <c r="D196" i="49" s="1"/>
  <c r="A364" i="50"/>
  <c r="A748" i="51"/>
  <c r="A158" i="49"/>
  <c r="D158" i="49" s="1"/>
  <c r="T21" i="48"/>
  <c r="A595" i="51"/>
  <c r="B158" i="53"/>
  <c r="E158" i="53" s="1"/>
  <c r="A291" i="50"/>
  <c r="B688" i="51"/>
  <c r="B336" i="50"/>
  <c r="B182" i="49"/>
  <c r="E182" i="49" s="1"/>
  <c r="A185" i="52"/>
  <c r="D185" i="52" s="1"/>
  <c r="A183" i="53"/>
  <c r="D183" i="53" s="1"/>
  <c r="A20" i="49"/>
  <c r="D20" i="49" s="1"/>
  <c r="A66" i="51"/>
  <c r="A34" i="50"/>
  <c r="B409" i="51"/>
  <c r="A111" i="53"/>
  <c r="D111" i="53" s="1"/>
  <c r="A113" i="52"/>
  <c r="D113" i="52" s="1"/>
  <c r="B110" i="49"/>
  <c r="E110" i="49" s="1"/>
  <c r="B201" i="50"/>
  <c r="T15" i="48"/>
  <c r="A409" i="51"/>
  <c r="A110" i="49"/>
  <c r="D110" i="49" s="1"/>
  <c r="A201" i="50"/>
  <c r="B110" i="53"/>
  <c r="E110" i="53" s="1"/>
  <c r="A154" i="50"/>
  <c r="A84" i="49"/>
  <c r="D84" i="49" s="1"/>
  <c r="A314" i="51"/>
  <c r="B174" i="49"/>
  <c r="E174" i="49" s="1"/>
  <c r="B657" i="51"/>
  <c r="A175" i="53"/>
  <c r="D175" i="53" s="1"/>
  <c r="B321" i="50"/>
  <c r="A177" i="52"/>
  <c r="D177" i="52" s="1"/>
  <c r="H30" i="39"/>
  <c r="G30" i="39"/>
  <c r="A259" i="50"/>
  <c r="A140" i="49"/>
  <c r="D140" i="49" s="1"/>
  <c r="A531" i="51"/>
  <c r="B502" i="51"/>
  <c r="A135" i="53"/>
  <c r="D135" i="53" s="1"/>
  <c r="A137" i="52"/>
  <c r="D137" i="52" s="1"/>
  <c r="B246" i="50"/>
  <c r="B134" i="49"/>
  <c r="E134" i="49" s="1"/>
  <c r="A304" i="50"/>
  <c r="A624" i="51"/>
  <c r="A164" i="49"/>
  <c r="D164" i="49" s="1"/>
  <c r="A35" i="51"/>
  <c r="A12" i="49"/>
  <c r="D12" i="49" s="1"/>
  <c r="A19" i="50"/>
  <c r="B21" i="50"/>
  <c r="B14" i="49"/>
  <c r="E14" i="49" s="1"/>
  <c r="A15" i="53"/>
  <c r="D15" i="53" s="1"/>
  <c r="A17" i="52"/>
  <c r="D17" i="52" s="1"/>
  <c r="B37" i="51"/>
  <c r="H23" i="39"/>
  <c r="G23" i="39"/>
  <c r="A33" i="52"/>
  <c r="D33" i="52" s="1"/>
  <c r="B99" i="51"/>
  <c r="B30" i="49"/>
  <c r="E30" i="49" s="1"/>
  <c r="A31" i="53"/>
  <c r="D31" i="53" s="1"/>
  <c r="B51" i="50"/>
  <c r="A99" i="51"/>
  <c r="A51" i="50"/>
  <c r="A30" i="49"/>
  <c r="D30" i="49" s="1"/>
  <c r="T5" i="48"/>
  <c r="B30" i="53"/>
  <c r="E30" i="53" s="1"/>
  <c r="H21" i="39"/>
  <c r="G21" i="39"/>
  <c r="B190" i="49"/>
  <c r="E190" i="49" s="1"/>
  <c r="B719" i="51"/>
  <c r="A191" i="53"/>
  <c r="D191" i="53" s="1"/>
  <c r="B351" i="50"/>
  <c r="A193" i="52"/>
  <c r="D193" i="52" s="1"/>
  <c r="A719" i="51"/>
  <c r="B190" i="53"/>
  <c r="E190" i="53" s="1"/>
  <c r="T25" i="48"/>
  <c r="A351" i="50"/>
  <c r="A190" i="49"/>
  <c r="D190" i="49" s="1"/>
  <c r="A9" i="52"/>
  <c r="D9" i="52" s="1"/>
  <c r="B6" i="51"/>
  <c r="B6" i="50"/>
  <c r="B6" i="49"/>
  <c r="E6" i="49" s="1"/>
  <c r="A7" i="53"/>
  <c r="D7" i="53" s="1"/>
  <c r="A229" i="50"/>
  <c r="A124" i="49"/>
  <c r="D124" i="49" s="1"/>
  <c r="A469" i="51"/>
  <c r="C17" i="39"/>
  <c r="AA14" i="22"/>
  <c r="AB14" i="22" s="1"/>
  <c r="H15" i="38"/>
  <c r="I15" i="38" s="1"/>
  <c r="B21" i="34"/>
  <c r="D21" i="34" s="1"/>
  <c r="C22" i="37"/>
  <c r="D22" i="37" s="1"/>
  <c r="W14" i="22"/>
  <c r="AA11" i="22"/>
  <c r="AB11" i="22" s="1"/>
  <c r="C19" i="37"/>
  <c r="D19" i="37" s="1"/>
  <c r="H12" i="38"/>
  <c r="I12" i="38" s="1"/>
  <c r="W11" i="22"/>
  <c r="C14" i="39"/>
  <c r="B18" i="34"/>
  <c r="D18" i="34" s="1"/>
  <c r="A36" i="49"/>
  <c r="D36" i="49" s="1"/>
  <c r="A64" i="50"/>
  <c r="A128" i="51"/>
  <c r="A564" i="51"/>
  <c r="B150" i="53"/>
  <c r="E150" i="53" s="1"/>
  <c r="A276" i="50"/>
  <c r="T20" i="48"/>
  <c r="A150" i="49"/>
  <c r="D150" i="49" s="1"/>
  <c r="AA24" i="22"/>
  <c r="AB24" i="22" s="1"/>
  <c r="C27" i="39"/>
  <c r="H25" i="38"/>
  <c r="I25" i="38" s="1"/>
  <c r="B31" i="34"/>
  <c r="D31" i="34" s="1"/>
  <c r="C32" i="37"/>
  <c r="D32" i="37" s="1"/>
  <c r="W24" i="22"/>
  <c r="A76" i="49"/>
  <c r="D76" i="49" s="1"/>
  <c r="A283" i="51"/>
  <c r="A139" i="50"/>
  <c r="AA12" i="22"/>
  <c r="AB12" i="22" s="1"/>
  <c r="H13" i="38"/>
  <c r="I13" i="38" s="1"/>
  <c r="B19" i="34"/>
  <c r="D19" i="34" s="1"/>
  <c r="C15" i="39"/>
  <c r="C20" i="37"/>
  <c r="D20" i="37" s="1"/>
  <c r="W12" i="22"/>
  <c r="A169" i="50"/>
  <c r="A92" i="49"/>
  <c r="D92" i="49" s="1"/>
  <c r="A345" i="51"/>
  <c r="AA31" i="22"/>
  <c r="AB31" i="22" s="1"/>
  <c r="AA30" i="22"/>
  <c r="AB30" i="22" s="1"/>
  <c r="C33" i="39"/>
  <c r="H31" i="38"/>
  <c r="I31" i="38" s="1"/>
  <c r="C38" i="37"/>
  <c r="D38" i="37" s="1"/>
  <c r="B37" i="34"/>
  <c r="D37" i="34" s="1"/>
  <c r="W30" i="22"/>
  <c r="A688" i="51"/>
  <c r="A336" i="50"/>
  <c r="A182" i="49"/>
  <c r="D182" i="49" s="1"/>
  <c r="T24" i="48"/>
  <c r="B182" i="53"/>
  <c r="E182" i="53" s="1"/>
  <c r="AA28" i="22"/>
  <c r="AB28" i="22" s="1"/>
  <c r="C31" i="39"/>
  <c r="B35" i="34"/>
  <c r="D35" i="34" s="1"/>
  <c r="W28" i="22"/>
  <c r="H29" i="38"/>
  <c r="I29" i="38" s="1"/>
  <c r="C36" i="37"/>
  <c r="D36" i="37" s="1"/>
  <c r="A583" i="51"/>
  <c r="D583" i="51" s="1"/>
  <c r="D823" i="51"/>
  <c r="D1102" i="51"/>
  <c r="A428" i="51"/>
  <c r="D428" i="51" s="1"/>
  <c r="A56" i="51"/>
  <c r="A64" i="51" s="1"/>
  <c r="D64" i="51" s="1"/>
  <c r="D1195" i="51"/>
  <c r="D885" i="51"/>
  <c r="D1350" i="51"/>
  <c r="D544" i="51"/>
  <c r="A552" i="51"/>
  <c r="A1296" i="51"/>
  <c r="D1288" i="51"/>
  <c r="A614" i="51"/>
  <c r="D606" i="51"/>
  <c r="D203" i="51"/>
  <c r="A211" i="51"/>
  <c r="A1048" i="51"/>
  <c r="D1040" i="51"/>
  <c r="A1366" i="51"/>
  <c r="D1366" i="51" s="1"/>
  <c r="D1358" i="51"/>
  <c r="D1327" i="51"/>
  <c r="A1335" i="51"/>
  <c r="D1335" i="51" s="1"/>
  <c r="D761" i="51"/>
  <c r="A769" i="51"/>
  <c r="A281" i="51"/>
  <c r="D281" i="51" s="1"/>
  <c r="D273" i="51"/>
  <c r="A1234" i="51"/>
  <c r="D1226" i="51"/>
  <c r="A490" i="51"/>
  <c r="D482" i="51"/>
  <c r="A405" i="51"/>
  <c r="D405" i="51" s="1"/>
  <c r="D397" i="51"/>
  <c r="D668" i="51"/>
  <c r="A676" i="51"/>
  <c r="A1172" i="51"/>
  <c r="D1164" i="51"/>
  <c r="D947" i="51"/>
  <c r="A955" i="51"/>
  <c r="A800" i="51"/>
  <c r="D792" i="51"/>
  <c r="D1257" i="51"/>
  <c r="A1265" i="51"/>
  <c r="D110" i="51"/>
  <c r="A118" i="51"/>
  <c r="A335" i="51"/>
  <c r="D327" i="51"/>
  <c r="D893" i="51"/>
  <c r="A901" i="51"/>
  <c r="D901" i="51" s="1"/>
  <c r="D1110" i="51"/>
  <c r="A1118" i="51"/>
  <c r="D1118" i="51" s="1"/>
  <c r="D180" i="51"/>
  <c r="A188" i="51"/>
  <c r="D188" i="51" s="1"/>
  <c r="D916" i="51"/>
  <c r="A924" i="51"/>
  <c r="A467" i="51"/>
  <c r="D467" i="51" s="1"/>
  <c r="D459" i="51"/>
  <c r="D978" i="51"/>
  <c r="A986" i="51"/>
  <c r="D141" i="51"/>
  <c r="A149" i="51"/>
  <c r="D234" i="51"/>
  <c r="A242" i="51"/>
  <c r="D25" i="51"/>
  <c r="A33" i="51"/>
  <c r="D33" i="51" s="1"/>
  <c r="D1009" i="51"/>
  <c r="A1017" i="51"/>
  <c r="D358" i="51"/>
  <c r="A366" i="51"/>
  <c r="A304" i="51"/>
  <c r="D296" i="51"/>
  <c r="D1071" i="51"/>
  <c r="A1079" i="51"/>
  <c r="D831" i="51"/>
  <c r="A839" i="51"/>
  <c r="D839" i="51" s="1"/>
  <c r="A529" i="51"/>
  <c r="D529" i="51" s="1"/>
  <c r="D521" i="51"/>
  <c r="A87" i="51"/>
  <c r="D79" i="51"/>
  <c r="D854" i="51"/>
  <c r="A862" i="51"/>
  <c r="A1211" i="51"/>
  <c r="D1211" i="51" s="1"/>
  <c r="D1203" i="51"/>
  <c r="A645" i="51"/>
  <c r="D637" i="51"/>
  <c r="D699" i="51"/>
  <c r="A707" i="51"/>
  <c r="A272" i="52" l="1"/>
  <c r="D272" i="52" s="1"/>
  <c r="A248" i="52"/>
  <c r="D248" i="52" s="1"/>
  <c r="A216" i="52"/>
  <c r="D216" i="52" s="1"/>
  <c r="A240" i="52"/>
  <c r="D240" i="52" s="1"/>
  <c r="A296" i="52"/>
  <c r="D296" i="52" s="1"/>
  <c r="A288" i="52"/>
  <c r="D288" i="52" s="1"/>
  <c r="A280" i="52"/>
  <c r="D280" i="52" s="1"/>
  <c r="A264" i="52"/>
  <c r="D264" i="52" s="1"/>
  <c r="A256" i="52"/>
  <c r="D256" i="52" s="1"/>
  <c r="A304" i="52"/>
  <c r="D304" i="52" s="1"/>
  <c r="A232" i="52"/>
  <c r="D232" i="52" s="1"/>
  <c r="D546" i="50"/>
  <c r="A554" i="50"/>
  <c r="D554" i="50" s="1"/>
  <c r="A1006" i="51"/>
  <c r="D998" i="51"/>
  <c r="B539" i="50"/>
  <c r="E539" i="50" s="1"/>
  <c r="E531" i="50"/>
  <c r="B1099" i="51"/>
  <c r="E1091" i="51"/>
  <c r="B1068" i="51"/>
  <c r="E1060" i="51"/>
  <c r="E812" i="51"/>
  <c r="B820" i="51"/>
  <c r="D967" i="51"/>
  <c r="A975" i="51"/>
  <c r="A447" i="50"/>
  <c r="D447" i="50" s="1"/>
  <c r="D439" i="50"/>
  <c r="E441" i="50"/>
  <c r="B449" i="50"/>
  <c r="E449" i="50" s="1"/>
  <c r="A569" i="50"/>
  <c r="D569" i="50" s="1"/>
  <c r="D561" i="50"/>
  <c r="B569" i="50"/>
  <c r="E569" i="50" s="1"/>
  <c r="E561" i="50"/>
  <c r="E456" i="50"/>
  <c r="B464" i="50"/>
  <c r="E464" i="50" s="1"/>
  <c r="D426" i="50"/>
  <c r="A434" i="50"/>
  <c r="D434" i="50" s="1"/>
  <c r="D810" i="51"/>
  <c r="A818" i="51"/>
  <c r="A1004" i="51"/>
  <c r="D996" i="51"/>
  <c r="A1035" i="51"/>
  <c r="D1027" i="51"/>
  <c r="D1122" i="51"/>
  <c r="A1130" i="51"/>
  <c r="E546" i="50"/>
  <c r="B554" i="50"/>
  <c r="E554" i="50" s="1"/>
  <c r="A494" i="50"/>
  <c r="D494" i="50" s="1"/>
  <c r="D486" i="50"/>
  <c r="E396" i="50"/>
  <c r="B404" i="50"/>
  <c r="E404" i="50" s="1"/>
  <c r="B913" i="51"/>
  <c r="E905" i="51"/>
  <c r="D469" i="50"/>
  <c r="A477" i="50"/>
  <c r="D477" i="50" s="1"/>
  <c r="D456" i="50"/>
  <c r="A464" i="50"/>
  <c r="D464" i="50" s="1"/>
  <c r="B882" i="51"/>
  <c r="E874" i="51"/>
  <c r="A1037" i="51"/>
  <c r="D1029" i="51"/>
  <c r="E501" i="50"/>
  <c r="B509" i="50"/>
  <c r="E509" i="50" s="1"/>
  <c r="D559" i="50"/>
  <c r="A567" i="50"/>
  <c r="D567" i="50" s="1"/>
  <c r="A552" i="50"/>
  <c r="D552" i="50" s="1"/>
  <c r="D544" i="50"/>
  <c r="A492" i="50"/>
  <c r="D492" i="50" s="1"/>
  <c r="D484" i="50"/>
  <c r="A1097" i="51"/>
  <c r="D1089" i="51"/>
  <c r="A1066" i="51"/>
  <c r="D1058" i="51"/>
  <c r="A449" i="50"/>
  <c r="D449" i="50" s="1"/>
  <c r="D441" i="50"/>
  <c r="B1130" i="51"/>
  <c r="E1122" i="51"/>
  <c r="D454" i="50"/>
  <c r="A462" i="50"/>
  <c r="D462" i="50" s="1"/>
  <c r="B524" i="50"/>
  <c r="E524" i="50" s="1"/>
  <c r="E516" i="50"/>
  <c r="A479" i="50"/>
  <c r="D479" i="50" s="1"/>
  <c r="D471" i="50"/>
  <c r="D1153" i="51"/>
  <c r="A1161" i="51"/>
  <c r="E1153" i="51"/>
  <c r="B1161" i="51"/>
  <c r="B944" i="51"/>
  <c r="E936" i="51"/>
  <c r="D874" i="51"/>
  <c r="A882" i="51"/>
  <c r="E998" i="51"/>
  <c r="B1006" i="51"/>
  <c r="A944" i="51"/>
  <c r="D936" i="51"/>
  <c r="A880" i="51"/>
  <c r="D872" i="51"/>
  <c r="A1068" i="51"/>
  <c r="D1060" i="51"/>
  <c r="A509" i="50"/>
  <c r="D509" i="50" s="1"/>
  <c r="D501" i="50"/>
  <c r="D812" i="51"/>
  <c r="A820" i="51"/>
  <c r="E471" i="50"/>
  <c r="B479" i="50"/>
  <c r="E479" i="50" s="1"/>
  <c r="B975" i="51"/>
  <c r="E967" i="51"/>
  <c r="D1151" i="51"/>
  <c r="A1159" i="51"/>
  <c r="D529" i="50"/>
  <c r="A537" i="50"/>
  <c r="D537" i="50" s="1"/>
  <c r="A522" i="50"/>
  <c r="D522" i="50" s="1"/>
  <c r="D514" i="50"/>
  <c r="D934" i="51"/>
  <c r="A942" i="51"/>
  <c r="D903" i="51"/>
  <c r="A911" i="51"/>
  <c r="D1091" i="51"/>
  <c r="A1099" i="51"/>
  <c r="A539" i="50"/>
  <c r="D539" i="50" s="1"/>
  <c r="D531" i="50"/>
  <c r="A402" i="50"/>
  <c r="D402" i="50" s="1"/>
  <c r="D394" i="50"/>
  <c r="A973" i="51"/>
  <c r="D965" i="51"/>
  <c r="E486" i="50"/>
  <c r="B494" i="50"/>
  <c r="E494" i="50" s="1"/>
  <c r="D424" i="50"/>
  <c r="A432" i="50"/>
  <c r="D432" i="50" s="1"/>
  <c r="B434" i="50"/>
  <c r="E434" i="50" s="1"/>
  <c r="E426" i="50"/>
  <c r="A524" i="50"/>
  <c r="D524" i="50" s="1"/>
  <c r="D516" i="50"/>
  <c r="E1029" i="51"/>
  <c r="B1037" i="51"/>
  <c r="A404" i="50"/>
  <c r="D404" i="50" s="1"/>
  <c r="D396" i="50"/>
  <c r="A1128" i="51"/>
  <c r="D1120" i="51"/>
  <c r="A507" i="50"/>
  <c r="D507" i="50" s="1"/>
  <c r="D499" i="50"/>
  <c r="A913" i="51"/>
  <c r="D905" i="51"/>
  <c r="A66" i="43"/>
  <c r="A60" i="22" s="1"/>
  <c r="O60" i="22" s="1"/>
  <c r="A184" i="52"/>
  <c r="D184" i="52" s="1"/>
  <c r="A56" i="52"/>
  <c r="D56" i="52" s="1"/>
  <c r="A48" i="52"/>
  <c r="D48" i="52" s="1"/>
  <c r="A16" i="52"/>
  <c r="D16" i="52" s="1"/>
  <c r="A96" i="52"/>
  <c r="D96" i="52" s="1"/>
  <c r="A80" i="52"/>
  <c r="D80" i="52" s="1"/>
  <c r="A176" i="52"/>
  <c r="D176" i="52" s="1"/>
  <c r="A136" i="52"/>
  <c r="D136" i="52" s="1"/>
  <c r="A120" i="52"/>
  <c r="D120" i="52" s="1"/>
  <c r="A24" i="52"/>
  <c r="D24" i="52" s="1"/>
  <c r="A40" i="52"/>
  <c r="D40" i="52" s="1"/>
  <c r="A168" i="52"/>
  <c r="D168" i="52" s="1"/>
  <c r="A152" i="52"/>
  <c r="D152" i="52" s="1"/>
  <c r="A32" i="52"/>
  <c r="D32" i="52" s="1"/>
  <c r="A112" i="52"/>
  <c r="D112" i="52" s="1"/>
  <c r="A144" i="52"/>
  <c r="D144" i="52" s="1"/>
  <c r="A88" i="52"/>
  <c r="D88" i="52" s="1"/>
  <c r="A128" i="52"/>
  <c r="D128" i="52" s="1"/>
  <c r="A192" i="52"/>
  <c r="D192" i="52" s="1"/>
  <c r="A160" i="52"/>
  <c r="D160" i="52" s="1"/>
  <c r="A72" i="52"/>
  <c r="D72" i="52" s="1"/>
  <c r="A200" i="52"/>
  <c r="D200" i="52" s="1"/>
  <c r="A8" i="52"/>
  <c r="D8" i="52" s="1"/>
  <c r="A104" i="52"/>
  <c r="D104" i="52" s="1"/>
  <c r="A64" i="52"/>
  <c r="D64" i="52" s="1"/>
  <c r="M9" i="39"/>
  <c r="M10" i="39" s="1"/>
  <c r="M11" i="39" s="1"/>
  <c r="M12" i="39" s="1"/>
  <c r="M13" i="39" s="1"/>
  <c r="M14" i="39" s="1"/>
  <c r="M15" i="39" s="1"/>
  <c r="M16" i="39" s="1"/>
  <c r="M17" i="39" s="1"/>
  <c r="M18" i="39" s="1"/>
  <c r="M19" i="39" s="1"/>
  <c r="M20" i="39" s="1"/>
  <c r="M21" i="39" s="1"/>
  <c r="M22" i="39" s="1"/>
  <c r="M23" i="39" s="1"/>
  <c r="M24" i="39" s="1"/>
  <c r="M25" i="39" s="1"/>
  <c r="M26" i="39" s="1"/>
  <c r="M27" i="39" s="1"/>
  <c r="M28" i="39" s="1"/>
  <c r="M29" i="39" s="1"/>
  <c r="M30" i="39" s="1"/>
  <c r="M31" i="39" s="1"/>
  <c r="M32" i="39" s="1"/>
  <c r="M33" i="39" s="1"/>
  <c r="M34" i="39" s="1"/>
  <c r="M35" i="39" s="1"/>
  <c r="M36" i="39" s="1"/>
  <c r="M37" i="39" s="1"/>
  <c r="M38" i="39" s="1"/>
  <c r="M39" i="39" s="1"/>
  <c r="M40" i="39" s="1"/>
  <c r="M41" i="39" s="1"/>
  <c r="M42" i="39" s="1"/>
  <c r="M43" i="39" s="1"/>
  <c r="M44" i="39" s="1"/>
  <c r="M45" i="39" s="1"/>
  <c r="M46" i="39" s="1"/>
  <c r="M47" i="39" s="1"/>
  <c r="M48" i="39" s="1"/>
  <c r="M49" i="39" s="1"/>
  <c r="M50" i="39" s="1"/>
  <c r="M51" i="39" s="1"/>
  <c r="M52" i="39" s="1"/>
  <c r="M53" i="39" s="1"/>
  <c r="M54" i="39" s="1"/>
  <c r="M55" i="39" s="1"/>
  <c r="M56" i="39" s="1"/>
  <c r="M57" i="39" s="1"/>
  <c r="M58" i="39" s="1"/>
  <c r="M59" i="39" s="1"/>
  <c r="M60" i="39" s="1"/>
  <c r="M61" i="39" s="1"/>
  <c r="M62" i="39" s="1"/>
  <c r="M63" i="39" s="1"/>
  <c r="M64" i="39" s="1"/>
  <c r="M65" i="39" s="1"/>
  <c r="M66" i="39" s="1"/>
  <c r="M67" i="39" s="1"/>
  <c r="M68" i="39" s="1"/>
  <c r="M69" i="39" s="1"/>
  <c r="M70" i="39" s="1"/>
  <c r="M71" i="39" s="1"/>
  <c r="M72" i="39" s="1"/>
  <c r="M73" i="39" s="1"/>
  <c r="M74" i="39" s="1"/>
  <c r="M75" i="39" s="1"/>
  <c r="M76" i="39" s="1"/>
  <c r="M77" i="39" s="1"/>
  <c r="M78" i="39" s="1"/>
  <c r="M79" i="39" s="1"/>
  <c r="M80" i="39" s="1"/>
  <c r="M81" i="39" s="1"/>
  <c r="M82" i="39" s="1"/>
  <c r="M83" i="39" s="1"/>
  <c r="M84" i="39" s="1"/>
  <c r="M85" i="39" s="1"/>
  <c r="A591" i="51"/>
  <c r="D591" i="51" s="1"/>
  <c r="A284" i="50"/>
  <c r="D284" i="50" s="1"/>
  <c r="D276" i="50"/>
  <c r="D64" i="50"/>
  <c r="A72" i="50"/>
  <c r="D72" i="50" s="1"/>
  <c r="D229" i="50"/>
  <c r="A237" i="50"/>
  <c r="D237" i="50" s="1"/>
  <c r="E6" i="51"/>
  <c r="B14" i="51"/>
  <c r="B359" i="50"/>
  <c r="E359" i="50" s="1"/>
  <c r="E351" i="50"/>
  <c r="A312" i="50"/>
  <c r="D312" i="50" s="1"/>
  <c r="D304" i="50"/>
  <c r="A267" i="50"/>
  <c r="D267" i="50" s="1"/>
  <c r="D259" i="50"/>
  <c r="B329" i="50"/>
  <c r="E329" i="50" s="1"/>
  <c r="E321" i="50"/>
  <c r="A322" i="51"/>
  <c r="D314" i="51"/>
  <c r="D201" i="50"/>
  <c r="A209" i="50"/>
  <c r="D209" i="50" s="1"/>
  <c r="B209" i="50"/>
  <c r="E209" i="50" s="1"/>
  <c r="E201" i="50"/>
  <c r="B417" i="51"/>
  <c r="E409" i="51"/>
  <c r="E688" i="51"/>
  <c r="B696" i="51"/>
  <c r="E366" i="50"/>
  <c r="B374" i="50"/>
  <c r="E374" i="50" s="1"/>
  <c r="A169" i="51"/>
  <c r="D161" i="51"/>
  <c r="D214" i="50"/>
  <c r="A222" i="50"/>
  <c r="D222" i="50" s="1"/>
  <c r="D21" i="50"/>
  <c r="A29" i="50"/>
  <c r="D29" i="50" s="1"/>
  <c r="D199" i="50"/>
  <c r="A207" i="50"/>
  <c r="D207" i="50" s="1"/>
  <c r="A601" i="51"/>
  <c r="D593" i="51"/>
  <c r="A229" i="51"/>
  <c r="D221" i="51"/>
  <c r="A132" i="50"/>
  <c r="D132" i="50" s="1"/>
  <c r="D124" i="50"/>
  <c r="D6" i="50"/>
  <c r="A14" i="50"/>
  <c r="D14" i="50" s="1"/>
  <c r="A12" i="50"/>
  <c r="D12" i="50" s="1"/>
  <c r="D4" i="50"/>
  <c r="A194" i="50"/>
  <c r="D194" i="50" s="1"/>
  <c r="D186" i="50"/>
  <c r="E186" i="50"/>
  <c r="B194" i="50"/>
  <c r="E194" i="50" s="1"/>
  <c r="A448" i="51"/>
  <c r="D440" i="51"/>
  <c r="E306" i="50"/>
  <c r="B314" i="50"/>
  <c r="E314" i="50" s="1"/>
  <c r="E261" i="50"/>
  <c r="B269" i="50"/>
  <c r="E269" i="50" s="1"/>
  <c r="A44" i="50"/>
  <c r="D44" i="50" s="1"/>
  <c r="D36" i="50"/>
  <c r="B44" i="50"/>
  <c r="E44" i="50" s="1"/>
  <c r="E36" i="50"/>
  <c r="A179" i="50"/>
  <c r="D179" i="50" s="1"/>
  <c r="D171" i="50"/>
  <c r="E141" i="50"/>
  <c r="B149" i="50"/>
  <c r="E149" i="50" s="1"/>
  <c r="D130" i="51"/>
  <c r="A138" i="51"/>
  <c r="B138" i="51"/>
  <c r="E130" i="51"/>
  <c r="A231" i="51"/>
  <c r="D223" i="51"/>
  <c r="B231" i="51"/>
  <c r="E223" i="51"/>
  <c r="E471" i="51"/>
  <c r="B479" i="51"/>
  <c r="A384" i="51"/>
  <c r="D376" i="51"/>
  <c r="D626" i="51"/>
  <c r="A634" i="51"/>
  <c r="A665" i="51"/>
  <c r="D657" i="51"/>
  <c r="D688" i="51"/>
  <c r="A696" i="51"/>
  <c r="D345" i="51"/>
  <c r="A353" i="51"/>
  <c r="D51" i="50"/>
  <c r="A59" i="50"/>
  <c r="D59" i="50" s="1"/>
  <c r="D35" i="51"/>
  <c r="A43" i="51"/>
  <c r="E502" i="51"/>
  <c r="B510" i="51"/>
  <c r="A42" i="50"/>
  <c r="D42" i="50" s="1"/>
  <c r="D34" i="50"/>
  <c r="A299" i="50"/>
  <c r="D299" i="50" s="1"/>
  <c r="D291" i="50"/>
  <c r="B104" i="50"/>
  <c r="E104" i="50" s="1"/>
  <c r="E96" i="50"/>
  <c r="B572" i="51"/>
  <c r="E564" i="51"/>
  <c r="A89" i="50"/>
  <c r="D89" i="50" s="1"/>
  <c r="D81" i="50"/>
  <c r="E81" i="50"/>
  <c r="B89" i="50"/>
  <c r="E89" i="50" s="1"/>
  <c r="D126" i="50"/>
  <c r="A134" i="50"/>
  <c r="D134" i="50" s="1"/>
  <c r="D246" i="50"/>
  <c r="A254" i="50"/>
  <c r="D254" i="50" s="1"/>
  <c r="A541" i="51"/>
  <c r="D533" i="51"/>
  <c r="A269" i="50"/>
  <c r="D269" i="50" s="1"/>
  <c r="D261" i="50"/>
  <c r="A297" i="50"/>
  <c r="D297" i="50" s="1"/>
  <c r="D289" i="50"/>
  <c r="E626" i="51"/>
  <c r="B634" i="51"/>
  <c r="A252" i="50"/>
  <c r="D252" i="50" s="1"/>
  <c r="D244" i="50"/>
  <c r="A327" i="50"/>
  <c r="D327" i="50" s="1"/>
  <c r="D319" i="50"/>
  <c r="A164" i="50"/>
  <c r="D164" i="50" s="1"/>
  <c r="D156" i="50"/>
  <c r="E316" i="51"/>
  <c r="B324" i="51"/>
  <c r="D94" i="50"/>
  <c r="A102" i="50"/>
  <c r="D102" i="50" s="1"/>
  <c r="E285" i="51"/>
  <c r="B293" i="51"/>
  <c r="D562" i="51"/>
  <c r="A570" i="51"/>
  <c r="B119" i="50"/>
  <c r="E119" i="50" s="1"/>
  <c r="E111" i="50"/>
  <c r="D231" i="50"/>
  <c r="A239" i="50"/>
  <c r="D239" i="50" s="1"/>
  <c r="D349" i="50"/>
  <c r="A357" i="50"/>
  <c r="D357" i="50" s="1"/>
  <c r="D184" i="50"/>
  <c r="A192" i="50"/>
  <c r="D192" i="50" s="1"/>
  <c r="A314" i="50"/>
  <c r="D314" i="50" s="1"/>
  <c r="D306" i="50"/>
  <c r="D321" i="50"/>
  <c r="A329" i="50"/>
  <c r="D329" i="50" s="1"/>
  <c r="D336" i="50"/>
  <c r="A344" i="50"/>
  <c r="D344" i="50" s="1"/>
  <c r="A147" i="50"/>
  <c r="D147" i="50" s="1"/>
  <c r="D139" i="50"/>
  <c r="D169" i="50"/>
  <c r="A177" i="50"/>
  <c r="D177" i="50" s="1"/>
  <c r="D283" i="51"/>
  <c r="A291" i="51"/>
  <c r="D564" i="51"/>
  <c r="A572" i="51"/>
  <c r="A477" i="51"/>
  <c r="D469" i="51"/>
  <c r="A727" i="51"/>
  <c r="D719" i="51"/>
  <c r="E719" i="51"/>
  <c r="B727" i="51"/>
  <c r="D99" i="51"/>
  <c r="A107" i="51"/>
  <c r="E99" i="51"/>
  <c r="B107" i="51"/>
  <c r="E37" i="51"/>
  <c r="B45" i="51"/>
  <c r="B29" i="50"/>
  <c r="E29" i="50" s="1"/>
  <c r="E21" i="50"/>
  <c r="B254" i="50"/>
  <c r="E254" i="50" s="1"/>
  <c r="E246" i="50"/>
  <c r="D531" i="51"/>
  <c r="A539" i="51"/>
  <c r="B665" i="51"/>
  <c r="E657" i="51"/>
  <c r="D154" i="50"/>
  <c r="A162" i="50"/>
  <c r="D162" i="50" s="1"/>
  <c r="A417" i="51"/>
  <c r="D409" i="51"/>
  <c r="A74" i="51"/>
  <c r="D66" i="51"/>
  <c r="A756" i="51"/>
  <c r="D748" i="51"/>
  <c r="A104" i="50"/>
  <c r="D104" i="50" s="1"/>
  <c r="D96" i="50"/>
  <c r="D192" i="51"/>
  <c r="A200" i="51"/>
  <c r="B200" i="51"/>
  <c r="E192" i="51"/>
  <c r="B284" i="50"/>
  <c r="E284" i="50" s="1"/>
  <c r="E276" i="50"/>
  <c r="E161" i="51"/>
  <c r="B169" i="51"/>
  <c r="E126" i="50"/>
  <c r="B134" i="50"/>
  <c r="E134" i="50" s="1"/>
  <c r="D438" i="51"/>
  <c r="A446" i="51"/>
  <c r="A45" i="51"/>
  <c r="D37" i="51"/>
  <c r="D407" i="51"/>
  <c r="A415" i="51"/>
  <c r="D109" i="50"/>
  <c r="A117" i="50"/>
  <c r="D117" i="50" s="1"/>
  <c r="A14" i="51"/>
  <c r="D6" i="51"/>
  <c r="A386" i="51"/>
  <c r="D378" i="51"/>
  <c r="A224" i="50"/>
  <c r="D224" i="50" s="1"/>
  <c r="D216" i="50"/>
  <c r="B448" i="51"/>
  <c r="E440" i="51"/>
  <c r="D500" i="51"/>
  <c r="A508" i="51"/>
  <c r="E156" i="50"/>
  <c r="B164" i="50"/>
  <c r="E164" i="50" s="1"/>
  <c r="D68" i="51"/>
  <c r="A76" i="51"/>
  <c r="B76" i="51"/>
  <c r="E68" i="51"/>
  <c r="A694" i="51"/>
  <c r="D686" i="51"/>
  <c r="E291" i="50"/>
  <c r="B299" i="50"/>
  <c r="E299" i="50" s="1"/>
  <c r="B355" i="51"/>
  <c r="E347" i="51"/>
  <c r="D190" i="51"/>
  <c r="A198" i="51"/>
  <c r="A74" i="50"/>
  <c r="D74" i="50" s="1"/>
  <c r="D66" i="50"/>
  <c r="E66" i="50"/>
  <c r="B74" i="50"/>
  <c r="E74" i="50" s="1"/>
  <c r="A167" i="51"/>
  <c r="D159" i="51"/>
  <c r="A119" i="50"/>
  <c r="D119" i="50" s="1"/>
  <c r="D111" i="50"/>
  <c r="E231" i="50"/>
  <c r="B239" i="50"/>
  <c r="E239" i="50" s="1"/>
  <c r="D717" i="51"/>
  <c r="A725" i="51"/>
  <c r="A105" i="51"/>
  <c r="D97" i="51"/>
  <c r="A136" i="51"/>
  <c r="D128" i="51"/>
  <c r="E6" i="50"/>
  <c r="B14" i="50"/>
  <c r="E14" i="50" s="1"/>
  <c r="A359" i="50"/>
  <c r="D359" i="50" s="1"/>
  <c r="D351" i="50"/>
  <c r="B59" i="50"/>
  <c r="E59" i="50" s="1"/>
  <c r="E51" i="50"/>
  <c r="D19" i="50"/>
  <c r="A27" i="50"/>
  <c r="D27" i="50" s="1"/>
  <c r="A632" i="51"/>
  <c r="D624" i="51"/>
  <c r="B344" i="50"/>
  <c r="E344" i="50" s="1"/>
  <c r="E336" i="50"/>
  <c r="D595" i="51"/>
  <c r="A603" i="51"/>
  <c r="A372" i="50"/>
  <c r="D372" i="50" s="1"/>
  <c r="D364" i="50"/>
  <c r="B758" i="51"/>
  <c r="E750" i="51"/>
  <c r="A262" i="51"/>
  <c r="D254" i="51"/>
  <c r="B262" i="51"/>
  <c r="E254" i="51"/>
  <c r="D502" i="51"/>
  <c r="A510" i="51"/>
  <c r="D750" i="51"/>
  <c r="A758" i="51"/>
  <c r="A374" i="50"/>
  <c r="D374" i="50" s="1"/>
  <c r="D366" i="50"/>
  <c r="D252" i="51"/>
  <c r="A260" i="51"/>
  <c r="A12" i="51"/>
  <c r="D4" i="51"/>
  <c r="B386" i="51"/>
  <c r="E378" i="51"/>
  <c r="E216" i="50"/>
  <c r="B224" i="50"/>
  <c r="E224" i="50" s="1"/>
  <c r="E533" i="51"/>
  <c r="B541" i="51"/>
  <c r="D655" i="51"/>
  <c r="A663" i="51"/>
  <c r="A324" i="51"/>
  <c r="D316" i="51"/>
  <c r="A342" i="50"/>
  <c r="D342" i="50" s="1"/>
  <c r="D334" i="50"/>
  <c r="B603" i="51"/>
  <c r="E595" i="51"/>
  <c r="A355" i="51"/>
  <c r="D347" i="51"/>
  <c r="E171" i="50"/>
  <c r="B179" i="50"/>
  <c r="E179" i="50" s="1"/>
  <c r="A149" i="50"/>
  <c r="D149" i="50" s="1"/>
  <c r="D141" i="50"/>
  <c r="D285" i="51"/>
  <c r="A293" i="51"/>
  <c r="D274" i="50"/>
  <c r="A282" i="50"/>
  <c r="D282" i="50" s="1"/>
  <c r="D79" i="50"/>
  <c r="A87" i="50"/>
  <c r="D87" i="50" s="1"/>
  <c r="A479" i="51"/>
  <c r="D471" i="51"/>
  <c r="D49" i="50"/>
  <c r="A57" i="50"/>
  <c r="D57" i="50" s="1"/>
  <c r="A436" i="51"/>
  <c r="D436" i="51" s="1"/>
  <c r="D56" i="51"/>
  <c r="D1296" i="51"/>
  <c r="A1304" i="51"/>
  <c r="D1304" i="51" s="1"/>
  <c r="A560" i="51"/>
  <c r="D560" i="51" s="1"/>
  <c r="D552" i="51"/>
  <c r="D1048" i="51"/>
  <c r="A1056" i="51"/>
  <c r="D1056" i="51" s="1"/>
  <c r="A219" i="51"/>
  <c r="D219" i="51" s="1"/>
  <c r="D211" i="51"/>
  <c r="A622" i="51"/>
  <c r="D622" i="51" s="1"/>
  <c r="D614" i="51"/>
  <c r="A994" i="51"/>
  <c r="D994" i="51" s="1"/>
  <c r="D986" i="51"/>
  <c r="D800" i="51"/>
  <c r="A808" i="51"/>
  <c r="D808" i="51" s="1"/>
  <c r="A498" i="51"/>
  <c r="D498" i="51" s="1"/>
  <c r="D490" i="51"/>
  <c r="A715" i="51"/>
  <c r="D715" i="51" s="1"/>
  <c r="D707" i="51"/>
  <c r="A1087" i="51"/>
  <c r="D1087" i="51" s="1"/>
  <c r="D1079" i="51"/>
  <c r="A374" i="51"/>
  <c r="D374" i="51" s="1"/>
  <c r="D366" i="51"/>
  <c r="D149" i="51"/>
  <c r="A157" i="51"/>
  <c r="D157" i="51" s="1"/>
  <c r="D118" i="51"/>
  <c r="A126" i="51"/>
  <c r="D126" i="51" s="1"/>
  <c r="D1265" i="51"/>
  <c r="A1273" i="51"/>
  <c r="D1273" i="51" s="1"/>
  <c r="D955" i="51"/>
  <c r="A963" i="51"/>
  <c r="D963" i="51" s="1"/>
  <c r="D769" i="51"/>
  <c r="A777" i="51"/>
  <c r="D777" i="51" s="1"/>
  <c r="A1025" i="51"/>
  <c r="D1025" i="51" s="1"/>
  <c r="D1017" i="51"/>
  <c r="D924" i="51"/>
  <c r="A932" i="51"/>
  <c r="D932" i="51" s="1"/>
  <c r="D87" i="51"/>
  <c r="A95" i="51"/>
  <c r="D95" i="51" s="1"/>
  <c r="A312" i="51"/>
  <c r="D312" i="51" s="1"/>
  <c r="D304" i="51"/>
  <c r="D335" i="51"/>
  <c r="A343" i="51"/>
  <c r="D343" i="51" s="1"/>
  <c r="A1242" i="51"/>
  <c r="D1242" i="51" s="1"/>
  <c r="D1234" i="51"/>
  <c r="D676" i="51"/>
  <c r="A684" i="51"/>
  <c r="D684" i="51" s="1"/>
  <c r="A870" i="51"/>
  <c r="D870" i="51" s="1"/>
  <c r="D862" i="51"/>
  <c r="D242" i="51"/>
  <c r="A250" i="51"/>
  <c r="D250" i="51" s="1"/>
  <c r="D645" i="51"/>
  <c r="A653" i="51"/>
  <c r="D653" i="51" s="1"/>
  <c r="D1172" i="51"/>
  <c r="A1180" i="51"/>
  <c r="D1180" i="51" s="1"/>
  <c r="A1107" i="51" l="1"/>
  <c r="D1099" i="51"/>
  <c r="B828" i="51"/>
  <c r="E820" i="51"/>
  <c r="A921" i="51"/>
  <c r="D913" i="51"/>
  <c r="D1128" i="51"/>
  <c r="A1136" i="51"/>
  <c r="E975" i="51"/>
  <c r="B983" i="51"/>
  <c r="D1068" i="51"/>
  <c r="A1076" i="51"/>
  <c r="A952" i="51"/>
  <c r="D944" i="51"/>
  <c r="D1097" i="51"/>
  <c r="A1105" i="51"/>
  <c r="B890" i="51"/>
  <c r="E882" i="51"/>
  <c r="A1043" i="51"/>
  <c r="D1035" i="51"/>
  <c r="B1107" i="51"/>
  <c r="E1099" i="51"/>
  <c r="D1006" i="51"/>
  <c r="A1014" i="51"/>
  <c r="E1161" i="51"/>
  <c r="B1169" i="51"/>
  <c r="D911" i="51"/>
  <c r="A919" i="51"/>
  <c r="A1167" i="51"/>
  <c r="D1159" i="51"/>
  <c r="B1014" i="51"/>
  <c r="E1006" i="51"/>
  <c r="D1161" i="51"/>
  <c r="A1169" i="51"/>
  <c r="D1130" i="51"/>
  <c r="A1138" i="51"/>
  <c r="A983" i="51"/>
  <c r="D975" i="51"/>
  <c r="B1045" i="51"/>
  <c r="E1037" i="51"/>
  <c r="A950" i="51"/>
  <c r="D942" i="51"/>
  <c r="D820" i="51"/>
  <c r="A828" i="51"/>
  <c r="D882" i="51"/>
  <c r="A890" i="51"/>
  <c r="D818" i="51"/>
  <c r="A826" i="51"/>
  <c r="D973" i="51"/>
  <c r="A981" i="51"/>
  <c r="D880" i="51"/>
  <c r="A888" i="51"/>
  <c r="E944" i="51"/>
  <c r="B952" i="51"/>
  <c r="B1138" i="51"/>
  <c r="E1130" i="51"/>
  <c r="D1066" i="51"/>
  <c r="A1074" i="51"/>
  <c r="D1037" i="51"/>
  <c r="A1045" i="51"/>
  <c r="E913" i="51"/>
  <c r="B921" i="51"/>
  <c r="D1004" i="51"/>
  <c r="A1012" i="51"/>
  <c r="E1068" i="51"/>
  <c r="B1076" i="51"/>
  <c r="A67" i="43"/>
  <c r="A61" i="22" s="1"/>
  <c r="O61" i="22" s="1"/>
  <c r="G62" i="39"/>
  <c r="A62" i="39"/>
  <c r="A60" i="38"/>
  <c r="Q60" i="38" s="1"/>
  <c r="A84" i="51"/>
  <c r="D76" i="51"/>
  <c r="D508" i="51"/>
  <c r="A516" i="51"/>
  <c r="E603" i="51"/>
  <c r="B611" i="51"/>
  <c r="A332" i="51"/>
  <c r="D324" i="51"/>
  <c r="E386" i="51"/>
  <c r="B394" i="51"/>
  <c r="E262" i="51"/>
  <c r="B270" i="51"/>
  <c r="B766" i="51"/>
  <c r="E758" i="51"/>
  <c r="D632" i="51"/>
  <c r="A640" i="51"/>
  <c r="A113" i="51"/>
  <c r="D105" i="51"/>
  <c r="A175" i="51"/>
  <c r="D167" i="51"/>
  <c r="B363" i="51"/>
  <c r="E355" i="51"/>
  <c r="D694" i="51"/>
  <c r="A702" i="51"/>
  <c r="A22" i="51"/>
  <c r="D14" i="51"/>
  <c r="D415" i="51"/>
  <c r="A423" i="51"/>
  <c r="A454" i="51"/>
  <c r="D446" i="51"/>
  <c r="B177" i="51"/>
  <c r="E169" i="51"/>
  <c r="A547" i="51"/>
  <c r="D539" i="51"/>
  <c r="E107" i="51"/>
  <c r="B115" i="51"/>
  <c r="B735" i="51"/>
  <c r="E727" i="51"/>
  <c r="D291" i="51"/>
  <c r="A299" i="51"/>
  <c r="A578" i="51"/>
  <c r="D570" i="51"/>
  <c r="A51" i="51"/>
  <c r="D43" i="51"/>
  <c r="A361" i="51"/>
  <c r="D353" i="51"/>
  <c r="B22" i="51"/>
  <c r="E14" i="51"/>
  <c r="A268" i="51"/>
  <c r="D260" i="51"/>
  <c r="A766" i="51"/>
  <c r="D758" i="51"/>
  <c r="D603" i="51"/>
  <c r="A611" i="51"/>
  <c r="D663" i="51"/>
  <c r="A671" i="51"/>
  <c r="D510" i="51"/>
  <c r="A518" i="51"/>
  <c r="A733" i="51"/>
  <c r="D725" i="51"/>
  <c r="D198" i="51"/>
  <c r="A206" i="51"/>
  <c r="B208" i="51"/>
  <c r="E200" i="51"/>
  <c r="D74" i="51"/>
  <c r="A82" i="51"/>
  <c r="A485" i="51"/>
  <c r="D477" i="51"/>
  <c r="D541" i="51"/>
  <c r="A549" i="51"/>
  <c r="D665" i="51"/>
  <c r="A673" i="51"/>
  <c r="A392" i="51"/>
  <c r="D384" i="51"/>
  <c r="E231" i="51"/>
  <c r="B239" i="51"/>
  <c r="B146" i="51"/>
  <c r="E138" i="51"/>
  <c r="A456" i="51"/>
  <c r="D448" i="51"/>
  <c r="A237" i="51"/>
  <c r="D229" i="51"/>
  <c r="E417" i="51"/>
  <c r="B425" i="51"/>
  <c r="A487" i="51"/>
  <c r="D479" i="51"/>
  <c r="D355" i="51"/>
  <c r="A363" i="51"/>
  <c r="D12" i="51"/>
  <c r="A20" i="51"/>
  <c r="A270" i="51"/>
  <c r="D262" i="51"/>
  <c r="A144" i="51"/>
  <c r="D136" i="51"/>
  <c r="E76" i="51"/>
  <c r="B84" i="51"/>
  <c r="B456" i="51"/>
  <c r="E448" i="51"/>
  <c r="D386" i="51"/>
  <c r="A394" i="51"/>
  <c r="D200" i="51"/>
  <c r="A208" i="51"/>
  <c r="E45" i="51"/>
  <c r="B53" i="51"/>
  <c r="D107" i="51"/>
  <c r="A115" i="51"/>
  <c r="D572" i="51"/>
  <c r="A580" i="51"/>
  <c r="E293" i="51"/>
  <c r="B301" i="51"/>
  <c r="E324" i="51"/>
  <c r="B332" i="51"/>
  <c r="E634" i="51"/>
  <c r="B642" i="51"/>
  <c r="B518" i="51"/>
  <c r="E510" i="51"/>
  <c r="A704" i="51"/>
  <c r="D696" i="51"/>
  <c r="D634" i="51"/>
  <c r="A642" i="51"/>
  <c r="B487" i="51"/>
  <c r="E479" i="51"/>
  <c r="A146" i="51"/>
  <c r="D138" i="51"/>
  <c r="B704" i="51"/>
  <c r="E696" i="51"/>
  <c r="A301" i="51"/>
  <c r="D293" i="51"/>
  <c r="B549" i="51"/>
  <c r="E541" i="51"/>
  <c r="D45" i="51"/>
  <c r="A53" i="51"/>
  <c r="A764" i="51"/>
  <c r="D756" i="51"/>
  <c r="D417" i="51"/>
  <c r="A425" i="51"/>
  <c r="B673" i="51"/>
  <c r="E665" i="51"/>
  <c r="A735" i="51"/>
  <c r="D727" i="51"/>
  <c r="E572" i="51"/>
  <c r="B580" i="51"/>
  <c r="A239" i="51"/>
  <c r="D231" i="51"/>
  <c r="A609" i="51"/>
  <c r="D601" i="51"/>
  <c r="D169" i="51"/>
  <c r="A177" i="51"/>
  <c r="A330" i="51"/>
  <c r="D322" i="51"/>
  <c r="A1020" i="51" l="1"/>
  <c r="D1020" i="51" s="1"/>
  <c r="D1012" i="51"/>
  <c r="A1053" i="51"/>
  <c r="D1053" i="51" s="1"/>
  <c r="D1045" i="51"/>
  <c r="A834" i="51"/>
  <c r="D834" i="51" s="1"/>
  <c r="D826" i="51"/>
  <c r="D1105" i="51"/>
  <c r="A1113" i="51"/>
  <c r="D1113" i="51" s="1"/>
  <c r="A1084" i="51"/>
  <c r="D1084" i="51" s="1"/>
  <c r="D1076" i="51"/>
  <c r="B1146" i="51"/>
  <c r="E1146" i="51" s="1"/>
  <c r="E1138" i="51"/>
  <c r="B1053" i="51"/>
  <c r="E1053" i="51" s="1"/>
  <c r="E1045" i="51"/>
  <c r="B1022" i="51"/>
  <c r="E1022" i="51" s="1"/>
  <c r="E1014" i="51"/>
  <c r="D1043" i="51"/>
  <c r="A1051" i="51"/>
  <c r="D1051" i="51" s="1"/>
  <c r="E828" i="51"/>
  <c r="B836" i="51"/>
  <c r="E836" i="51" s="1"/>
  <c r="D888" i="51"/>
  <c r="A896" i="51"/>
  <c r="D896" i="51" s="1"/>
  <c r="A836" i="51"/>
  <c r="D836" i="51" s="1"/>
  <c r="D828" i="51"/>
  <c r="D919" i="51"/>
  <c r="A927" i="51"/>
  <c r="D927" i="51" s="1"/>
  <c r="A1144" i="51"/>
  <c r="D1144" i="51" s="1"/>
  <c r="D1136" i="51"/>
  <c r="B1084" i="51"/>
  <c r="E1084" i="51" s="1"/>
  <c r="E1076" i="51"/>
  <c r="B929" i="51"/>
  <c r="E929" i="51" s="1"/>
  <c r="E921" i="51"/>
  <c r="D1074" i="51"/>
  <c r="A1082" i="51"/>
  <c r="D1082" i="51" s="1"/>
  <c r="B960" i="51"/>
  <c r="E960" i="51" s="1"/>
  <c r="E952" i="51"/>
  <c r="A989" i="51"/>
  <c r="D989" i="51" s="1"/>
  <c r="D981" i="51"/>
  <c r="D890" i="51"/>
  <c r="A898" i="51"/>
  <c r="D898" i="51" s="1"/>
  <c r="A1177" i="51"/>
  <c r="D1177" i="51" s="1"/>
  <c r="D1169" i="51"/>
  <c r="E1169" i="51"/>
  <c r="B1177" i="51"/>
  <c r="E1177" i="51" s="1"/>
  <c r="E983" i="51"/>
  <c r="B991" i="51"/>
  <c r="E991" i="51" s="1"/>
  <c r="D1138" i="51"/>
  <c r="A1146" i="51"/>
  <c r="D1146" i="51" s="1"/>
  <c r="A1022" i="51"/>
  <c r="D1022" i="51" s="1"/>
  <c r="D1014" i="51"/>
  <c r="A958" i="51"/>
  <c r="D958" i="51" s="1"/>
  <c r="D950" i="51"/>
  <c r="A991" i="51"/>
  <c r="D991" i="51" s="1"/>
  <c r="D983" i="51"/>
  <c r="A1175" i="51"/>
  <c r="D1175" i="51" s="1"/>
  <c r="D1167" i="51"/>
  <c r="E1107" i="51"/>
  <c r="B1115" i="51"/>
  <c r="E1115" i="51" s="1"/>
  <c r="B898" i="51"/>
  <c r="E898" i="51" s="1"/>
  <c r="E890" i="51"/>
  <c r="A960" i="51"/>
  <c r="D960" i="51" s="1"/>
  <c r="D952" i="51"/>
  <c r="A929" i="51"/>
  <c r="D929" i="51" s="1"/>
  <c r="D921" i="51"/>
  <c r="A1115" i="51"/>
  <c r="D1115" i="51" s="1"/>
  <c r="D1107" i="51"/>
  <c r="A68" i="43"/>
  <c r="A62" i="22" s="1"/>
  <c r="O62" i="22" s="1"/>
  <c r="G63" i="39"/>
  <c r="A61" i="38"/>
  <c r="Q61" i="38" s="1"/>
  <c r="A63" i="39"/>
  <c r="E673" i="51"/>
  <c r="B681" i="51"/>
  <c r="E681" i="51" s="1"/>
  <c r="E549" i="51"/>
  <c r="B557" i="51"/>
  <c r="E557" i="51" s="1"/>
  <c r="E487" i="51"/>
  <c r="B495" i="51"/>
  <c r="E495" i="51" s="1"/>
  <c r="A185" i="51"/>
  <c r="D185" i="51" s="1"/>
  <c r="D177" i="51"/>
  <c r="A433" i="51"/>
  <c r="D433" i="51" s="1"/>
  <c r="D425" i="51"/>
  <c r="D53" i="51"/>
  <c r="A61" i="51"/>
  <c r="D61" i="51" s="1"/>
  <c r="A650" i="51"/>
  <c r="D650" i="51" s="1"/>
  <c r="D642" i="51"/>
  <c r="E332" i="51"/>
  <c r="B340" i="51"/>
  <c r="E340" i="51" s="1"/>
  <c r="A588" i="51"/>
  <c r="D588" i="51" s="1"/>
  <c r="D580" i="51"/>
  <c r="B61" i="51"/>
  <c r="E61" i="51" s="1"/>
  <c r="E53" i="51"/>
  <c r="D394" i="51"/>
  <c r="A402" i="51"/>
  <c r="D402" i="51" s="1"/>
  <c r="B92" i="51"/>
  <c r="E92" i="51" s="1"/>
  <c r="E84" i="51"/>
  <c r="A371" i="51"/>
  <c r="D371" i="51" s="1"/>
  <c r="D363" i="51"/>
  <c r="B433" i="51"/>
  <c r="E433" i="51" s="1"/>
  <c r="E425" i="51"/>
  <c r="E239" i="51"/>
  <c r="B247" i="51"/>
  <c r="E247" i="51" s="1"/>
  <c r="D673" i="51"/>
  <c r="A681" i="51"/>
  <c r="D681" i="51" s="1"/>
  <c r="D671" i="51"/>
  <c r="A679" i="51"/>
  <c r="D679" i="51" s="1"/>
  <c r="D299" i="51"/>
  <c r="A307" i="51"/>
  <c r="D307" i="51" s="1"/>
  <c r="E115" i="51"/>
  <c r="B123" i="51"/>
  <c r="E123" i="51" s="1"/>
  <c r="A431" i="51"/>
  <c r="D431" i="51" s="1"/>
  <c r="D423" i="51"/>
  <c r="A710" i="51"/>
  <c r="D710" i="51" s="1"/>
  <c r="D702" i="51"/>
  <c r="D640" i="51"/>
  <c r="A648" i="51"/>
  <c r="D648" i="51" s="1"/>
  <c r="E270" i="51"/>
  <c r="B278" i="51"/>
  <c r="E278" i="51" s="1"/>
  <c r="A524" i="51"/>
  <c r="D524" i="51" s="1"/>
  <c r="D516" i="51"/>
  <c r="A338" i="51"/>
  <c r="D338" i="51" s="1"/>
  <c r="D330" i="51"/>
  <c r="D239" i="51"/>
  <c r="A247" i="51"/>
  <c r="D247" i="51" s="1"/>
  <c r="A743" i="51"/>
  <c r="D743" i="51" s="1"/>
  <c r="D735" i="51"/>
  <c r="A309" i="51"/>
  <c r="D309" i="51" s="1"/>
  <c r="D301" i="51"/>
  <c r="A154" i="51"/>
  <c r="D154" i="51" s="1"/>
  <c r="D146" i="51"/>
  <c r="B526" i="51"/>
  <c r="E526" i="51" s="1"/>
  <c r="E518" i="51"/>
  <c r="D270" i="51"/>
  <c r="A278" i="51"/>
  <c r="D278" i="51" s="1"/>
  <c r="D456" i="51"/>
  <c r="A464" i="51"/>
  <c r="D464" i="51" s="1"/>
  <c r="A493" i="51"/>
  <c r="D493" i="51" s="1"/>
  <c r="D485" i="51"/>
  <c r="E208" i="51"/>
  <c r="B216" i="51"/>
  <c r="E216" i="51" s="1"/>
  <c r="A741" i="51"/>
  <c r="D741" i="51" s="1"/>
  <c r="D733" i="51"/>
  <c r="D766" i="51"/>
  <c r="A774" i="51"/>
  <c r="D774" i="51" s="1"/>
  <c r="B30" i="51"/>
  <c r="E30" i="51" s="1"/>
  <c r="E22" i="51"/>
  <c r="A59" i="51"/>
  <c r="D59" i="51" s="1"/>
  <c r="D51" i="51"/>
  <c r="B185" i="51"/>
  <c r="E185" i="51" s="1"/>
  <c r="E177" i="51"/>
  <c r="A183" i="51"/>
  <c r="D183" i="51" s="1"/>
  <c r="D175" i="51"/>
  <c r="A340" i="51"/>
  <c r="D340" i="51" s="1"/>
  <c r="D332" i="51"/>
  <c r="B650" i="51"/>
  <c r="E650" i="51" s="1"/>
  <c r="E642" i="51"/>
  <c r="B309" i="51"/>
  <c r="E309" i="51" s="1"/>
  <c r="E301" i="51"/>
  <c r="A123" i="51"/>
  <c r="D123" i="51" s="1"/>
  <c r="D115" i="51"/>
  <c r="A216" i="51"/>
  <c r="D216" i="51" s="1"/>
  <c r="D208" i="51"/>
  <c r="D20" i="51"/>
  <c r="A28" i="51"/>
  <c r="D28" i="51" s="1"/>
  <c r="D549" i="51"/>
  <c r="A557" i="51"/>
  <c r="D557" i="51" s="1"/>
  <c r="D82" i="51"/>
  <c r="A90" i="51"/>
  <c r="D90" i="51" s="1"/>
  <c r="A214" i="51"/>
  <c r="D214" i="51" s="1"/>
  <c r="D206" i="51"/>
  <c r="A526" i="51"/>
  <c r="D526" i="51" s="1"/>
  <c r="D518" i="51"/>
  <c r="D611" i="51"/>
  <c r="A619" i="51"/>
  <c r="D619" i="51" s="1"/>
  <c r="B402" i="51"/>
  <c r="E402" i="51" s="1"/>
  <c r="E394" i="51"/>
  <c r="E611" i="51"/>
  <c r="B619" i="51"/>
  <c r="E619" i="51" s="1"/>
  <c r="E580" i="51"/>
  <c r="B588" i="51"/>
  <c r="E588" i="51" s="1"/>
  <c r="D609" i="51"/>
  <c r="A617" i="51"/>
  <c r="D617" i="51" s="1"/>
  <c r="D764" i="51"/>
  <c r="A772" i="51"/>
  <c r="D772" i="51" s="1"/>
  <c r="E704" i="51"/>
  <c r="B712" i="51"/>
  <c r="E712" i="51" s="1"/>
  <c r="A712" i="51"/>
  <c r="D712" i="51" s="1"/>
  <c r="D704" i="51"/>
  <c r="E456" i="51"/>
  <c r="B464" i="51"/>
  <c r="E464" i="51" s="1"/>
  <c r="A152" i="51"/>
  <c r="D152" i="51" s="1"/>
  <c r="D144" i="51"/>
  <c r="A495" i="51"/>
  <c r="D495" i="51" s="1"/>
  <c r="D487" i="51"/>
  <c r="A245" i="51"/>
  <c r="D245" i="51" s="1"/>
  <c r="D237" i="51"/>
  <c r="E146" i="51"/>
  <c r="B154" i="51"/>
  <c r="E154" i="51" s="1"/>
  <c r="D392" i="51"/>
  <c r="A400" i="51"/>
  <c r="D400" i="51" s="1"/>
  <c r="D268" i="51"/>
  <c r="A276" i="51"/>
  <c r="D276" i="51" s="1"/>
  <c r="A369" i="51"/>
  <c r="D369" i="51" s="1"/>
  <c r="D361" i="51"/>
  <c r="D578" i="51"/>
  <c r="A586" i="51"/>
  <c r="D586" i="51" s="1"/>
  <c r="E735" i="51"/>
  <c r="B743" i="51"/>
  <c r="E743" i="51" s="1"/>
  <c r="D547" i="51"/>
  <c r="A555" i="51"/>
  <c r="D555" i="51" s="1"/>
  <c r="D454" i="51"/>
  <c r="A462" i="51"/>
  <c r="D462" i="51" s="1"/>
  <c r="A30" i="51"/>
  <c r="D30" i="51" s="1"/>
  <c r="D22" i="51"/>
  <c r="B371" i="51"/>
  <c r="E371" i="51" s="1"/>
  <c r="E363" i="51"/>
  <c r="A121" i="51"/>
  <c r="D121" i="51" s="1"/>
  <c r="D113" i="51"/>
  <c r="B774" i="51"/>
  <c r="E774" i="51" s="1"/>
  <c r="E766" i="51"/>
  <c r="D84" i="51"/>
  <c r="A92" i="51"/>
  <c r="D92" i="51" s="1"/>
  <c r="A69" i="43" l="1"/>
  <c r="A63" i="22" s="1"/>
  <c r="O63" i="22" s="1"/>
  <c r="G65" i="39"/>
  <c r="A65" i="39"/>
  <c r="A63" i="38"/>
  <c r="Q63" i="38" s="1"/>
  <c r="G64" i="39"/>
  <c r="A62" i="38"/>
  <c r="Q62" i="38" s="1"/>
  <c r="A64" i="39"/>
  <c r="A70" i="43" l="1"/>
  <c r="A64" i="22" s="1"/>
  <c r="O64" i="22" s="1"/>
  <c r="A71" i="43" l="1"/>
  <c r="A65" i="22" s="1"/>
  <c r="O65" i="22" s="1"/>
  <c r="A66" i="39"/>
  <c r="A64" i="38"/>
  <c r="Q64" i="38" s="1"/>
  <c r="A72" i="43" l="1"/>
  <c r="A66" i="22" s="1"/>
  <c r="O66" i="22" s="1"/>
  <c r="A65" i="38"/>
  <c r="Q65" i="38" s="1"/>
  <c r="A67" i="39"/>
  <c r="A73" i="43" l="1"/>
  <c r="A67" i="22" s="1"/>
  <c r="O67" i="22" s="1"/>
  <c r="A66" i="38"/>
  <c r="Q66" i="38" s="1"/>
  <c r="A68" i="39"/>
  <c r="A74" i="43" l="1"/>
  <c r="A68" i="22" s="1"/>
  <c r="O68" i="22" s="1"/>
  <c r="A69" i="39"/>
  <c r="A67" i="38"/>
  <c r="Q67" i="38" s="1"/>
  <c r="A69" i="38" l="1"/>
  <c r="Q69" i="38" s="1"/>
  <c r="A71" i="39"/>
  <c r="A68" i="38"/>
  <c r="Q68" i="38" s="1"/>
  <c r="A70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FQuintero:</t>
        </r>
        <r>
          <rPr>
            <sz val="9"/>
            <color indexed="81"/>
            <rFont val="Tahoma"/>
            <family val="2"/>
          </rPr>
          <t xml:space="preserve">
DILUCION EN 8mL</t>
        </r>
      </text>
    </comment>
    <comment ref="G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FQuintero:</t>
        </r>
        <r>
          <rPr>
            <sz val="9"/>
            <color indexed="81"/>
            <rFont val="Tahoma"/>
            <family val="2"/>
          </rPr>
          <t xml:space="preserve">
DILUCION EN 8mL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U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Cambia VolDo</t>
        </r>
      </text>
    </comment>
    <comment ref="V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Adiciona "VolTotal"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Ej: AMPOLLA X 10 ml
     BOLSA X 500 ml</t>
        </r>
      </text>
    </comment>
    <comment ref="E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 UNIDADES COMPLETAS</t>
        </r>
      </text>
    </comment>
    <comment ref="F8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 - L - I - D</t>
        </r>
      </text>
    </comment>
    <comment ref="H8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DD/MM/AA</t>
        </r>
      </text>
    </comment>
    <comment ref="J8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 en unidades
REM en ml
</t>
        </r>
        <r>
          <rPr>
            <sz val="9"/>
            <color indexed="10"/>
            <rFont val="Tahoma"/>
            <family val="2"/>
          </rPr>
          <t>SOLO PONER EL NUMERO, i.e., 5  y NO 5 ml</t>
        </r>
      </text>
    </comment>
  </commentList>
</comments>
</file>

<file path=xl/sharedStrings.xml><?xml version="1.0" encoding="utf-8"?>
<sst xmlns="http://schemas.openxmlformats.org/spreadsheetml/2006/main" count="5550" uniqueCount="1391">
  <si>
    <t>PRESENTACION</t>
  </si>
  <si>
    <t>No.Consecutivo
(ID)</t>
  </si>
  <si>
    <t>No. 
Consecutivo
ID</t>
  </si>
  <si>
    <t>NOMBRE DEL PACIENTE</t>
  </si>
  <si>
    <t>SERVICIO</t>
  </si>
  <si>
    <t>CAMA</t>
  </si>
  <si>
    <t>MEDICAMENTO</t>
  </si>
  <si>
    <t>LINEA</t>
  </si>
  <si>
    <t># DOSIS</t>
  </si>
  <si>
    <t>C</t>
  </si>
  <si>
    <t>NC</t>
  </si>
  <si>
    <t>OBSERVACIONES:</t>
  </si>
  <si>
    <t>FECHA:</t>
  </si>
  <si>
    <t>No. Consecutivo
(ID)</t>
  </si>
  <si>
    <t>IDENTIFICACION</t>
  </si>
  <si>
    <t>No. ORDEN:</t>
  </si>
  <si>
    <t>RESPONSABLE ORDEN:</t>
  </si>
  <si>
    <t>RESPONSABLE PRODUCCION:</t>
  </si>
  <si>
    <t xml:space="preserve">Hr. Inicio: </t>
  </si>
  <si>
    <t>ORDEN DE PRODUCCIÓN DE MEDICAMENTOS INTRAVENOSOS ESTERILES</t>
  </si>
  <si>
    <t>FR PD 001
VERSION 1</t>
  </si>
  <si>
    <t>RESPONSABLE CALIDAD:</t>
  </si>
  <si>
    <t>Hr. Final</t>
  </si>
  <si>
    <t># Unidosis:</t>
  </si>
  <si>
    <t>CEFALOTINA</t>
  </si>
  <si>
    <t xml:space="preserve">MEDICAMENTO </t>
  </si>
  <si>
    <t>CANTIDAD</t>
  </si>
  <si>
    <t>D</t>
  </si>
  <si>
    <t>R</t>
  </si>
  <si>
    <t>CEFTRIAXONA</t>
  </si>
  <si>
    <t>VANCOMICINA</t>
  </si>
  <si>
    <t>AMIKACINA</t>
  </si>
  <si>
    <t>GENTAMICINA</t>
  </si>
  <si>
    <t>CLINDAMICINA</t>
  </si>
  <si>
    <t>ANFOTERICINA B</t>
  </si>
  <si>
    <t>RANITIDINA</t>
  </si>
  <si>
    <t>METOCLOPRAMIDA</t>
  </si>
  <si>
    <t>CLARITROMICINA</t>
  </si>
  <si>
    <t>OXACILINA</t>
  </si>
  <si>
    <t>METILPREDNISOLONA</t>
  </si>
  <si>
    <t>HEPARINA</t>
  </si>
  <si>
    <t>ACICLOVIR</t>
  </si>
  <si>
    <t>FUROSEMIDA</t>
  </si>
  <si>
    <t>DEXAMETASONA</t>
  </si>
  <si>
    <t>HIDROCORTISONA</t>
  </si>
  <si>
    <t>INSULINA CRISTALINA</t>
  </si>
  <si>
    <t>DOPAMINA</t>
  </si>
  <si>
    <t>LIDOCAINA</t>
  </si>
  <si>
    <t>ERTAPENEM</t>
  </si>
  <si>
    <t>CASPOFUNGINA</t>
  </si>
  <si>
    <t>CEFUROXIME</t>
  </si>
  <si>
    <t>CEFOTAXIME</t>
  </si>
  <si>
    <t>CEFOXITINA</t>
  </si>
  <si>
    <t>CEFTAZIDIME</t>
  </si>
  <si>
    <t>CEFOPERAZONA</t>
  </si>
  <si>
    <t>AZITROMICINA</t>
  </si>
  <si>
    <t>AZTREONAM</t>
  </si>
  <si>
    <t>GATIFLOXACINA</t>
  </si>
  <si>
    <t>TIGECICLINA</t>
  </si>
  <si>
    <t>No se aceptan cambios.</t>
  </si>
  <si>
    <t>HALOPERIDOL</t>
  </si>
  <si>
    <t>TRAMADOL</t>
  </si>
  <si>
    <t>MORFINA</t>
  </si>
  <si>
    <t>MIDAZOLAM</t>
  </si>
  <si>
    <t>Amp 500 mg</t>
  </si>
  <si>
    <t xml:space="preserve"> Amp 100 mg</t>
  </si>
  <si>
    <t>Vial 1' U.I.</t>
  </si>
  <si>
    <t xml:space="preserve"> Vial 5' U.I.</t>
  </si>
  <si>
    <t>Vial 500 mg</t>
  </si>
  <si>
    <t xml:space="preserve"> Vial 750 mg</t>
  </si>
  <si>
    <t>Amp 600 mg</t>
  </si>
  <si>
    <t>Vial 1500 mg</t>
  </si>
  <si>
    <t>Vial 1000 mg</t>
  </si>
  <si>
    <t>Vial 100 mg</t>
  </si>
  <si>
    <t xml:space="preserve"> Vial 500 mg</t>
  </si>
  <si>
    <t>Vial 4,5 g</t>
  </si>
  <si>
    <t>Vial 50 mg</t>
  </si>
  <si>
    <t xml:space="preserve"> Amp 400 mg</t>
  </si>
  <si>
    <t>Amp 80 mg</t>
  </si>
  <si>
    <t>Amp 80/400 mg</t>
  </si>
  <si>
    <t>Amp 50 mg</t>
  </si>
  <si>
    <t>Amp 4 mg</t>
  </si>
  <si>
    <t xml:space="preserve"> Amp 20 mg</t>
  </si>
  <si>
    <t xml:space="preserve"> Vial 25000 U.I.</t>
  </si>
  <si>
    <t>Amp 10 mg</t>
  </si>
  <si>
    <t>Vial 1000 U.I.</t>
  </si>
  <si>
    <t>Vial 70 mg</t>
  </si>
  <si>
    <t xml:space="preserve"> Amp 200 mg</t>
  </si>
  <si>
    <t xml:space="preserve"> Vial 50 mg</t>
  </si>
  <si>
    <t>Amp 5 mg</t>
  </si>
  <si>
    <t>Amp 8 mg</t>
  </si>
  <si>
    <t>Amp 10 mg - Amp 500 mg</t>
  </si>
  <si>
    <t>10 -- 50</t>
  </si>
  <si>
    <t>Amp x 10 mg</t>
  </si>
  <si>
    <t>SSN 300ML</t>
  </si>
  <si>
    <t>Amp 15 mg</t>
  </si>
  <si>
    <t>SKU</t>
  </si>
  <si>
    <t>EPS</t>
  </si>
  <si>
    <t>SEVEN</t>
  </si>
  <si>
    <t>OBS</t>
  </si>
  <si>
    <t>SOLICITUD DE MEDICAMENTOS E INSUMOS
PARA ADECUACION</t>
  </si>
  <si>
    <t>FR PD 011
VERSION 1</t>
  </si>
  <si>
    <t>LINEA DE PRODUCCION:</t>
  </si>
  <si>
    <t>INTRAVENOSOS ESTERILES</t>
  </si>
  <si>
    <t xml:space="preserve">FECHA: </t>
  </si>
  <si>
    <t>INSTITUCION/CLIENTE:</t>
  </si>
  <si>
    <t>No.
Consecutivo
(ID)</t>
  </si>
  <si>
    <t>DESCRIPCION DEL
MEDICAMENTO</t>
  </si>
  <si>
    <t>CANTIDAD 
SOLICITADA</t>
  </si>
  <si>
    <t>CODIGO
MEDICAMENTO</t>
  </si>
  <si>
    <t>ID Consecutivo
de transaccion</t>
  </si>
  <si>
    <t>CONSUMO</t>
  </si>
  <si>
    <t>JERINGA DESECHABLE</t>
  </si>
  <si>
    <t>1 CC</t>
  </si>
  <si>
    <t>3 CC</t>
  </si>
  <si>
    <t>5 CC</t>
  </si>
  <si>
    <t>10 CC</t>
  </si>
  <si>
    <t>AGUA ESTERIL</t>
  </si>
  <si>
    <t>CAMPO ESTERIL</t>
  </si>
  <si>
    <t>GASA ESTERIL</t>
  </si>
  <si>
    <t>SOLICITADA POR:</t>
  </si>
  <si>
    <t>ALISTADA POR:</t>
  </si>
  <si>
    <t>VERIFICADA POR:</t>
  </si>
  <si>
    <t>NPTAC: Nutrición adulto con lípìdos</t>
  </si>
  <si>
    <t>NPTP: Nutrición pediatrica</t>
  </si>
  <si>
    <t>NPTN: Nutrición neonato</t>
  </si>
  <si>
    <t>20CC</t>
  </si>
  <si>
    <t>50CC</t>
  </si>
  <si>
    <t>AGUJA DESECHABLE 18</t>
  </si>
  <si>
    <t>UNID</t>
  </si>
  <si>
    <t>AGUJA DESECHABLE 14</t>
  </si>
  <si>
    <t>SSS 0,9 %</t>
  </si>
  <si>
    <t>BOLSA X 100 ML</t>
  </si>
  <si>
    <t>BOLSA X 250 ML</t>
  </si>
  <si>
    <t>BOLSA X 500 ML</t>
  </si>
  <si>
    <t>WILLIAMG</t>
  </si>
  <si>
    <t>Miriam Victoria Moreno Cruz</t>
  </si>
  <si>
    <t>Alirio  Mojica Piñeros</t>
  </si>
  <si>
    <t>Gloria Esperanza Garzon Roa</t>
  </si>
  <si>
    <t>Gloria Stella Chaves Castillo</t>
  </si>
  <si>
    <t>Luis Eduardo Ruget Cardenas</t>
  </si>
  <si>
    <t>MARIA MORENO</t>
  </si>
  <si>
    <t xml:space="preserve">Maria Avelina Rojas </t>
  </si>
  <si>
    <t xml:space="preserve">Maria Elvia Tovar </t>
  </si>
  <si>
    <t>Yurany  Buitrago Ruiz</t>
  </si>
  <si>
    <t>L</t>
  </si>
  <si>
    <t>SOLICITUD DE MEDICAMENTOS E INSUMOS PARA ADECUACION</t>
  </si>
  <si>
    <t>FR PD 011
VERSION 2</t>
  </si>
  <si>
    <t xml:space="preserve">DESCRIPCION DEL
MEDICAMENTO </t>
  </si>
  <si>
    <t>CANTIDAD SOLICITADA</t>
  </si>
  <si>
    <t>ORIGEN</t>
  </si>
  <si>
    <t>LOTE</t>
  </si>
  <si>
    <t>FV</t>
  </si>
  <si>
    <t>CONSECUTIVO TRANSACCION</t>
  </si>
  <si>
    <t>CANTIDAD ENTREGADA COMP     -        REM</t>
  </si>
  <si>
    <t>USO
COMP    -     REM</t>
  </si>
  <si>
    <t>DEVOLUCION COMP    -      REM</t>
  </si>
  <si>
    <t>U. MEDIDA</t>
  </si>
  <si>
    <t>REMANENTE</t>
  </si>
  <si>
    <t>COMP</t>
  </si>
  <si>
    <t>COMPLETO</t>
  </si>
  <si>
    <t>un</t>
  </si>
  <si>
    <t>REM</t>
  </si>
  <si>
    <t>mL</t>
  </si>
  <si>
    <t>I</t>
  </si>
  <si>
    <t>INVENTARIO</t>
  </si>
  <si>
    <t>DEVOLUCION</t>
  </si>
  <si>
    <t>UNIDOSSIS S.A.S.</t>
  </si>
  <si>
    <t>SHEC NORTE II</t>
  </si>
  <si>
    <t>Amp 10 mg - Amp 0,5%</t>
  </si>
  <si>
    <t>10 -- 0,5</t>
  </si>
  <si>
    <t>NA</t>
  </si>
  <si>
    <t>AGUJA DESECHABLE 16</t>
  </si>
  <si>
    <t>CONSECUTIVO</t>
  </si>
  <si>
    <t xml:space="preserve">LOTE </t>
  </si>
  <si>
    <t>ORDEN CAMPAÑA</t>
  </si>
  <si>
    <t>PIPERACILINA+TAZOBACTAM</t>
  </si>
  <si>
    <t>AMPICILINA+SULBACTAM</t>
  </si>
  <si>
    <t>PENICILINA CRISTALINA</t>
  </si>
  <si>
    <t>CEFAZOLINA</t>
  </si>
  <si>
    <t>CEFEPIME</t>
  </si>
  <si>
    <t>BUPIVACAINA</t>
  </si>
  <si>
    <t>ONDANSETRON</t>
  </si>
  <si>
    <t>VITAMINA K</t>
  </si>
  <si>
    <t>MORFINA+KETAMINA</t>
  </si>
  <si>
    <t>LIDOCAINA+BUPIVACAINA+FENTANILO</t>
  </si>
  <si>
    <t>SODIO CLORURO</t>
  </si>
  <si>
    <t>MORFINA+BUPIVACAINA</t>
  </si>
  <si>
    <t>CONT. X UNIDAD COMERCIAL</t>
  </si>
  <si>
    <t>TRIMETOPRIM+SULFA</t>
  </si>
  <si>
    <t>Amp 100 mg/20mL</t>
  </si>
  <si>
    <t>Amp 100mg/10mL</t>
  </si>
  <si>
    <t>PROTEGER DE LA LUZ</t>
  </si>
  <si>
    <t>SI</t>
  </si>
  <si>
    <t>Tipo 
Doc.</t>
  </si>
  <si>
    <t>388.1</t>
  </si>
  <si>
    <t>Vial 3% 20mL</t>
  </si>
  <si>
    <t>NO</t>
  </si>
  <si>
    <t>ANTIBIOTICO</t>
  </si>
  <si>
    <t>PALIATIVO</t>
  </si>
  <si>
    <t>PROGRAMACION EN CAMPAÑA DE ADECUACION DE MEDICAMENTOS 
INTRAVENOSOS ESTERILES</t>
  </si>
  <si>
    <t>GRUPO FARMACOTERAPEUTICO</t>
  </si>
  <si>
    <t>AREA DE PRODUCCIÒN</t>
  </si>
  <si>
    <t>ANTIHISTAMÍNICOS</t>
  </si>
  <si>
    <t>AREA DE MEDICAMENTOS ESTERILES 3 o 4.</t>
  </si>
  <si>
    <t>ANTIEMÉTICOS</t>
  </si>
  <si>
    <t>DIURETICOS</t>
  </si>
  <si>
    <t>BIOLOGICOS</t>
  </si>
  <si>
    <t>ERITROPOYETINA</t>
  </si>
  <si>
    <t>VASOPRESOR-INOTROPICO</t>
  </si>
  <si>
    <t>ANESTESICOS 
LOCALES</t>
  </si>
  <si>
    <t>ANTINFLAMATORIOS
ESTEROIDEOS</t>
  </si>
  <si>
    <t>GLUCOCORTICOIDES</t>
  </si>
  <si>
    <t xml:space="preserve">ANALGESICOS </t>
  </si>
  <si>
    <t>ANTISICOTICOS</t>
  </si>
  <si>
    <t>HIPNOANALGESICO</t>
  </si>
  <si>
    <t>HIPNOSEDANTE</t>
  </si>
  <si>
    <t>PENICILINAS</t>
  </si>
  <si>
    <t>CEFALOSPORINAS</t>
  </si>
  <si>
    <t>MONOBACTAMICOS</t>
  </si>
  <si>
    <t>AMINOGLUCÓSIDOS</t>
  </si>
  <si>
    <t>LINCOSAMIDAS</t>
  </si>
  <si>
    <t>SULFAS</t>
  </si>
  <si>
    <t>CARBAPENEMAS</t>
  </si>
  <si>
    <t>GLUCOPÉPTIDOS</t>
  </si>
  <si>
    <t>MACRÓLIDOS</t>
  </si>
  <si>
    <t>LINCOMICINA</t>
  </si>
  <si>
    <t>QUINOLONAS</t>
  </si>
  <si>
    <t>CIPROFLOXACINA</t>
  </si>
  <si>
    <t>FLUOROQUINOLONAS</t>
  </si>
  <si>
    <t>GLICILCICLINAS</t>
  </si>
  <si>
    <t>ANTIVIRALES</t>
  </si>
  <si>
    <t>ANTIMICOTICOS</t>
  </si>
  <si>
    <t>TERAPIA DE RESCATE</t>
  </si>
  <si>
    <t>FOLINATO DE CALCIO</t>
  </si>
  <si>
    <t>MESNA</t>
  </si>
  <si>
    <t xml:space="preserve">ACIDO IBANDRONICO </t>
  </si>
  <si>
    <t>ACIDO ZOLENDRONICO</t>
  </si>
  <si>
    <t>DEXRAZOXANE</t>
  </si>
  <si>
    <t>ENZIMAS</t>
  </si>
  <si>
    <t>ASPARAGINASA</t>
  </si>
  <si>
    <t>SUPLEMENTO NUTRICIONAL</t>
  </si>
  <si>
    <t>OMEPRAZOL</t>
  </si>
  <si>
    <t>ESTAB.
DIAS</t>
  </si>
  <si>
    <t>Amp 20mEq x10mL</t>
  </si>
  <si>
    <t>LOTE INTERNO</t>
  </si>
  <si>
    <t>F VTO</t>
  </si>
  <si>
    <t>OBSERVACIONES: NA</t>
  </si>
  <si>
    <t>HIDROMORFONA</t>
  </si>
  <si>
    <t>Amp 2mg/1mL</t>
  </si>
  <si>
    <t>IMIPENEM</t>
  </si>
  <si>
    <t>ENVASE</t>
  </si>
  <si>
    <t>CEFRADINA</t>
  </si>
  <si>
    <t>VERSION 4</t>
  </si>
  <si>
    <t>MEROPENEM</t>
  </si>
  <si>
    <t>ENVASE ADULTOS</t>
  </si>
  <si>
    <t>ENVASE
NEO + PED.</t>
  </si>
  <si>
    <t>JERINGA</t>
  </si>
  <si>
    <t>SSN 100mL</t>
  </si>
  <si>
    <t>SSN 500mL</t>
  </si>
  <si>
    <t>SSN 250mL</t>
  </si>
  <si>
    <t>Cant. Medic.
 Requerido</t>
  </si>
  <si>
    <t>Vol. Dosis</t>
  </si>
  <si>
    <t>Frecuencia</t>
  </si>
  <si>
    <t>Lote Interno</t>
  </si>
  <si>
    <t>Fecha Vto.</t>
  </si>
  <si>
    <t>Total Unidosis</t>
  </si>
  <si>
    <t>Dosis (mg)</t>
  </si>
  <si>
    <t>Medicamento</t>
  </si>
  <si>
    <t>Nombre del Paciente</t>
  </si>
  <si>
    <t>Conc.Med.
(mg/mL)</t>
  </si>
  <si>
    <t>Cama</t>
  </si>
  <si>
    <t>CODIGO</t>
  </si>
  <si>
    <r>
      <t xml:space="preserve"> Dosis </t>
    </r>
    <r>
      <rPr>
        <sz val="10"/>
        <rFont val="Arial"/>
        <family val="2"/>
      </rPr>
      <t>(mg) (UI)</t>
    </r>
  </si>
  <si>
    <t>No TRANSACCION APROVECHAMIENTO</t>
  </si>
  <si>
    <t>CONCENTRACION
NEO+PED</t>
  </si>
  <si>
    <t>CONCENTRACION
ADULTOS</t>
  </si>
  <si>
    <t>119.20</t>
  </si>
  <si>
    <t>140.50</t>
  </si>
  <si>
    <t>129.10</t>
  </si>
  <si>
    <t>AMP</t>
  </si>
  <si>
    <t>JP</t>
  </si>
  <si>
    <t>REQ.PROT. LUZ?</t>
  </si>
  <si>
    <t>mg DOSIS x TOTAL UNIDOSIS</t>
  </si>
  <si>
    <t>FR PD 011</t>
  </si>
  <si>
    <t>DOSIS (mg)</t>
  </si>
  <si>
    <t>CEFUROXIMA</t>
  </si>
  <si>
    <t>INSULINA NPH</t>
  </si>
  <si>
    <t>Tipo de
Doc.</t>
  </si>
  <si>
    <t>DOSIS
(mg)</t>
  </si>
  <si>
    <t>CASO</t>
  </si>
  <si>
    <t>FECHA</t>
  </si>
  <si>
    <t>REPROCESO DE PRODUCTOS</t>
  </si>
  <si>
    <t>FR CC 010
VERSION 1</t>
  </si>
  <si>
    <t xml:space="preserve">FECHA </t>
  </si>
  <si>
    <t>PRODUCTO A 
REPROCESAR</t>
  </si>
  <si>
    <t>ACCION A 
TOMAR</t>
  </si>
  <si>
    <t>Q.F. 
RESPONSABLE</t>
  </si>
  <si>
    <t>VERIFICADO 
POR</t>
  </si>
  <si>
    <t>REMANENTES DE MEDICAMENTOS</t>
  </si>
  <si>
    <t>FR PD 015
VERSION 1</t>
  </si>
  <si>
    <t>RESPONSABLE:</t>
  </si>
  <si>
    <t>CONCENTRACION
(mg/mL o U.I./mL)</t>
  </si>
  <si>
    <t>FECHA DE
ADECUACION</t>
  </si>
  <si>
    <t>FECHA DE 
VENCIMIENTO</t>
  </si>
  <si>
    <t>VOLUMEN
(mL)</t>
  </si>
  <si>
    <t>PRODUCTO NO CONFORME</t>
  </si>
  <si>
    <t>FR CC 019
VERSION 1</t>
  </si>
  <si>
    <t>No. 
CONSECUTIVO
(ID)</t>
  </si>
  <si>
    <t>MEDICAMENTO/PRODUCTO</t>
  </si>
  <si>
    <t>DESCRIPCION</t>
  </si>
  <si>
    <t>RESPONSABLE</t>
  </si>
  <si>
    <t>DESTINO FINAL</t>
  </si>
  <si>
    <t>P</t>
  </si>
  <si>
    <t>O</t>
  </si>
  <si>
    <t>P=Pendiente</t>
  </si>
  <si>
    <t>D=Destruccion</t>
  </si>
  <si>
    <t>R=Retiro por el proveedor</t>
  </si>
  <si>
    <t>O=Otros</t>
  </si>
  <si>
    <t>ID</t>
  </si>
  <si>
    <t>UNIDAD</t>
  </si>
  <si>
    <t>CONC OP</t>
  </si>
  <si>
    <t>NOMBRE PACIENTE</t>
  </si>
  <si>
    <t>AMPICILINA+SBT</t>
  </si>
  <si>
    <t>Vial 1,5g</t>
  </si>
  <si>
    <t>PENICILINA CRIST.</t>
  </si>
  <si>
    <t>No FILAS ETIQUETAS</t>
  </si>
  <si>
    <t>PIPERACILINA+TZB</t>
  </si>
  <si>
    <t>MEDICAMENTOS DE LA ORDEN: Diligencie la casilla de color amarillo y pegue como valores la solicitud enviada por el cliente en la casilla naranja</t>
  </si>
  <si>
    <t>Conc. Med.</t>
  </si>
  <si>
    <t>Lote Int.</t>
  </si>
  <si>
    <t xml:space="preserve">F.
Vto. </t>
  </si>
  <si>
    <t>PRESENT. COMERCIAL</t>
  </si>
  <si>
    <t>CONC. PRESENT. COMERCIAL</t>
  </si>
  <si>
    <t>DOSIS</t>
  </si>
  <si>
    <t>VOL. DILUCION</t>
  </si>
  <si>
    <t>F. VTO</t>
  </si>
  <si>
    <t>QF PREPARA</t>
  </si>
  <si>
    <t>QF VERIFICA</t>
  </si>
  <si>
    <t>INSTITUCION</t>
  </si>
  <si>
    <t>DILUCION</t>
  </si>
  <si>
    <t>PERSONAS AUTORIZADAS</t>
  </si>
  <si>
    <t>PREPARAR</t>
  </si>
  <si>
    <t>DIEGOS</t>
  </si>
  <si>
    <t>INTERPRETAR</t>
  </si>
  <si>
    <t>C CALIDAD</t>
  </si>
  <si>
    <t>LBARRIENTOS</t>
  </si>
  <si>
    <t>ENVASES</t>
  </si>
  <si>
    <t>JER 1mL</t>
  </si>
  <si>
    <t>JER 3mL</t>
  </si>
  <si>
    <t>JER 5mL</t>
  </si>
  <si>
    <t>JER 10mL</t>
  </si>
  <si>
    <t>JER 20mL</t>
  </si>
  <si>
    <t>JER 50mL</t>
  </si>
  <si>
    <t>SSN 50mL</t>
  </si>
  <si>
    <t>SSN 80mL</t>
  </si>
  <si>
    <t>SSN 150mL</t>
  </si>
  <si>
    <t>SSN 200mL</t>
  </si>
  <si>
    <t>BOLSA X 100 mL</t>
  </si>
  <si>
    <t>BOLSA X 250 mL</t>
  </si>
  <si>
    <t>BOLSA X 500 mL</t>
  </si>
  <si>
    <t xml:space="preserve"> </t>
  </si>
  <si>
    <t>Jer 4mg/1mL</t>
  </si>
  <si>
    <t>Jer 8mg/2mL</t>
  </si>
  <si>
    <t>Jer 20mg/2mL</t>
  </si>
  <si>
    <t>Jer 25UI/5mL</t>
  </si>
  <si>
    <t>Jer 10mg/2mL</t>
  </si>
  <si>
    <t>Jer 50mg/2mL</t>
  </si>
  <si>
    <t>Jer 5mL</t>
  </si>
  <si>
    <t>SOLUCIÓN SALINA 0,9%</t>
  </si>
  <si>
    <t>DAD 5% 500mL</t>
  </si>
  <si>
    <t>La información de esta página debe actualizarse periódicamente o cada vez que haya modificaciones.</t>
  </si>
  <si>
    <t>165.4</t>
  </si>
  <si>
    <t>165.8</t>
  </si>
  <si>
    <t>BETAMETASONA</t>
  </si>
  <si>
    <t>Amp 4 mg/1mL</t>
  </si>
  <si>
    <t>BICARBONATO SODICO</t>
  </si>
  <si>
    <t>Amp 10meq/10mL</t>
  </si>
  <si>
    <t>DIAZEPAM</t>
  </si>
  <si>
    <t>Amp 10mg/2mL</t>
  </si>
  <si>
    <t>FENOBARBITAL SODICO</t>
  </si>
  <si>
    <t>Amp 200mg/1mL</t>
  </si>
  <si>
    <t>Amp 40mg/1mL</t>
  </si>
  <si>
    <t>FENTANILO CITRATO</t>
  </si>
  <si>
    <t>250mcg/5mL</t>
  </si>
  <si>
    <t>PEND</t>
  </si>
  <si>
    <t>GANCICLOVIR</t>
  </si>
  <si>
    <t>GONADOTROPINA CORIONICA</t>
  </si>
  <si>
    <t>MEPERIDINA</t>
  </si>
  <si>
    <t>Amp 100mg/2mL</t>
  </si>
  <si>
    <t>METILERGOBASINA</t>
  </si>
  <si>
    <t>Amp 0,2mg/1mL</t>
  </si>
  <si>
    <t>MEZCLA MESOTERAPIA</t>
  </si>
  <si>
    <t>MAGNESIO SULFATO</t>
  </si>
  <si>
    <t>Amp 2000mg/10mL</t>
  </si>
  <si>
    <t>VITAMINA C</t>
  </si>
  <si>
    <t>Amp 500mg/5mL</t>
  </si>
  <si>
    <t>Bolsa 600mL</t>
  </si>
  <si>
    <t>BOL</t>
  </si>
  <si>
    <t>REFRIGERAR</t>
  </si>
  <si>
    <t>Vial 5000UI</t>
  </si>
  <si>
    <t># PAGINA</t>
  </si>
  <si>
    <t># FILAS ETIQ REQUERID.</t>
  </si>
  <si>
    <t>----------------------------</t>
  </si>
  <si>
    <t>-----------------------------</t>
  </si>
  <si>
    <t>---</t>
  </si>
  <si>
    <t>AMINOFILINA</t>
  </si>
  <si>
    <t>CAFEINA</t>
  </si>
  <si>
    <t>DAPTOMICINA</t>
  </si>
  <si>
    <t>FENITOINA</t>
  </si>
  <si>
    <t>LINEZOLID</t>
  </si>
  <si>
    <t>METANSULFONATO DE COLISTINA</t>
  </si>
  <si>
    <t>METRONIDAZOL</t>
  </si>
  <si>
    <t>VALPROATO DE SODIO</t>
  </si>
  <si>
    <t>VORICONAZOL</t>
  </si>
  <si>
    <t>Bolsa 200mg/100mL</t>
  </si>
  <si>
    <t>Amp 240mg/10mL</t>
  </si>
  <si>
    <t>500mg/100mL</t>
  </si>
  <si>
    <t>Amp 40mg</t>
  </si>
  <si>
    <t>Amp 200mg</t>
  </si>
  <si>
    <t>Amp 250mg/5mL</t>
  </si>
  <si>
    <t>Amp 60mg/3mL</t>
  </si>
  <si>
    <t>Amp 500mg</t>
  </si>
  <si>
    <t>BRONCODILATADOR</t>
  </si>
  <si>
    <t>ANTICONVULSIVANTE</t>
  </si>
  <si>
    <t>AB</t>
  </si>
  <si>
    <t>ANTIMICOTICO</t>
  </si>
  <si>
    <t>ANTIPARASITARIO</t>
  </si>
  <si>
    <t>AMINOGLUC</t>
  </si>
  <si>
    <t>OMEPRA</t>
  </si>
  <si>
    <t>FR CC 016
VERSION 4</t>
  </si>
  <si>
    <t xml:space="preserve">HORA DE SOLICITUD :  </t>
  </si>
  <si>
    <t>PEDIDO LOG</t>
  </si>
  <si>
    <t xml:space="preserve">CLIENTE:  </t>
  </si>
  <si>
    <t>TIPO DE SOLICITUD</t>
  </si>
  <si>
    <t>NORMAL</t>
  </si>
  <si>
    <t>ESTERILES</t>
  </si>
  <si>
    <t>TOTAL # DOSIS</t>
  </si>
  <si>
    <t>Vo.Bo. Despachos</t>
  </si>
  <si>
    <t>FECHA Y HORA</t>
  </si>
  <si>
    <t>AREA DE DESPACHO</t>
  </si>
  <si>
    <t>DESPACHADOR</t>
  </si>
  <si>
    <t>OBSERVACIONES</t>
  </si>
  <si>
    <t>AREA DE TRANSPORTE</t>
  </si>
  <si>
    <t>TRANSPORTADOR</t>
  </si>
  <si>
    <t>OBSEVACIONES</t>
  </si>
  <si>
    <t>AREA DE CLIENTE</t>
  </si>
  <si>
    <t>QUIEN RECIBE</t>
  </si>
  <si>
    <t>H. DE LLEGADA DEL TRANSPORTADOR</t>
  </si>
  <si>
    <t>H. FIN DE LA RECEPCION TECNICA</t>
  </si>
  <si>
    <t>FIRMA / SELLO QUIEN RECIBE</t>
  </si>
  <si>
    <t xml:space="preserve">Este Documento da por aceptado el servicio prestado por Unidossis S.A.S La firma de cualquier Funcionario se entiende como aceptada por nuestro cliente. </t>
  </si>
  <si>
    <t>CONVENCIONES</t>
  </si>
  <si>
    <t>NPTAS:  Nutrición adulto sin lípidos</t>
  </si>
  <si>
    <t xml:space="preserve">FECHA SOLICITUD: </t>
  </si>
  <si>
    <t xml:space="preserve">VoBo Desp. </t>
  </si>
  <si>
    <t>FECHA PRODUCCION</t>
  </si>
  <si>
    <t>LINEA:</t>
  </si>
  <si>
    <t>DIRECCION:</t>
  </si>
  <si>
    <t>INFUSOR 2:4:6</t>
  </si>
  <si>
    <t>INFUSOR 5:7:12</t>
  </si>
  <si>
    <t>FAST CENTRO MEDICO</t>
  </si>
  <si>
    <t xml:space="preserve"> COMUNES</t>
  </si>
  <si>
    <t>-</t>
  </si>
  <si>
    <t>CLIENTE</t>
  </si>
  <si>
    <t>CLINICA JORGE PIÑEROS CORPAS</t>
  </si>
  <si>
    <t xml:space="preserve">CLINICA MATERNO INFANTIL </t>
  </si>
  <si>
    <t>CLINICA VERAGUAS</t>
  </si>
  <si>
    <t>CLINICA SANTA BIBIANA</t>
  </si>
  <si>
    <t>CLINICA MATERNIDAD</t>
  </si>
  <si>
    <t>CLINICA SANTA ROSA DE LIMA</t>
  </si>
  <si>
    <t>HOSPITAL SIMON BOLIVAR</t>
  </si>
  <si>
    <t>HOSPITAL SAN JOSE</t>
  </si>
  <si>
    <t>I.P.S. HACES INVERSIONES Y SERVICIOS S.A. BHM</t>
  </si>
  <si>
    <t>SHEC NORTE</t>
  </si>
  <si>
    <t>SHEC POLICARPA</t>
  </si>
  <si>
    <t>LOTES</t>
  </si>
  <si>
    <t>MEDICAL PROINFO</t>
  </si>
  <si>
    <t>UCI PED</t>
  </si>
  <si>
    <t>6 SUR</t>
  </si>
  <si>
    <t>6 NORTE</t>
  </si>
  <si>
    <t>HOSP</t>
  </si>
  <si>
    <t>AMB</t>
  </si>
  <si>
    <t>UCI</t>
  </si>
  <si>
    <t>PISO 7</t>
  </si>
  <si>
    <t>PISO 5</t>
  </si>
  <si>
    <t>PISO 3</t>
  </si>
  <si>
    <t>RADICADO</t>
  </si>
  <si>
    <t>CLINICA LLANOS</t>
  </si>
  <si>
    <t>SHEC</t>
  </si>
  <si>
    <t>IV ESTERILES</t>
  </si>
  <si>
    <t>CLINICA CANDELARIA PRINCIPAL</t>
  </si>
  <si>
    <t>119.10</t>
  </si>
  <si>
    <t>Jer 10mg/1mL</t>
  </si>
  <si>
    <t>HOSPITAL TUNAL</t>
  </si>
  <si>
    <t>URN</t>
  </si>
  <si>
    <t xml:space="preserve"> INFUSOR SSN 0,9 %  300 ML A 4 CC/H</t>
  </si>
  <si>
    <t>PEDIATRIA PISO</t>
  </si>
  <si>
    <t>INTERMEDIO PEDIATRIA</t>
  </si>
  <si>
    <t>UCI PEDIATRIA</t>
  </si>
  <si>
    <t>HOSPITAL SANTA CLARA</t>
  </si>
  <si>
    <t>CLINICA QX</t>
  </si>
  <si>
    <t>COLISTINA</t>
  </si>
  <si>
    <t>FLUCONAZOL</t>
  </si>
  <si>
    <t>Vial 200 mg</t>
  </si>
  <si>
    <t xml:space="preserve"> INFUSOR SSN 0,9 %  290 ML A 12 CC/H</t>
  </si>
  <si>
    <t>DIEGO SALAZAR</t>
  </si>
  <si>
    <t>NOMBRES</t>
  </si>
  <si>
    <t>Envase</t>
  </si>
  <si>
    <t>URGENCIA PED</t>
  </si>
  <si>
    <t>CLINICA DE ESPECIALISTAS</t>
  </si>
  <si>
    <t>POLIMIXINA B</t>
  </si>
  <si>
    <t>Vial 500000 UI</t>
  </si>
  <si>
    <t>VA</t>
  </si>
  <si>
    <t>._.</t>
  </si>
  <si>
    <t>FECHA VTO HSJ</t>
  </si>
  <si>
    <t>CONCENTRACION HSJ</t>
  </si>
  <si>
    <t>UNIDADES</t>
  </si>
  <si>
    <t>VOL TOTAL</t>
  </si>
  <si>
    <t>GOTEO (mL/h)</t>
  </si>
  <si>
    <t>VOL TOTAL (mL)</t>
  </si>
  <si>
    <t>HC</t>
  </si>
  <si>
    <t>BOLSA X 50 mL</t>
  </si>
  <si>
    <t>Ident.</t>
  </si>
  <si>
    <t>Frec.</t>
  </si>
  <si>
    <t>69.1</t>
  </si>
  <si>
    <t xml:space="preserve"> Vial 250 mg</t>
  </si>
  <si>
    <t>C. SCOOP LLANOS/SCOOP/SHEC</t>
  </si>
  <si>
    <t>C. SCOOP LLANOS/SCOOP/2DO PISO AD</t>
  </si>
  <si>
    <t>C. SCOOP LLANOS/SCOOP/2DO PISO PED</t>
  </si>
  <si>
    <t>C. SCOOP LLANOS/SCOOP/3ER PISO HOSP</t>
  </si>
  <si>
    <t>ADULTO PISO</t>
  </si>
  <si>
    <t>43.1</t>
  </si>
  <si>
    <t>Amp 160 mg</t>
  </si>
  <si>
    <t>CODIGO 
MEDICAMENTO</t>
  </si>
  <si>
    <t xml:space="preserve">DESCRIPCION DEL 
MEDICAMENTO </t>
  </si>
  <si>
    <t>CANTIDAD 
FORMULADA</t>
  </si>
  <si>
    <t>CONSECUTIVO 
TRANSACCION</t>
  </si>
  <si>
    <t>CANTIDAD 
PRODUCCION</t>
  </si>
  <si>
    <t>APROV</t>
  </si>
  <si>
    <t>WPADILLA</t>
  </si>
  <si>
    <t>CLINICA GIRARDOT</t>
  </si>
  <si>
    <t>IBAGUE</t>
  </si>
  <si>
    <t>609.1</t>
  </si>
  <si>
    <t>SANTA MARIA</t>
  </si>
  <si>
    <t>IV HSB</t>
  </si>
  <si>
    <t>IV HSJ</t>
  </si>
  <si>
    <t>IV GIRARDOT</t>
  </si>
  <si>
    <t>IV HACES</t>
  </si>
  <si>
    <t>IV FAST</t>
  </si>
  <si>
    <t>IV HSC SANTA MARIA</t>
  </si>
  <si>
    <t>IV HSC PED PISO</t>
  </si>
  <si>
    <t>IV HSC PED INT</t>
  </si>
  <si>
    <t>IV HSC PED UCI</t>
  </si>
  <si>
    <t>IV HSC PED SAN RAFAEL</t>
  </si>
  <si>
    <t>IV ESPECIALISTAS</t>
  </si>
  <si>
    <t>IV LLANOS SHEC</t>
  </si>
  <si>
    <t>IV LLANOS SHEC 2DO PISO AD</t>
  </si>
  <si>
    <t>IV LLANOS SHEC 2DO PISO PED</t>
  </si>
  <si>
    <t>IV LLANOS SHEC3ER PISO HOSP</t>
  </si>
  <si>
    <t>IV JPC UCI PED</t>
  </si>
  <si>
    <t>IV JPC SEXTO NORTE</t>
  </si>
  <si>
    <t>IV JPC SEXTO SUR</t>
  </si>
  <si>
    <t>IV MATERNO UCI</t>
  </si>
  <si>
    <t>IV VERAGUAS</t>
  </si>
  <si>
    <t>IV SANTA BIBIANA PISO 3</t>
  </si>
  <si>
    <t>IV SANTA BIBIANA PISO 5</t>
  </si>
  <si>
    <t>IV SANTA BIBIANA PISO 7</t>
  </si>
  <si>
    <t>IV SANTA BIBIANA UCI</t>
  </si>
  <si>
    <t>IV CENTRO</t>
  </si>
  <si>
    <t>IV CSRL</t>
  </si>
  <si>
    <t>IV SHEC NORTE</t>
  </si>
  <si>
    <t>IV SHEC POLICARPA</t>
  </si>
  <si>
    <t>IV CANDELARIA PRINCIPAL</t>
  </si>
  <si>
    <t>NEIVA</t>
  </si>
  <si>
    <t>IV HSC QX</t>
  </si>
  <si>
    <t xml:space="preserve"> FR PD 001</t>
  </si>
  <si>
    <t>INFUSOR</t>
  </si>
  <si>
    <t>3914.1</t>
  </si>
  <si>
    <t>TAZOCIN</t>
  </si>
  <si>
    <t>609.2</t>
  </si>
  <si>
    <t>MERONEM</t>
  </si>
  <si>
    <t>609.3</t>
  </si>
  <si>
    <t>UNASYN</t>
  </si>
  <si>
    <t>602.1</t>
  </si>
  <si>
    <t>603.1</t>
  </si>
  <si>
    <t>IV HSC PED URG</t>
  </si>
  <si>
    <t>SAN RAFAEL</t>
  </si>
  <si>
    <t>URGENCIA</t>
  </si>
  <si>
    <t>POST</t>
  </si>
  <si>
    <t>SANTA INES</t>
  </si>
  <si>
    <t>UCI 2 PISO</t>
  </si>
  <si>
    <t>IV HSC SANTA INES</t>
  </si>
  <si>
    <t>IV HSC UCI 2 PISO</t>
  </si>
  <si>
    <t>IV IBAGUE SHEC</t>
  </si>
  <si>
    <t>HSJ_ID_FN</t>
  </si>
  <si>
    <t>EPS o F. Nac</t>
  </si>
  <si>
    <t>612.1</t>
  </si>
  <si>
    <t>3914.2</t>
  </si>
  <si>
    <t>IV IBAGUE PISO 4</t>
  </si>
  <si>
    <t>7 PISO</t>
  </si>
  <si>
    <t>IV JPC 7 PISO</t>
  </si>
  <si>
    <t>Vial 30 mg</t>
  </si>
  <si>
    <t>PAMIDRONATO</t>
  </si>
  <si>
    <t>[ ] HSC</t>
  </si>
  <si>
    <t>Do  - Vol 
HSJ</t>
  </si>
  <si>
    <t>Do  - Vol 
HSC</t>
  </si>
  <si>
    <t>36226.1</t>
  </si>
  <si>
    <t>Amp 20mg/mL</t>
  </si>
  <si>
    <t>HOSPITAL SAN RAFAEL</t>
  </si>
  <si>
    <t xml:space="preserve">PED </t>
  </si>
  <si>
    <t>IV HSR ET PED</t>
  </si>
  <si>
    <t>IV HSR ET PISO 3</t>
  </si>
  <si>
    <t>CENTRO</t>
  </si>
  <si>
    <t>CSRL</t>
  </si>
  <si>
    <t>ETQ</t>
  </si>
  <si>
    <t>GIRARDOT</t>
  </si>
  <si>
    <t xml:space="preserve">NORTE </t>
  </si>
  <si>
    <t xml:space="preserve">SUR </t>
  </si>
  <si>
    <t>HSJ</t>
  </si>
  <si>
    <t>HSB</t>
  </si>
  <si>
    <t>CANDELARIA</t>
  </si>
  <si>
    <t>HACES</t>
  </si>
  <si>
    <t>FAST</t>
  </si>
  <si>
    <t>ESPECIALISTAS</t>
  </si>
  <si>
    <t>PISO 2 AD</t>
  </si>
  <si>
    <t>PISO 2 PED</t>
  </si>
  <si>
    <t>PISO 3 HOSP</t>
  </si>
  <si>
    <t>HSR PED</t>
  </si>
  <si>
    <t>HSR PISO 3</t>
  </si>
  <si>
    <t>VERAGUAS</t>
  </si>
  <si>
    <t>JPC 7 PISO</t>
  </si>
  <si>
    <t>JPC UCI</t>
  </si>
  <si>
    <t>JPC 6 NORTE</t>
  </si>
  <si>
    <t>JPC 6 SUR</t>
  </si>
  <si>
    <t>MATERNO UCI</t>
  </si>
  <si>
    <t>CSB PISO 3</t>
  </si>
  <si>
    <t>CSB PISO 5</t>
  </si>
  <si>
    <t>CSB PISO 7</t>
  </si>
  <si>
    <t>CSB UCI</t>
  </si>
  <si>
    <t>IBAGUE PISO 4</t>
  </si>
  <si>
    <t>IBAGUE SHEC</t>
  </si>
  <si>
    <t>HSC PISO</t>
  </si>
  <si>
    <t>HSC UCI</t>
  </si>
  <si>
    <t>HSC INT</t>
  </si>
  <si>
    <t>HSC URG</t>
  </si>
  <si>
    <t>HSC SAN RAFAEL</t>
  </si>
  <si>
    <t>HSC SANTA MARIA</t>
  </si>
  <si>
    <t>HSC QX</t>
  </si>
  <si>
    <t>HSC SANTA INES</t>
  </si>
  <si>
    <t>HSC UCI PISO 2</t>
  </si>
  <si>
    <t>Cant. Medic.</t>
  </si>
  <si>
    <t>Cod</t>
  </si>
  <si>
    <t>PISO 4</t>
  </si>
  <si>
    <t>CLINICA POLICARPA</t>
  </si>
  <si>
    <t>AMPICILINA SODICA</t>
  </si>
  <si>
    <t>Amp 20 mg</t>
  </si>
  <si>
    <t>Total 
Unidosis</t>
  </si>
  <si>
    <t>C. NORTE</t>
  </si>
  <si>
    <t>IV C. NORTE</t>
  </si>
  <si>
    <t>CLINICA NORTE SCOOP</t>
  </si>
  <si>
    <t>IV JPC</t>
  </si>
  <si>
    <t>JPC</t>
  </si>
  <si>
    <t>UCI ADULTO NORTE</t>
  </si>
  <si>
    <t>UCI ADULTO SUR</t>
  </si>
  <si>
    <t>IV UCI ADULTO NORTE</t>
  </si>
  <si>
    <t>IV UCI ADULTO SUR</t>
  </si>
  <si>
    <t>UCI A NORTE</t>
  </si>
  <si>
    <t>UCI A SUR</t>
  </si>
  <si>
    <t>IV POLICARPA PISO 3</t>
  </si>
  <si>
    <t>IV POLICARPA PISO 4</t>
  </si>
  <si>
    <t>UCI CORONARIA</t>
  </si>
  <si>
    <t>IV UCI CORONARIA</t>
  </si>
  <si>
    <t>3 NORTE</t>
  </si>
  <si>
    <t>IV JPC 3 NORTE</t>
  </si>
  <si>
    <t>JPC 3 NORTE</t>
  </si>
  <si>
    <t>3 SUR</t>
  </si>
  <si>
    <t>IV JPC 3 SUR</t>
  </si>
  <si>
    <t>JPC 3 SUR</t>
  </si>
  <si>
    <t>4 NORTE</t>
  </si>
  <si>
    <t>IV JPC 4 NORTE</t>
  </si>
  <si>
    <t>JPC 4 NORTE</t>
  </si>
  <si>
    <t>4 SUR</t>
  </si>
  <si>
    <t>IV JPC 4 SUR</t>
  </si>
  <si>
    <t>JPC 4 SUR</t>
  </si>
  <si>
    <t>Proteger de la Luz. No Refrigere</t>
  </si>
  <si>
    <t>Proteger de la Luz.</t>
  </si>
  <si>
    <t>Tempert. Ambiente</t>
  </si>
  <si>
    <t>REFRIGERAR. Proteger de la Luz</t>
  </si>
  <si>
    <t>Proteger de la Luz</t>
  </si>
  <si>
    <t>No Refrigerar</t>
  </si>
  <si>
    <t>Proteger de la luz</t>
  </si>
  <si>
    <t>VIA ADMON</t>
  </si>
  <si>
    <t>I.V.</t>
  </si>
  <si>
    <t>IV SOLO INFUSION IV</t>
  </si>
  <si>
    <t xml:space="preserve"> REC. IM-IV DIL.</t>
  </si>
  <si>
    <t>REC. IM-IV DIL.</t>
  </si>
  <si>
    <t>INF.IV</t>
  </si>
  <si>
    <t>IM-IV-IA-IL-ID</t>
  </si>
  <si>
    <t>IM-IV-IART</t>
  </si>
  <si>
    <t>IM-SC-IV</t>
  </si>
  <si>
    <t>IM-IART-PART-IBURSAL-IDERM-ILES</t>
  </si>
  <si>
    <t>IM-IV-SC</t>
  </si>
  <si>
    <t>SOLO INF.I.V.</t>
  </si>
  <si>
    <t>IM-REEN. IV-DIL</t>
  </si>
  <si>
    <t>conservacion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</si>
  <si>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</si>
  <si>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CLINICA NORTE/SCOOP</t>
  </si>
  <si>
    <t>SHEC NORTE/SCOOP</t>
  </si>
  <si>
    <t>SHEC POLICARPA/SCOOP</t>
  </si>
  <si>
    <t>C.JPC/SCOOP</t>
  </si>
  <si>
    <t>C.JPC/UCI PED/SCOOP</t>
  </si>
  <si>
    <t>C.JPC/SEXTO NTE/SCOOP</t>
  </si>
  <si>
    <t>C.JPC/SEXTO SUR/SCOOP</t>
  </si>
  <si>
    <t>C.JPC/SEPTIMO P/SCOOP</t>
  </si>
  <si>
    <t>C.JPC/TERCER NTE/SCOOP</t>
  </si>
  <si>
    <t>C.JPC/TERCER SUR/SCOOP</t>
  </si>
  <si>
    <t>C.JPC/CUARTO NTE/SCOOP</t>
  </si>
  <si>
    <t>C.JPC/CUARTO SUR/SCOOP</t>
  </si>
  <si>
    <t>C.JPC/UCI CORONAR/SCOOP</t>
  </si>
  <si>
    <t>C.VERAGUAS/SCOOP</t>
  </si>
  <si>
    <t>C.STA BIBIANA/PISO 3/SCOOP</t>
  </si>
  <si>
    <t>C.STA BIBIANA/PISO 5/SCOOP</t>
  </si>
  <si>
    <t>C.STA BIBIANA/PISO 7/SCOOP</t>
  </si>
  <si>
    <t>C.STA BIBIANA/UCI/SCOOP</t>
  </si>
  <si>
    <t>C.MATERNIDAD CENTRO/SCOOP</t>
  </si>
  <si>
    <t>C.STA ROSA DE LIMA/SCOOP</t>
  </si>
  <si>
    <t>C.IBAGUE/SHEC/SCOOP</t>
  </si>
  <si>
    <t>C.GIRARDOT/SCOOP</t>
  </si>
  <si>
    <t>C.IBAGUE/PISO 4/SCOOP</t>
  </si>
  <si>
    <t>C.POLICARPA/PISO 3/SCOOP</t>
  </si>
  <si>
    <t>C.POLICARPA/PISO 4/SCOOP</t>
  </si>
  <si>
    <t>H.SIMON BOLIVAR/E.S.E.</t>
  </si>
  <si>
    <t>C.CANDELARIA PRINCIPAL</t>
  </si>
  <si>
    <t>H.STA CLARA/PED PISO</t>
  </si>
  <si>
    <t>H.STA CLARA/UCI PED</t>
  </si>
  <si>
    <t>H.STA CLARA/INTERMEDIO PED</t>
  </si>
  <si>
    <t>H.STA CLARA/URG PED</t>
  </si>
  <si>
    <t>H.STA CLARA/SAN RAFAEL</t>
  </si>
  <si>
    <t>H.STA CLARA/SANTA MARIA</t>
  </si>
  <si>
    <t>H.STA CLARA/QUIRURGICAS</t>
  </si>
  <si>
    <t>H.STA CLARA/SANTA INES</t>
  </si>
  <si>
    <t>H.STA CLARA/UCI 2 PISO</t>
  </si>
  <si>
    <t>I.P.S. HACES INVERSIONES/BHM</t>
  </si>
  <si>
    <t>H.SAN RAFAEL ESPINAL TOLIMA/PED</t>
  </si>
  <si>
    <t>H.SAN RAFAEL ESPINAL TOLIMA/PISO 3</t>
  </si>
  <si>
    <t>C.MATERNO INF/UCI/SCOOP</t>
  </si>
  <si>
    <r>
      <t xml:space="preserve">C.JPC/UCI </t>
    </r>
    <r>
      <rPr>
        <b/>
        <sz val="10"/>
        <color theme="1"/>
        <rFont val="Arial"/>
        <family val="2"/>
      </rPr>
      <t>AD.</t>
    </r>
    <r>
      <rPr>
        <sz val="10"/>
        <color theme="1"/>
        <rFont val="Arial"/>
        <family val="2"/>
      </rPr>
      <t xml:space="preserve"> NTE/SCOOP</t>
    </r>
  </si>
  <si>
    <r>
      <t xml:space="preserve">C.JPC/UCI </t>
    </r>
    <r>
      <rPr>
        <b/>
        <sz val="10"/>
        <color theme="1"/>
        <rFont val="Arial"/>
        <family val="2"/>
      </rPr>
      <t>AD.</t>
    </r>
    <r>
      <rPr>
        <sz val="10"/>
        <color theme="1"/>
        <rFont val="Arial"/>
        <family val="2"/>
      </rPr>
      <t xml:space="preserve"> SUR/SCOOP</t>
    </r>
  </si>
  <si>
    <t>CONTROLADO</t>
  </si>
  <si>
    <t>HOSPITAL SAN JOSE CENTRO</t>
  </si>
  <si>
    <t>SSN 0,9 %</t>
  </si>
  <si>
    <t>DAD 5%</t>
  </si>
  <si>
    <t>I.V. IM</t>
  </si>
  <si>
    <t>REFRIGERAR-Proteger de la Luz</t>
  </si>
  <si>
    <t>IV</t>
  </si>
  <si>
    <t xml:space="preserve"> Proteger de la luz</t>
  </si>
  <si>
    <t xml:space="preserve">IV-IM </t>
  </si>
  <si>
    <t>IV-IM-IT</t>
  </si>
  <si>
    <t>ESTAB. 2-8°C DIAS</t>
  </si>
  <si>
    <t>ESTAB. TA DIAS</t>
  </si>
  <si>
    <t>LABORATORIO</t>
  </si>
  <si>
    <t>MARCA</t>
  </si>
  <si>
    <t>DEXT 5%</t>
  </si>
  <si>
    <t>LACTATO RINGER</t>
  </si>
  <si>
    <t>24 H</t>
  </si>
  <si>
    <t xml:space="preserve">RECONSTITUIDO EN 10 ML, USO INMEDIATO </t>
  </si>
  <si>
    <t>ISAVIR</t>
  </si>
  <si>
    <t>8 H</t>
  </si>
  <si>
    <t>FARMALOGICA</t>
  </si>
  <si>
    <t>X</t>
  </si>
  <si>
    <t xml:space="preserve">48 H </t>
  </si>
  <si>
    <t>6 HORAS</t>
  </si>
  <si>
    <t>12 H T.A</t>
  </si>
  <si>
    <t>72 H</t>
  </si>
  <si>
    <t>16 DIAS CONC FINAL 2MG/ML</t>
  </si>
  <si>
    <t>LAB. RYAN</t>
  </si>
  <si>
    <t>ABBOUT</t>
  </si>
  <si>
    <t>CHALVER</t>
  </si>
  <si>
    <t>48 H</t>
  </si>
  <si>
    <t>12H</t>
  </si>
  <si>
    <t>NOVARTIS</t>
  </si>
  <si>
    <t>CUBICIN</t>
  </si>
  <si>
    <t>PISA</t>
  </si>
  <si>
    <t>TRENPE</t>
  </si>
  <si>
    <t xml:space="preserve">ESTABLE 48 H </t>
  </si>
  <si>
    <t>8 HORAS</t>
  </si>
  <si>
    <t>FARMIONI</t>
  </si>
  <si>
    <t>24 H SSN</t>
  </si>
  <si>
    <t>12 H</t>
  </si>
  <si>
    <t xml:space="preserve">12 H </t>
  </si>
  <si>
    <t>LAB. SANDERSON</t>
  </si>
  <si>
    <t>LAB. CELON</t>
  </si>
  <si>
    <t>VANAURUS</t>
  </si>
  <si>
    <t>REFIGERAR</t>
  </si>
  <si>
    <t xml:space="preserve"> TRISSEL</t>
  </si>
  <si>
    <t>TRISSEL-LAB. PISA</t>
  </si>
  <si>
    <t xml:space="preserve">TRISSEL </t>
  </si>
  <si>
    <t>TRISSEL</t>
  </si>
  <si>
    <t>3914.3</t>
  </si>
  <si>
    <t>54.1</t>
  </si>
  <si>
    <t>MDURANGO</t>
  </si>
  <si>
    <t>LOTE SCOOP</t>
  </si>
  <si>
    <t>C.MATERNO INF/4 P./SCOOP</t>
  </si>
  <si>
    <t>MATERNO 4 PISO</t>
  </si>
  <si>
    <t>IV MATERNO 4 PISO</t>
  </si>
  <si>
    <t>KETAMINA</t>
  </si>
  <si>
    <t>ICAMACHO</t>
  </si>
  <si>
    <t>PIPERACILINA+TZB (TAZOCIN)</t>
  </si>
  <si>
    <t>612.2</t>
  </si>
  <si>
    <t>VANCOMICINA (VANCOMICYN)</t>
  </si>
  <si>
    <t>AMPICILINA+SBT (UNASYN)</t>
  </si>
  <si>
    <t>609.4</t>
  </si>
  <si>
    <t>MEROPENEM (MERONEM)</t>
  </si>
  <si>
    <t>Amp 1000000 UI</t>
  </si>
  <si>
    <t>30692.1</t>
  </si>
  <si>
    <t>Amp 100 mg</t>
  </si>
  <si>
    <t>602.2</t>
  </si>
  <si>
    <t>496.1</t>
  </si>
  <si>
    <t>Amp x 1 mg/0,5 mL</t>
  </si>
  <si>
    <t>HOSPITAL TUNAL / UCIN</t>
  </si>
  <si>
    <t>HOSPITAL TUNAL / UCI P</t>
  </si>
  <si>
    <t>INSTITUTO DE CORAZON SEDE BOGOTA</t>
  </si>
  <si>
    <t>INST. DEL CORAZON</t>
  </si>
  <si>
    <t>ADULTOS</t>
  </si>
  <si>
    <t>426.1</t>
  </si>
  <si>
    <t>CEFTRIAXONA (ROCEFIN)</t>
  </si>
  <si>
    <t>602.3</t>
  </si>
  <si>
    <t>C. NEIVA/UCIN/SCOOP</t>
  </si>
  <si>
    <t>C. NEIVA/MEDICINA INT/SCOOP</t>
  </si>
  <si>
    <t>IV NEIVA UCIN</t>
  </si>
  <si>
    <t>IV NEIVA MEDICINA INT</t>
  </si>
  <si>
    <t>IV TUNAL UCIP</t>
  </si>
  <si>
    <t>IV TUNAL UCIN</t>
  </si>
  <si>
    <t>JGARCIA</t>
  </si>
  <si>
    <t>MCASTILLA</t>
  </si>
  <si>
    <t>ERROR</t>
  </si>
  <si>
    <t>O.O</t>
  </si>
  <si>
    <t>\\10.44.1.22\TSC IMP 5</t>
  </si>
  <si>
    <t>CARPETA</t>
  </si>
  <si>
    <t>RICOH Aficio Produccion1</t>
  </si>
  <si>
    <t>SUB_CARPETAS</t>
  </si>
  <si>
    <t>\JPC\PEDIATRIA\</t>
  </si>
  <si>
    <t>\JPC\ADULTO\</t>
  </si>
  <si>
    <t>\MATERNO\</t>
  </si>
  <si>
    <t>\VERAGUAS\</t>
  </si>
  <si>
    <t>\SHEC NORTE\</t>
  </si>
  <si>
    <t>\SHEC SUR\</t>
  </si>
  <si>
    <t>\POLICARPA\</t>
  </si>
  <si>
    <t>Nombre archivo:</t>
  </si>
  <si>
    <t># impr:</t>
  </si>
  <si>
    <t>Impre:</t>
  </si>
  <si>
    <t>Ruta:</t>
  </si>
  <si>
    <t>Impresora:</t>
  </si>
  <si>
    <t xml:space="preserve"># impr: </t>
  </si>
  <si>
    <t>Nombre impresora:</t>
  </si>
  <si>
    <t>CARP -&gt; DIA</t>
  </si>
  <si>
    <t>G</t>
  </si>
  <si>
    <t>OTROS ETQ</t>
  </si>
  <si>
    <t>Q.F. CALIDAD</t>
  </si>
  <si>
    <t>Q.F. RESP</t>
  </si>
  <si>
    <t>HORA SOL</t>
  </si>
  <si>
    <t>Q.F. PRODUCCION</t>
  </si>
  <si>
    <t>IV TUNAL PED PISO</t>
  </si>
  <si>
    <t>HOSPITAL TUNAL / PED PISO</t>
  </si>
  <si>
    <t xml:space="preserve"> PRODUCCION</t>
  </si>
  <si>
    <t xml:space="preserve"> CARPETA CALIDAD</t>
  </si>
  <si>
    <t>S:\ESTERILES\IV SCOOP JPC-MATERNO-VERAGUAS-CPOLICARPA\</t>
  </si>
  <si>
    <t>S:\ESTERILES\IV SCOOP CLINICA SANTA BIBIANA\</t>
  </si>
  <si>
    <t>S:\ESTERILES\IV SCOOP CLINICA CENTRO MATERNIDAD\</t>
  </si>
  <si>
    <t>S:\ESTERILES\IV SCOOP CLINICA SANTA ROSA\</t>
  </si>
  <si>
    <t>S:\ESTERILES\IV SCOOP CLINICA NORTE\</t>
  </si>
  <si>
    <t>S:\ESTERILES\IV SCOOP IBAGUE\</t>
  </si>
  <si>
    <t>S:\ESTERILES\IV SCOOP CLINICA GIRARDOT\</t>
  </si>
  <si>
    <t>S:\ESTERILES\IV SCOOP NEIVA\</t>
  </si>
  <si>
    <t>S:\ESTERILES\IV SCOOP SHEC\</t>
  </si>
  <si>
    <t>S:\ESTERILES\IV HOSPITAL SAN JOSE\</t>
  </si>
  <si>
    <t>S:\ESTERILES\IV HOSPITAL SIMON BOLIVAR\</t>
  </si>
  <si>
    <t>S:\ESTERILES\IV CLINICA CANDELARIA\</t>
  </si>
  <si>
    <t>S:\ESTERILES\IV HOSPITAL TUNAL\</t>
  </si>
  <si>
    <t>S:\ESTERILES\IV HOSPITAL SANTA CLARA\</t>
  </si>
  <si>
    <t>S:\ESTERILES\IV HACES Y SERVICIO\</t>
  </si>
  <si>
    <t>S:\ESTERILES\IV INSTITUTO DEL CORAZON SEDE BOGOTA\</t>
  </si>
  <si>
    <t>S:\ESTERILES\IV HOSPITAL SAN RAFAEL ESPINAL TOLIMA\</t>
  </si>
  <si>
    <t xml:space="preserve"> CALIDAD</t>
  </si>
  <si>
    <t>S:\LOTES\</t>
  </si>
  <si>
    <t>Ruta_2:</t>
  </si>
  <si>
    <t>NEIVA INT</t>
  </si>
  <si>
    <t>TUNAL UCIP</t>
  </si>
  <si>
    <t>TUNAL UCIN</t>
  </si>
  <si>
    <t>TUNAL PISO</t>
  </si>
  <si>
    <t>NOMBRE</t>
  </si>
  <si>
    <t>MED</t>
  </si>
  <si>
    <t>VALIDACION</t>
  </si>
  <si>
    <t>1_C.JPC/UCI PED/SCOOP</t>
  </si>
  <si>
    <t>C.MATERNO INF/6 P./SCOOP</t>
  </si>
  <si>
    <t>MATERNO 6 PISO</t>
  </si>
  <si>
    <t>IV MATERNO 6 PISO</t>
  </si>
  <si>
    <t>37_C.JPC/SCOOP</t>
  </si>
  <si>
    <t>59_I.P.S. HACES INVERSIONES/BHM</t>
  </si>
  <si>
    <t>60_FAST CENTRO MEDICO</t>
  </si>
  <si>
    <t>62_INSTITUTO DE CORAZON SEDE BOGOTA</t>
  </si>
  <si>
    <t>63_CLINICA DE ESPECIALISTAS</t>
  </si>
  <si>
    <t>65_H.SAN RAFAEL ESPINAL TOLIMA/PED</t>
  </si>
  <si>
    <t>66_H.SAN RAFAEL ESPINAL TOLIMA/PISO 3</t>
  </si>
  <si>
    <t>68_C. SCOOP LLANOS/SCOOP/SHEC</t>
  </si>
  <si>
    <t>69_C. SCOOP LLANOS/SCOOP/2DO PISO AD</t>
  </si>
  <si>
    <t>70_C. SCOOP LLANOS/SCOOP/2DO PISO PED</t>
  </si>
  <si>
    <t>71_C. SCOOP LLANOS/SCOOP/3ER PISO HOSP</t>
  </si>
  <si>
    <t>No._CLIENTES</t>
  </si>
  <si>
    <t>SN_C.JPC/SEXTO NTE/SCOOP</t>
  </si>
  <si>
    <t>SS_C.JPC/SEXTO SUR/SCOOP</t>
  </si>
  <si>
    <t>7_C.JPC/SEPTIMO P/SCOOP</t>
  </si>
  <si>
    <t>TN_C.JPC/TERCER NTE/SCOOP</t>
  </si>
  <si>
    <t>TS_C.JPC/TERCER SUR/SCOOP</t>
  </si>
  <si>
    <t>CN_C.JPC/CUARTO NTE/SCOOP</t>
  </si>
  <si>
    <t>CS_C.JPC/CUARTO SUR/SCOOP</t>
  </si>
  <si>
    <t>UN_C.JPC/UCI AD. NTE/SCOOP</t>
  </si>
  <si>
    <t>US_C.JPC/UCI AD. SUR/SCOOP</t>
  </si>
  <si>
    <t>MU_C.MATERNO INF/UCI/SCOOP</t>
  </si>
  <si>
    <t>M4_C.MATERNO INF/4 P./SCOOP</t>
  </si>
  <si>
    <t>M6_C.MATERNO INF/6 P./SCOOP</t>
  </si>
  <si>
    <t>VER_C.VERAGUAS/SCOOP</t>
  </si>
  <si>
    <t>B3_C.STA BIBIANA/PISO 3/SCOOP</t>
  </si>
  <si>
    <t>B5_C.STA BIBIANA/PISO 5/SCOOP</t>
  </si>
  <si>
    <t>B7_C.STA BIBIANA/PISO 7/SCOOP</t>
  </si>
  <si>
    <t>G_C.GIRARDOT/SCOOP</t>
  </si>
  <si>
    <t>NU_C. NEIVA/UCIN/SCOOP</t>
  </si>
  <si>
    <t>NM_C. NEIVA/MEDICINA INT/SCOOP</t>
  </si>
  <si>
    <t>P3_C.POLICARPA/PISO 3/SCOOP</t>
  </si>
  <si>
    <t>P4_C.POLICARPA/PISO 4/SCOOP</t>
  </si>
  <si>
    <t>ESE_H.SIMON BOLIVAR/E.S.E.</t>
  </si>
  <si>
    <t>TU_HOSPITAL TUNAL / UCI P</t>
  </si>
  <si>
    <t>TC_HOSPITAL TUNAL / UCIN</t>
  </si>
  <si>
    <t>TP_HOSPITAL TUNAL / PED PISO</t>
  </si>
  <si>
    <t>SP_H.STA CLARA/PED PISO</t>
  </si>
  <si>
    <t>SU_H.STA CLARA/UCI PED</t>
  </si>
  <si>
    <t>SI_H.STA CLARA/INTERMEDIO PED</t>
  </si>
  <si>
    <t>SR_H.STA CLARA/URG PED</t>
  </si>
  <si>
    <t>SSR_H.STA CLARA/SAN RAFAEL</t>
  </si>
  <si>
    <t>SSM_H.STA CLARA/SANTA MARIA</t>
  </si>
  <si>
    <t>SQX_H.STA CLARA/QUIRURGICAS</t>
  </si>
  <si>
    <t>SSI_H.STA CLARA/SANTA INES</t>
  </si>
  <si>
    <t>SU2_H.STA CLARA/UCI 2 PISO</t>
  </si>
  <si>
    <t>CC.MATERNIDAD CENTRO/SCOOP</t>
  </si>
  <si>
    <t>I4_C.IBAGUE/PISO 4/SCOOP</t>
  </si>
  <si>
    <t>IS_C.IBAGUE/SHEC/SCOOP</t>
  </si>
  <si>
    <t>CSRL_C.STA ROSA DE LIMA/SCOOP</t>
  </si>
  <si>
    <t>BU_C.STA BIBIANA/UCI/SCOOP</t>
  </si>
  <si>
    <t>CNO_CLINICA NORTE/SCOOP</t>
  </si>
  <si>
    <t>TRAZA</t>
  </si>
  <si>
    <t>PEDIDO</t>
  </si>
  <si>
    <t>PEDIDO1</t>
  </si>
  <si>
    <t>URG</t>
  </si>
  <si>
    <t>F. SOL</t>
  </si>
  <si>
    <t>HORA</t>
  </si>
  <si>
    <t>F.GRAB</t>
  </si>
  <si>
    <t>SERVICO</t>
  </si>
  <si>
    <t>QF</t>
  </si>
  <si>
    <t>PEDIDO 1</t>
  </si>
  <si>
    <t>Validacion</t>
  </si>
  <si>
    <t>CONSTANTE</t>
  </si>
  <si>
    <t>CONS.INI</t>
  </si>
  <si>
    <t>CONS.FINAL</t>
  </si>
  <si>
    <t>NPT</t>
  </si>
  <si>
    <t>FUNDASALUD</t>
  </si>
  <si>
    <t>KENNEDY</t>
  </si>
  <si>
    <t>MEISSEN</t>
  </si>
  <si>
    <t>HOSP SAN JOSE</t>
  </si>
  <si>
    <t>CLARA</t>
  </si>
  <si>
    <t>BOLIVAR</t>
  </si>
  <si>
    <t>TUNAL</t>
  </si>
  <si>
    <t>MEDICAL</t>
  </si>
  <si>
    <t>MATERNO</t>
  </si>
  <si>
    <t>SANTA BIBIANA</t>
  </si>
  <si>
    <t>S:\NPT\NPT FUNDASALUD\</t>
  </si>
  <si>
    <t>S:\NPT\NPT HOSPITAL KENNEDY\</t>
  </si>
  <si>
    <t>S:\NPT\NPT HOSPITAL MEISSEN\</t>
  </si>
  <si>
    <t>S:\NPT\NPT HOSPITAL SAMARITANA GIRARDOT\</t>
  </si>
  <si>
    <t>S:\NPT\NPT HOSPITAL SAN JOSE\</t>
  </si>
  <si>
    <t>S:\NPT\NPT HOSPITAL SANTA CLARA\</t>
  </si>
  <si>
    <t>S:\NPT\NPT HOSPITAL SIMON BOLIVAR\</t>
  </si>
  <si>
    <t>S:\NPT\NPT HOSPITAL TUNAL\</t>
  </si>
  <si>
    <t>S:\NPT\NPT INSTITUTO DEL CORAZON SEDE BOGOTA\</t>
  </si>
  <si>
    <t>S:\NPT\NPT IPS MEDICAL PRO&amp;NFO\</t>
  </si>
  <si>
    <t>S:\NPT\NPT SCOOP BOGOTA DC\</t>
  </si>
  <si>
    <t>S:\NPT\NPT SCOOP NEIVA\</t>
  </si>
  <si>
    <t>GUARDAR EN</t>
  </si>
  <si>
    <t>GUARDAR COPIA EN</t>
  </si>
  <si>
    <t>CORAZON</t>
  </si>
  <si>
    <t>FR_CC_016</t>
  </si>
  <si>
    <t>FR_CC_016_COPIA</t>
  </si>
  <si>
    <t>ADELTORO</t>
  </si>
  <si>
    <t>CORO_C.JPC/UCI CORONAR/SCOOP</t>
  </si>
  <si>
    <t>\\10.44.1.27\TSC IMP  06</t>
  </si>
  <si>
    <t>\JPC\</t>
  </si>
  <si>
    <t>\STA BIBIANA\</t>
  </si>
  <si>
    <t>VolTotal</t>
  </si>
  <si>
    <t>Do  - Vol 
Original</t>
  </si>
  <si>
    <t>TIPO DE SOL.</t>
  </si>
  <si>
    <t>Adiciona
VolTotal</t>
  </si>
  <si>
    <t>Sustituye
VolDo</t>
  </si>
  <si>
    <t>HOSPITAL U. SAMARITANA</t>
  </si>
  <si>
    <t>IV HUS</t>
  </si>
  <si>
    <t>HUS</t>
  </si>
  <si>
    <t>HUS_HOSPITAL U. SAMARITANA</t>
  </si>
  <si>
    <t>NEO+PED</t>
  </si>
  <si>
    <t>UNIDOSIS</t>
  </si>
  <si>
    <t>HORA SOLICITUD</t>
  </si>
  <si>
    <t>E</t>
  </si>
  <si>
    <t>TIPO DE DOSIS</t>
  </si>
  <si>
    <t>RESPONSABLE ORDEN</t>
  </si>
  <si>
    <t>VO MAGISTRALES</t>
  </si>
  <si>
    <t>RESPONSABLE CALIDAD</t>
  </si>
  <si>
    <t>Q.F.
RESP</t>
  </si>
  <si>
    <t>Codigo</t>
  </si>
  <si>
    <t>Observaciones</t>
  </si>
  <si>
    <t>MAGISTRALES</t>
  </si>
  <si>
    <t>MAGISTRAL VO</t>
  </si>
  <si>
    <t>H. SANTA CLARA/ PED PISO</t>
  </si>
  <si>
    <t>VO HSC PED PISO</t>
  </si>
  <si>
    <t>H. SANTA CLARA/ UCI PED</t>
  </si>
  <si>
    <t>VO HSC PED UCI</t>
  </si>
  <si>
    <t>H. SANTA CLARA/ INTERMEDIO PED</t>
  </si>
  <si>
    <t>VO HSC PED INT</t>
  </si>
  <si>
    <t>H. SANTA CLARA/ SANTA MARIA</t>
  </si>
  <si>
    <t>VO HSC SANTA MARIA</t>
  </si>
  <si>
    <t>H. SANTA CLARA/ QUIRURGICAS</t>
  </si>
  <si>
    <t>VO HSC QX</t>
  </si>
  <si>
    <t>C. J. P. C./ UCI PED /SALUDCOOP</t>
  </si>
  <si>
    <t>VO JPC UCI PED</t>
  </si>
  <si>
    <t>C. J. P. C./ SEXTO NORTE /SALUDCOOP</t>
  </si>
  <si>
    <t>VO JPC SEXTO NORTE</t>
  </si>
  <si>
    <t>C. J. P. C./ SEXTO SUR /SALUDCOOP</t>
  </si>
  <si>
    <t>VO JPC SEXTO SUR</t>
  </si>
  <si>
    <t>C. MATERNO INFANTIL/ UCI /SALUDCOOP</t>
  </si>
  <si>
    <t>VO MATERNO UCI</t>
  </si>
  <si>
    <t>C. MATERNO INFANTIL/ 5 PISO /SALUDCOOP</t>
  </si>
  <si>
    <t>MATERNO 5 PISO</t>
  </si>
  <si>
    <t>VO MATERNO 5 PISO</t>
  </si>
  <si>
    <t>C. VERAGUAS/SALUDCOOP</t>
  </si>
  <si>
    <t>VO VERAGUAS</t>
  </si>
  <si>
    <t>C. SANTA BIBIANA/ PISO 3 /SALUDCOOP</t>
  </si>
  <si>
    <t>VO SANTA BIBIANA PISO 3</t>
  </si>
  <si>
    <t>C. SANTA BIBIANA/ PISO 5 /SALUDCOOP</t>
  </si>
  <si>
    <t>VO SANTA BIBIANA PISO 5</t>
  </si>
  <si>
    <t>C. SANTA BIBIANA/ PISO 7 /SALUDCOOP</t>
  </si>
  <si>
    <t>VO SANTA BIBIANA PISO 7</t>
  </si>
  <si>
    <t>C. SANTA BIBIANA/ UCI /SALUDCOOP</t>
  </si>
  <si>
    <t>VO SANTA BIBIANA UCI</t>
  </si>
  <si>
    <t>C. MATERNIDAD CENTRO/SALUDCOOP</t>
  </si>
  <si>
    <t>VO CENTRO</t>
  </si>
  <si>
    <t>C. SANTA ROSA DE LIMA/SALUDCOOP</t>
  </si>
  <si>
    <t>VO CSRL</t>
  </si>
  <si>
    <t>C. SCOOP IBAGUE/SALUDCOOP</t>
  </si>
  <si>
    <t>VO IBAGUE</t>
  </si>
  <si>
    <t>C. SCOOP GIRARDOT/SALUDCOOP</t>
  </si>
  <si>
    <t>VO GIRARDOT</t>
  </si>
  <si>
    <t>C. SCOOP NEIVA/SALUDCOOP</t>
  </si>
  <si>
    <t>VO NEVOA</t>
  </si>
  <si>
    <t>SHEC NORTE/SALUDCOOP</t>
  </si>
  <si>
    <t>VO SHEC NORTE</t>
  </si>
  <si>
    <t>SHEC POLICARPA/SALUDCOOP</t>
  </si>
  <si>
    <t>VO SHEC POLICARPA</t>
  </si>
  <si>
    <t>VO HSJ</t>
  </si>
  <si>
    <t>H. SIMON BOLIVAR/E.S.E. H.S.B.</t>
  </si>
  <si>
    <t>VO HSB</t>
  </si>
  <si>
    <t>VO CANDELARIA PRINCIPAL</t>
  </si>
  <si>
    <t>VO TUNAL</t>
  </si>
  <si>
    <t>H. BOSA II NIVEL/E.S.E. BOSA II NIVEL</t>
  </si>
  <si>
    <t>HOSPITAL DE BOSA II NIVEL</t>
  </si>
  <si>
    <t>VO BOSA</t>
  </si>
  <si>
    <t>I.P.S. HACES INVERSIONES/BHM HACES INV. S.A.</t>
  </si>
  <si>
    <t>VO HACES</t>
  </si>
  <si>
    <t>VO FAST</t>
  </si>
  <si>
    <t>H. KENNEDY</t>
  </si>
  <si>
    <t>HOK</t>
  </si>
  <si>
    <t>VO HOK</t>
  </si>
  <si>
    <t>VO ESPECIALISTAS</t>
  </si>
  <si>
    <t>VO LLANOS SHEC</t>
  </si>
  <si>
    <t>VO LLANOS SHEC 2DO PISO AD</t>
  </si>
  <si>
    <t>VO LLANOS SHEC 2DO PISO PED</t>
  </si>
  <si>
    <t>VO LLANOS SHEC3ER PISO HOSP</t>
  </si>
  <si>
    <t>AMLODIPINO</t>
  </si>
  <si>
    <t>TAB</t>
  </si>
  <si>
    <t>TAB 5 mg</t>
  </si>
  <si>
    <t>CLONIDINA</t>
  </si>
  <si>
    <t>TAB 150 mcg</t>
  </si>
  <si>
    <t>ENALAPRIL</t>
  </si>
  <si>
    <t>ESPIRONOLACTONA</t>
  </si>
  <si>
    <t>TAB 25mg</t>
  </si>
  <si>
    <t>TAB 40 mg</t>
  </si>
  <si>
    <t>HIDROCLOROTIAZIDA</t>
  </si>
  <si>
    <t>TAB 25 mg</t>
  </si>
  <si>
    <t>TAB 10 mg</t>
  </si>
  <si>
    <t>CAP</t>
  </si>
  <si>
    <t>CAP 20 mg</t>
  </si>
  <si>
    <t>OSELTAMIVIR</t>
  </si>
  <si>
    <t>CAP 75 mg</t>
  </si>
  <si>
    <t>PRAZOCINA</t>
  </si>
  <si>
    <t>TAB 1 mg</t>
  </si>
  <si>
    <t>PREDNISOLONA</t>
  </si>
  <si>
    <t>TAB 150 mg</t>
  </si>
  <si>
    <t>SILDENAFIL</t>
  </si>
  <si>
    <t>TAB 50 mg</t>
  </si>
  <si>
    <t>CAPTOPRIL</t>
  </si>
  <si>
    <t>LEVOTIROXINA</t>
  </si>
  <si>
    <t>TAB 50 mcg</t>
  </si>
  <si>
    <t>PREDNISONA</t>
  </si>
  <si>
    <t xml:space="preserve">ACIDO ACETIL SALICILICO </t>
  </si>
  <si>
    <t>TAB 100 mg</t>
  </si>
  <si>
    <t>PRAZOSIN</t>
  </si>
  <si>
    <t>METOPROLOL</t>
  </si>
  <si>
    <t>WARFARINA</t>
  </si>
  <si>
    <t xml:space="preserve"> RUTA</t>
  </si>
  <si>
    <t>S:\MAGISTRAL HSC CC 016</t>
  </si>
  <si>
    <t>\\Pcunidalm\TSC TTP-247 IMP 5</t>
  </si>
  <si>
    <t>HOSPITAL MEISSEN/UCI NEO</t>
  </si>
  <si>
    <t>HOSPITAL MEISSEN</t>
  </si>
  <si>
    <t>UCI NEONATOS</t>
  </si>
  <si>
    <t>IV H. MEISSEN UCI NEO</t>
  </si>
  <si>
    <t>UCI NEO</t>
  </si>
  <si>
    <t>HOSPITAL MEISSEN/PED</t>
  </si>
  <si>
    <t xml:space="preserve">PEDIATRIA </t>
  </si>
  <si>
    <t>IV H. MEISSEN PED</t>
  </si>
  <si>
    <t>PED</t>
  </si>
  <si>
    <t>HOSPITAL MEISSEN/UCI ADULTO</t>
  </si>
  <si>
    <t>UCI ADULTO</t>
  </si>
  <si>
    <t>IV H. MEISSEN UCI ADULTO</t>
  </si>
  <si>
    <t>F.V.</t>
  </si>
  <si>
    <t>S:\ESTERILES\IV HOSPITAL MEISSEN\</t>
  </si>
  <si>
    <t>COD_MED</t>
  </si>
  <si>
    <t>#Do:</t>
  </si>
  <si>
    <t>300mL A 2mL/h</t>
  </si>
  <si>
    <t>Z</t>
  </si>
  <si>
    <t>IV-IM</t>
  </si>
  <si>
    <t>REFERENCIA</t>
  </si>
  <si>
    <t>ACICLOVIR POLVO SOL. INY. x250mg VIAL x10ml (AMP)</t>
  </si>
  <si>
    <t>AMIKACINA SULFATO SOL. INY. x100mg AMP. x2ml (AMP)</t>
  </si>
  <si>
    <t>AMIKACINA SULFATO SOL. INY. x500mg AMP. x2ml (AMP)</t>
  </si>
  <si>
    <t>AMPICILINA Y SULBACTAM 1,5 pol iny</t>
  </si>
  <si>
    <t>ANFOTERICINA 50 MG (AMP)</t>
  </si>
  <si>
    <t>ONCOLOGÍA</t>
  </si>
  <si>
    <t>BLEOMICINA VIAL  x 15 UI</t>
  </si>
  <si>
    <t>CASPOFUNGINA AMP x 50 mg</t>
  </si>
  <si>
    <t>CEFALOTINA SODICA POLVO SOL. INY. VIAL x1g (AMP)</t>
  </si>
  <si>
    <t>CEFAZOLINA SODICA POLVO SOL. INY. VIAL x1g (AMP)</t>
  </si>
  <si>
    <t>CEFEPIMA CLORHIDRATO POLVO SOL. INY. VIAL x1g (AMP)</t>
  </si>
  <si>
    <t>CEFOPERAZONA (SULPERAZON) VIAL x 2000 mg</t>
  </si>
  <si>
    <t>CEFTRIAXONA SODICA POLVO SOL. INY. VIAL x1g (AMP)</t>
  </si>
  <si>
    <t xml:space="preserve">CICLOFOSFAMIDA 500mg POL INY  </t>
  </si>
  <si>
    <t>CIPROFLOXACINA SOL. INY. x100mg VIAL x10ml (AMP)</t>
  </si>
  <si>
    <t>CITARABINA VIAL x 100 mg</t>
  </si>
  <si>
    <t>CLARITROMICINA 500MG   KLARICI I.V.</t>
  </si>
  <si>
    <t>CLINDAMICINA FOSFATO SOL. INY. x600mg AMP. x4ml (AMP)</t>
  </si>
  <si>
    <t>CLORURO DE SODIO AL 0,9 % BOLSA x 100  ml</t>
  </si>
  <si>
    <t>VEHICULOS</t>
  </si>
  <si>
    <t>CLORURO DE SODIO AL 0,9 % BOLSA x 50  ml</t>
  </si>
  <si>
    <t>COLISTINA AMP.  X  1000000 UI</t>
  </si>
  <si>
    <t xml:space="preserve">COLISTINA AMP. 100MG </t>
  </si>
  <si>
    <t>DACARBACINA VIAL x 200 mg</t>
  </si>
  <si>
    <t>DAPTOMICINA VIAL x  350 mg</t>
  </si>
  <si>
    <t>DAPTOMICINA VIAL X 500 mg</t>
  </si>
  <si>
    <t>DIPEPTIVEN (GLUTAMINA)  FCO x 20 g</t>
  </si>
  <si>
    <t>DOXORRUBICINA LIPOSOMAL  VIAL x 20 mg</t>
  </si>
  <si>
    <t>DOXORRUBICINA VIAL x 10 mg</t>
  </si>
  <si>
    <t>DOXORRUBICINA VIAL x 50 mg</t>
  </si>
  <si>
    <t>EQUIPOS BONBA FOTOPROTECTOR NUBENCO</t>
  </si>
  <si>
    <t>EQUIPOS PLEXITRION CODAN</t>
  </si>
  <si>
    <t>ERTAPENEM 1 G (AMP)  INVANZ</t>
  </si>
  <si>
    <t>ETOPOSIDO VIAL x 100 mg</t>
  </si>
  <si>
    <t>FLUCONAZOL 200 MG (AMP)</t>
  </si>
  <si>
    <t>GENTAMICINA SULFATO SOL. INY. x80mg AMP. x2ml (AMP)</t>
  </si>
  <si>
    <t>MERONEM I.V.  1000 mg</t>
  </si>
  <si>
    <t>MEROPENEM x 1000 mg</t>
  </si>
  <si>
    <t>MEROPENEM x 500 mg</t>
  </si>
  <si>
    <t>MESNA AMP x 400 mg</t>
  </si>
  <si>
    <t>METIL´PREDNISOLONA 500mg (succinato Na)</t>
  </si>
  <si>
    <t xml:space="preserve">METOCLOPRAMIDA CLORHIDRATO SOL. INY. X10mg/2ml </t>
  </si>
  <si>
    <t>METOTREXATO VIAL x 500 mg</t>
  </si>
  <si>
    <t>METRONIDAZOL 500mg/100ml</t>
  </si>
  <si>
    <t>ONDANSETRON CLORHIDRATO SOL. INY. x2mg/ml AMP</t>
  </si>
  <si>
    <t>OXACILINA VIAL 1000mg</t>
  </si>
  <si>
    <t>PENICILINA G SODICA POLVO SOL. INY. VIAL x1MillUI (AMP)</t>
  </si>
  <si>
    <t>PENICILINA G SODICA POLVO SOL. INY. VIAL x5Mill UI (AMP)</t>
  </si>
  <si>
    <t xml:space="preserve">PIPERACILINA SODICA 4g +TAZOBACTAM SODICO 0.5g POLVO </t>
  </si>
  <si>
    <t>POLIMICINA B 500000UNITS</t>
  </si>
  <si>
    <t>TAZROBIDA  (Piperacilina Na. Tazobactam Na) 4,5g</t>
  </si>
  <si>
    <t>TRIMETOPRIM+SULFA AMP 80/400mg</t>
  </si>
  <si>
    <t xml:space="preserve">UNASYN VIAL 1,5g SULBACTAM-AMPICILINA </t>
  </si>
  <si>
    <t>VALPROATO DE SODIO AMP 500mg/5ml</t>
  </si>
  <si>
    <t xml:space="preserve">VANCOMICINA CLORHIDRATO POLVO SOL. INY. x500mg </t>
  </si>
  <si>
    <t>VINBLASTINA VIAL x 10 ml</t>
  </si>
  <si>
    <t>VINCRISTINA VIAL X 1 mg</t>
  </si>
  <si>
    <t>RANITIDINA AMP X 10 ml</t>
  </si>
  <si>
    <t>ALTAPLASE (ACTILYSE) AMP x 50 mg</t>
  </si>
  <si>
    <t>CEFEPIMA MAXIPIME INY. VIAL x1g (AMP)</t>
  </si>
  <si>
    <t>DUFLACAN (FLUCONAZOL)  x 200mg  (AMP)</t>
  </si>
  <si>
    <t>REFENCIA</t>
  </si>
  <si>
    <t>AMIKACINA  AMP x 100mg</t>
  </si>
  <si>
    <t>AMIKACINA  AMP x 500mg</t>
  </si>
  <si>
    <t>AMPICILINA+SULBACTAM POLOV VIAL X 1,5 g</t>
  </si>
  <si>
    <t>CEFEPIME POLVO VIAL X 1G (Alkem)</t>
  </si>
  <si>
    <t>CEFEPIME POLVO VIAL X 1G (Farmalogica)</t>
  </si>
  <si>
    <t>CEFTRIAXONA POLVO VIAL X 1G (Blau)</t>
  </si>
  <si>
    <t>CEFTRIAXONA POLVO VIAL X 1G (Farmalogica)</t>
  </si>
  <si>
    <t>CEFTRIAXONA POLVO VIAL X 1G (Proclin)</t>
  </si>
  <si>
    <t>CEFTRIAXONA POLVO VIAL X 1G (Roche) ROCEFIN</t>
  </si>
  <si>
    <t>CLARITROMICINA POLVO VIAL X 500 mg</t>
  </si>
  <si>
    <t>CLINDAMICINA AMP x 600 mg</t>
  </si>
  <si>
    <t>GENTAMICINA AMP x 80 mg</t>
  </si>
  <si>
    <t>MERONEM VIAL x 1000 mg</t>
  </si>
  <si>
    <t>MEROPENEM VIAL x 1000 mg</t>
  </si>
  <si>
    <t>PIPERACICLINA TAZOBACTAM VIAL X 4,5 g ( Farmalogica)</t>
  </si>
  <si>
    <t>PIPERACICLINA TAZOBACTAM VIAL X 4,5 g ( Tazocin)</t>
  </si>
  <si>
    <t>UNASYN (AMPICILINA+SULBACTAM POLOV VIAL X 1,5 g)</t>
  </si>
  <si>
    <t>VANCOMICINA+SUMICINA VIAL X 500 mg</t>
  </si>
  <si>
    <t>CEFTRIAXONA POLVO VIAL X 1G (Arubindo)</t>
  </si>
  <si>
    <t>HIDROXIDO DE HIERRO 100mg / 5ml</t>
  </si>
  <si>
    <t>KARDEX HOSPITAL MEISSEN II NIVEL</t>
  </si>
  <si>
    <t>Saldo</t>
  </si>
  <si>
    <t>ACICLOVIR 250 MG</t>
  </si>
  <si>
    <t>AGUA ESTERIL FRASCO 500ML</t>
  </si>
  <si>
    <t>AMIKACINA 100MG</t>
  </si>
  <si>
    <t>AMPICILINA 1G</t>
  </si>
  <si>
    <t>AMPICILINA 500 MG</t>
  </si>
  <si>
    <r>
      <t xml:space="preserve">AMPICILINA +SULBACTAM 1,5G </t>
    </r>
    <r>
      <rPr>
        <b/>
        <sz val="11"/>
        <color theme="1"/>
        <rFont val="Calibri"/>
        <family val="2"/>
        <scheme val="minor"/>
      </rPr>
      <t>(UNASYN)</t>
    </r>
  </si>
  <si>
    <r>
      <t xml:space="preserve">ANFOTERICINA B </t>
    </r>
    <r>
      <rPr>
        <b/>
        <sz val="11"/>
        <color theme="1"/>
        <rFont val="Calibri"/>
        <family val="2"/>
        <scheme val="minor"/>
      </rPr>
      <t>(FUNGIPLUS)</t>
    </r>
  </si>
  <si>
    <t>CAFEINA CITRATO 20MG</t>
  </si>
  <si>
    <r>
      <t xml:space="preserve">CEFAZOLINA VIAL x 1000 mg </t>
    </r>
    <r>
      <rPr>
        <b/>
        <sz val="11"/>
        <color theme="1"/>
        <rFont val="Calibri"/>
        <family val="2"/>
        <scheme val="minor"/>
      </rPr>
      <t>(FARMALOGICA)</t>
    </r>
  </si>
  <si>
    <t>CEFALOTINA VIAL x 1000 mg</t>
  </si>
  <si>
    <r>
      <t xml:space="preserve">CEFAZOLINA VIAL x 1000 mg </t>
    </r>
    <r>
      <rPr>
        <b/>
        <sz val="11"/>
        <color theme="1"/>
        <rFont val="Calibri"/>
        <family val="2"/>
        <scheme val="minor"/>
      </rPr>
      <t>(NCPC)</t>
    </r>
  </si>
  <si>
    <t>CEFEPIME 1G</t>
  </si>
  <si>
    <t>CEFOTAXIME VIAL x 1 g</t>
  </si>
  <si>
    <t>CEFTRIAXONA 1 g</t>
  </si>
  <si>
    <t>CIPROFLOXACINO AMP x 100 mg</t>
  </si>
  <si>
    <t>CLARITROMICINA 500MG</t>
  </si>
  <si>
    <t>CLINDAMICINA 600MG</t>
  </si>
  <si>
    <t>CLORURO DE SODIO 0.9% 100ML</t>
  </si>
  <si>
    <t>VEHICULO</t>
  </si>
  <si>
    <t>DAPTINOMICINA VIAL x 350 mg</t>
  </si>
  <si>
    <t>DEXTROSA 5% FRASCO 500ML</t>
  </si>
  <si>
    <t>FLUCONAZOL 100 ML</t>
  </si>
  <si>
    <t>FENITOINA 250MG</t>
  </si>
  <si>
    <t>FENOBARBITAL SODICO AMP 40mg / 1 ml</t>
  </si>
  <si>
    <t>FITOMENADIONA 10MG  (VITAMINA K)</t>
  </si>
  <si>
    <t>FUROSEMIDA 20MG</t>
  </si>
  <si>
    <t>GENTAMICINA 80MG</t>
  </si>
  <si>
    <t xml:space="preserve">HEPARINA SODICA 5000 UI </t>
  </si>
  <si>
    <t>IMIPENEM CILASTINA 500MG</t>
  </si>
  <si>
    <t xml:space="preserve">INSULINA CRISTALINA  10ML </t>
  </si>
  <si>
    <t>INSULINA NPH 10ML 1000UI</t>
  </si>
  <si>
    <t>METRONIDAZOL 100ML</t>
  </si>
  <si>
    <t>MEROPENEM 1G</t>
  </si>
  <si>
    <t>MEROPENEM 500 MG</t>
  </si>
  <si>
    <t>METILPREDNISOLONA 500MG</t>
  </si>
  <si>
    <t>METOCLOPRAMIDA 10MG</t>
  </si>
  <si>
    <t>OXACILINA 1G</t>
  </si>
  <si>
    <t>PENICILINA G SODICA 1 MILLON UI</t>
  </si>
  <si>
    <t>PENICILINA G SODICA 5 MILLON UI</t>
  </si>
  <si>
    <t>PENICILINA G BENZATINICA 1200000 UI</t>
  </si>
  <si>
    <t>PENICILINA G BENZATINICA 2400000 UI</t>
  </si>
  <si>
    <t>PENICILINA G BENZATINICA 1000000 UI</t>
  </si>
  <si>
    <r>
      <t>PIPERACILINA +TAZOBACTAM 4.5G</t>
    </r>
    <r>
      <rPr>
        <b/>
        <sz val="11"/>
        <color theme="1"/>
        <rFont val="Calibri"/>
        <family val="2"/>
        <scheme val="minor"/>
      </rPr>
      <t>(TAPECTAM)</t>
    </r>
  </si>
  <si>
    <t xml:space="preserve">TRIMETOPRIM + SULFAMETOXAZOL </t>
  </si>
  <si>
    <t>VANCOMICINA 500MG</t>
  </si>
  <si>
    <t>CLORURO DE SODIO 0.9% 250ML</t>
  </si>
  <si>
    <t>KARDEX HOSPITAL EL TUNAL</t>
  </si>
  <si>
    <t>saldo</t>
  </si>
  <si>
    <t>KARDEX HOSPITAL SAN JOSE</t>
  </si>
  <si>
    <t>5- FLUOROURACILO 500mg/10mL SOL I</t>
  </si>
  <si>
    <t>ACICLOVIR x  250 mg</t>
  </si>
  <si>
    <t>AMIKACINA AMP x 100 mg</t>
  </si>
  <si>
    <t>AMIKACINA AMP x 500 mg</t>
  </si>
  <si>
    <t>ANFOTERICINA B 50 MG</t>
  </si>
  <si>
    <t xml:space="preserve">ASPARAGINASA </t>
  </si>
  <si>
    <t>AZACITIDINA 100mg</t>
  </si>
  <si>
    <t>BENDAMUSTINA VIAL x 100 mg</t>
  </si>
  <si>
    <t xml:space="preserve">BLEOMICINA 15U.I. POL INY     </t>
  </si>
  <si>
    <t>CABAZITAXEL VIAL x 60 mg</t>
  </si>
  <si>
    <t>CAFEINA sol iny 20mg/1ml</t>
  </si>
  <si>
    <t>CAFEINA sol iny 60mg/3ml</t>
  </si>
  <si>
    <t xml:space="preserve">CARBOPLATINO 450mg POL INY    </t>
  </si>
  <si>
    <t>CEFEPIMA CLORHIDRATO POLVO  VIAL AMP x 1g</t>
  </si>
  <si>
    <t>CEFTRIAXONA AMP  x  1 g</t>
  </si>
  <si>
    <t xml:space="preserve">CICLOFOSFAMIDA 1g POL INY     </t>
  </si>
  <si>
    <t xml:space="preserve">CICLOFOSFAMIDA 500mg POL INY  </t>
  </si>
  <si>
    <t>CISPLATINO 50</t>
  </si>
  <si>
    <t xml:space="preserve">CITARABINA 100mg POL INY      </t>
  </si>
  <si>
    <t xml:space="preserve">CITARABINA 500mg POL INY      </t>
  </si>
  <si>
    <t>CLADRIBINE VIAL x 10 mg</t>
  </si>
  <si>
    <t>CLINDAMICINA 600mg/4ml</t>
  </si>
  <si>
    <t>CLOFARABINA  VIAL x 20 mg</t>
  </si>
  <si>
    <t>CLORURO DE SODIO (SSN 09%) BOLSA x 100 ml</t>
  </si>
  <si>
    <t>vehiculos</t>
  </si>
  <si>
    <t>CLORURO DE SODIO 0,9% 250ML</t>
  </si>
  <si>
    <t>CLORURO DE SODIO 0,9% 500ML</t>
  </si>
  <si>
    <t>CLORURO DE SODIO 0,9% 50ML</t>
  </si>
  <si>
    <t>CLORURO DE SODIO 0,9% FCO x  500ML</t>
  </si>
  <si>
    <t>CLORURO DE SODIO 0,9% x 1000ML</t>
  </si>
  <si>
    <t>COLISTINA AMP x 1000000 UI</t>
  </si>
  <si>
    <t>COLISTINA AMP x 100mg</t>
  </si>
  <si>
    <t xml:space="preserve">DACARBACINA 200mg POL INY     </t>
  </si>
  <si>
    <t>DACTINOMICINA AMP x   1 mg</t>
  </si>
  <si>
    <t xml:space="preserve">DAUNORRUBICINA 20mg POL INY   </t>
  </si>
  <si>
    <t>DECITABINA VIAL x 50 mg</t>
  </si>
  <si>
    <t>DEXAMETASONA VIAL x 4 mg</t>
  </si>
  <si>
    <t>DEXTROSA 5%   x  250 ML</t>
  </si>
  <si>
    <t>DEXTROSA 5% X 500 ML</t>
  </si>
  <si>
    <t xml:space="preserve">DOCETAXEL 80mg/4mL SOL INY    </t>
  </si>
  <si>
    <t>DORIPENEM VIAL x 500 mg</t>
  </si>
  <si>
    <t xml:space="preserve">DOXORUBICINA 10mg POL INY     </t>
  </si>
  <si>
    <t>DOXORUBICINA 50MG/25ML SOL INY</t>
  </si>
  <si>
    <t>DOXORUBICINA LIPOSOMAL 20mg/10</t>
  </si>
  <si>
    <t>EPIRUBICINA 50 ML</t>
  </si>
  <si>
    <t>EQUIPOS PLEXITRION BARTER AZUL</t>
  </si>
  <si>
    <t>EQUIPOS PLEXITRION BARTER FOTOPROTECTOR</t>
  </si>
  <si>
    <t>ERTAPENEM VIAL x 1000mg</t>
  </si>
  <si>
    <t xml:space="preserve">ETOPOSIDO 100mg/5mL SOL INY   </t>
  </si>
  <si>
    <t>FENTANILO 0.05MG/ML</t>
  </si>
  <si>
    <t>FLUDARABINA FOSFATO 50mg/2mL S</t>
  </si>
  <si>
    <t>GANCICLOVIR x  500 mg</t>
  </si>
  <si>
    <t>GEMCITABINA 1G</t>
  </si>
  <si>
    <t>HEPARINA SODICA  X  5000 UI</t>
  </si>
  <si>
    <t xml:space="preserve">IDARUBICINA 10mg POL INY      </t>
  </si>
  <si>
    <t xml:space="preserve">IFOSFAMIDA 1g POL INY         </t>
  </si>
  <si>
    <t xml:space="preserve">IFOSFAMIDA 2G POL INY         </t>
  </si>
  <si>
    <t>INFUSOR BAXTER  LV 5</t>
  </si>
  <si>
    <t>INFUSOR BAXTER  LV10</t>
  </si>
  <si>
    <t xml:space="preserve">INFUSOR LEVIMON 2 DIAS </t>
  </si>
  <si>
    <t>INFUSORES BAXTER LV2</t>
  </si>
  <si>
    <t xml:space="preserve">IRINOTECAN 100 mg/5mL SOL INY </t>
  </si>
  <si>
    <t>IXEMPRA (IXABEPILONA)  15 MG</t>
  </si>
  <si>
    <t>KLARICID (Claritromicina 500mg)</t>
  </si>
  <si>
    <t>LACTATO DE RINGER x 500 ml</t>
  </si>
  <si>
    <t>MERONEN VIAL x 1000 mg</t>
  </si>
  <si>
    <t>MERONEN VIAL x 500 mg</t>
  </si>
  <si>
    <t>MEROPENEM  VIAL x 1000 mg</t>
  </si>
  <si>
    <t xml:space="preserve">MESNA 400mg/4mL SOL INY               </t>
  </si>
  <si>
    <t>METOTREXATE 500mg/20mL SOL INY</t>
  </si>
  <si>
    <t xml:space="preserve">METOTREXATE 50mg POL INY      </t>
  </si>
  <si>
    <t>MIDAZOLAM 5MG/5ML</t>
  </si>
  <si>
    <t>MITOMICINA VIAL x  20 mg</t>
  </si>
  <si>
    <t>MITOXANTRONA 20</t>
  </si>
  <si>
    <t>OXACILINA VIAL x 1 g</t>
  </si>
  <si>
    <t xml:space="preserve">OXALIPLATINO 100mg POL INY             </t>
  </si>
  <si>
    <t xml:space="preserve">OXALIPLATINO 50mg POL INY             </t>
  </si>
  <si>
    <t xml:space="preserve">PACLITAXEL 100mg SOL INY              </t>
  </si>
  <si>
    <t>PAMIDRONATO VIAL x 30 mg</t>
  </si>
  <si>
    <t>PEMETREXED  VIAL  x 100 mg</t>
  </si>
  <si>
    <t>PEMETREXED  VIAL  x 500 mg</t>
  </si>
  <si>
    <t>PIPERACILINA + TAZOBACTAM x 4,5 g</t>
  </si>
  <si>
    <t>PISACAINA 20mg/0,005mg</t>
  </si>
  <si>
    <t xml:space="preserve">RITUXIMAB 100mg/10mL SOL INY          </t>
  </si>
  <si>
    <t xml:space="preserve">RITUXIMAB 500mg/50mL SOL INY          </t>
  </si>
  <si>
    <t>TAZOCIN  (Piperacilina Na. Tazobactam Na) 4,5g</t>
  </si>
  <si>
    <t>TEMSIRULIMUS VIAL x 25 mg</t>
  </si>
  <si>
    <t>TIGECICLINA  AMP x 50 mg</t>
  </si>
  <si>
    <t>TOPOTECAN VIAL x 4 mg</t>
  </si>
  <si>
    <t>TRABECTIDINA 1 MG</t>
  </si>
  <si>
    <t>TRIOXIDO DE ARSENICO 10mg/10mL SOL INY</t>
  </si>
  <si>
    <t>VANCOMICINA  VIAL x 500mg</t>
  </si>
  <si>
    <t xml:space="preserve">VINBLASTINA 10mg POL INY              </t>
  </si>
  <si>
    <t xml:space="preserve">VINCRISTINA 1mg/mL SOL INY            </t>
  </si>
  <si>
    <t>VINORELBINE VIAL x 50 mg</t>
  </si>
  <si>
    <t>CEFOTAXIMA VIAL x 1  g</t>
  </si>
  <si>
    <t>ROMIDEPSIN VIAL x 10 mg</t>
  </si>
  <si>
    <t>OBINUTUZUMAB (GAZYBA)1000MG</t>
  </si>
  <si>
    <t xml:space="preserve">KARDEX HOSPITAL SANTA CLARA </t>
  </si>
  <si>
    <t>SALDO</t>
  </si>
  <si>
    <t>20/9/15</t>
  </si>
  <si>
    <t>290mL A 12mL/h</t>
  </si>
  <si>
    <t>604.1</t>
  </si>
  <si>
    <t>423.1</t>
  </si>
  <si>
    <t>ANFOTERICINA B LIPOSOMAL</t>
  </si>
  <si>
    <t>GILEAD UNITEDMEDICAL</t>
  </si>
  <si>
    <t>AMBISOME</t>
  </si>
  <si>
    <t>NO REFRIGERAR. Proteger de la Luz</t>
  </si>
  <si>
    <t>Proteger de la luz REFRIGERAR</t>
  </si>
  <si>
    <t>21516G176634</t>
  </si>
  <si>
    <t>DIA</t>
  </si>
  <si>
    <t>23820G195019</t>
  </si>
  <si>
    <t>23820G195020</t>
  </si>
  <si>
    <t>23820G195021</t>
  </si>
  <si>
    <t>H. SANTA CLARA/ URG</t>
  </si>
  <si>
    <t>VO HSC PED URG</t>
  </si>
  <si>
    <t>S:\ESTERILES\IV SAMARITANA GIRARDOT\</t>
  </si>
  <si>
    <t>290mL A 6mL/h</t>
  </si>
  <si>
    <t>300mL A 4mL/h</t>
  </si>
  <si>
    <t>PERFUSOR</t>
  </si>
  <si>
    <t>H. SAN JOSE CENTRO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</si>
</sst>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dd/mm/yy;@"/>
    <numFmt numFmtId="166" formatCode="#\ &quot;ML&quot;"/>
    <numFmt numFmtId="167" formatCode="#&quot;ML&quot;#"/>
    <numFmt numFmtId="168" formatCode="&quot;UNIDOSIS &quot;@"/>
    <numFmt numFmtId="169" formatCode="&quot;CASO:&quot;\ @"/>
    <numFmt numFmtId="170" formatCode="General&quot;mg&quot;"/>
    <numFmt numFmtId="171" formatCode="0.0"/>
    <numFmt numFmtId="172" formatCode="&quot;HORA DE LLEGADA:&quot;\ hh:mm"/>
    <numFmt numFmtId="173" formatCode="&quot;FVto: &quot;dd/mm/yy&quot;   &quot;"/>
    <numFmt numFmtId="174" formatCode="&quot;Dil. 1/&quot;0"/>
    <numFmt numFmtId="175" formatCode="&quot;CLIENTES&quot;@"/>
    <numFmt numFmtId="176" formatCode="&quot;Página&quot;\ 0"/>
    <numFmt numFmtId="177" formatCode="[$-F400]h:mm:ss\ AM/PM"/>
    <numFmt numFmtId="178" formatCode="_(* #,##0_);_(* \(#,##0\);_(* &quot;-&quot;??_);_(@_)"/>
  </numFmts>
  <fonts count="10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1"/>
      <name val="Arial"/>
      <family val="2"/>
    </font>
    <font>
      <i/>
      <sz val="10"/>
      <name val="Arial"/>
      <family val="2"/>
    </font>
    <font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10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name val="Bauhaus Md BT"/>
      <family val="5"/>
    </font>
    <font>
      <b/>
      <sz val="10"/>
      <name val="Bauhaus Md BT"/>
      <family val="5"/>
    </font>
    <font>
      <b/>
      <sz val="9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Arial"/>
      <family val="2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rgb="FFFF0000"/>
      <name val="Arial"/>
      <family val="2"/>
    </font>
    <font>
      <sz val="12"/>
      <color theme="1"/>
      <name val="Calibri"/>
      <family val="2"/>
    </font>
    <font>
      <sz val="11"/>
      <name val="Calibri"/>
      <family val="2"/>
    </font>
    <font>
      <sz val="48"/>
      <name val="Free 3 of 9 Extended"/>
    </font>
    <font>
      <b/>
      <sz val="11"/>
      <color rgb="FFFF0000"/>
      <name val="Arial"/>
      <family val="2"/>
    </font>
    <font>
      <b/>
      <sz val="12"/>
      <color theme="0"/>
      <name val="Arial"/>
      <family val="2"/>
    </font>
    <font>
      <u/>
      <sz val="12"/>
      <color theme="0"/>
      <name val="Arial"/>
      <family val="2"/>
    </font>
    <font>
      <sz val="12"/>
      <color theme="0"/>
      <name val="Arial"/>
      <family val="2"/>
    </font>
    <font>
      <sz val="8"/>
      <name val="Arial"/>
      <family val="2"/>
    </font>
    <font>
      <b/>
      <sz val="13"/>
      <name val="Arial"/>
      <family val="2"/>
    </font>
    <font>
      <sz val="13"/>
      <name val="Arial"/>
      <family val="2"/>
    </font>
    <font>
      <b/>
      <i/>
      <sz val="11"/>
      <name val="Arial"/>
      <family val="2"/>
    </font>
    <font>
      <i/>
      <sz val="10"/>
      <color theme="1"/>
      <name val="Calibri"/>
      <family val="2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16"/>
      <color theme="0"/>
      <name val="Arial"/>
      <family val="2"/>
    </font>
    <font>
      <sz val="6"/>
      <color theme="1"/>
      <name val="Calibri"/>
      <family val="2"/>
    </font>
    <font>
      <b/>
      <sz val="9"/>
      <color theme="1"/>
      <name val="Calibri"/>
      <family val="2"/>
    </font>
    <font>
      <b/>
      <sz val="13"/>
      <color theme="0"/>
      <name val="Arial"/>
      <family val="2"/>
    </font>
    <font>
      <sz val="10"/>
      <color theme="0" tint="-0.34998626667073579"/>
      <name val="Arial"/>
      <family val="2"/>
    </font>
    <font>
      <sz val="7"/>
      <name val="Arial"/>
      <family val="2"/>
    </font>
    <font>
      <sz val="7"/>
      <color theme="0" tint="-0.499984740745262"/>
      <name val="Arial"/>
      <family val="2"/>
    </font>
    <font>
      <sz val="8"/>
      <color theme="0" tint="-0.499984740745262"/>
      <name val="Arial"/>
      <family val="2"/>
    </font>
    <font>
      <b/>
      <i/>
      <sz val="13"/>
      <name val="Arial"/>
      <family val="2"/>
    </font>
    <font>
      <sz val="8"/>
      <color theme="1" tint="0.249977111117893"/>
      <name val="Arial"/>
      <family val="2"/>
    </font>
    <font>
      <sz val="9"/>
      <color theme="1" tint="0.249977111117893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8.5"/>
      <color theme="1"/>
      <name val="Calibri"/>
      <family val="2"/>
    </font>
    <font>
      <b/>
      <sz val="8.5"/>
      <color theme="1"/>
      <name val="Calibri"/>
      <family val="2"/>
    </font>
    <font>
      <sz val="8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0"/>
      <color theme="0" tint="-0.499984740745262"/>
      <name val="Arial"/>
      <family val="2"/>
    </font>
    <font>
      <b/>
      <sz val="8"/>
      <name val="Arial"/>
      <family val="2"/>
    </font>
    <font>
      <b/>
      <i/>
      <sz val="2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Calibri"/>
      <family val="2"/>
      <scheme val="minor"/>
    </font>
    <font>
      <u/>
      <sz val="10"/>
      <name val="Arial"/>
      <family val="2"/>
    </font>
    <font>
      <b/>
      <sz val="1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8"/>
      <color theme="1"/>
      <name val="MS Sans Serif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sz val="10"/>
      <color theme="3"/>
      <name val="Arial"/>
      <family val="2"/>
    </font>
    <font>
      <b/>
      <sz val="10"/>
      <color rgb="FF1F497D"/>
      <name val="MS Sans Serif"/>
      <family val="2"/>
    </font>
    <font>
      <i/>
      <sz val="11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4"/>
        <bgColor indexed="23"/>
      </patternFill>
    </fill>
    <fill>
      <patternFill patternType="solid">
        <fgColor indexed="51"/>
        <bgColor indexed="13"/>
      </patternFill>
    </fill>
    <fill>
      <patternFill patternType="solid">
        <fgColor indexed="45"/>
        <bgColor indexed="29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BCC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824">
    <xf numFmtId="177" fontId="0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6" fillId="0" borderId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5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6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7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9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0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2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13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8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1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4" fillId="14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5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2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3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7" fillId="18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8" fillId="7" borderId="0" applyNumberFormat="0" applyBorder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29" fillId="19" borderId="33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0" fillId="20" borderId="34" applyNumberFormat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1" fillId="0" borderId="35" applyNumberFormat="0" applyFill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32" fillId="0" borderId="0" applyNumberFormat="0" applyFill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1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2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23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6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17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27" fillId="24" borderId="0" applyNumberFormat="0" applyBorder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3" fillId="10" borderId="33" applyNumberFormat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4" fillId="6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35" fillId="25" borderId="0" applyNumberFormat="0" applyBorder="0" applyAlignment="0" applyProtection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25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25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1" fillId="0" borderId="0"/>
    <xf numFmtId="177" fontId="25" fillId="0" borderId="0"/>
    <xf numFmtId="177" fontId="1" fillId="0" borderId="0"/>
    <xf numFmtId="177" fontId="25" fillId="0" borderId="0"/>
    <xf numFmtId="177" fontId="25" fillId="0" borderId="0"/>
    <xf numFmtId="177" fontId="25" fillId="0" borderId="0"/>
    <xf numFmtId="177" fontId="25" fillId="0" borderId="0"/>
    <xf numFmtId="177" fontId="25" fillId="0" borderId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1" fillId="26" borderId="36" applyNumberFormat="0" applyFon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6" fillId="19" borderId="37" applyNumberFormat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7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8" fillId="0" borderId="0" applyNumberFormat="0" applyFill="0" applyBorder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39" fillId="0" borderId="38" applyNumberFormat="0" applyFill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1" fillId="0" borderId="39" applyNumberFormat="0" applyFill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32" fillId="0" borderId="40" applyNumberFormat="0" applyFill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40" fillId="0" borderId="0" applyNumberFormat="0" applyFill="0" applyBorder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77" fontId="20" fillId="0" borderId="41" applyNumberFormat="0" applyFill="0" applyAlignment="0" applyProtection="0"/>
    <xf numFmtId="164" fontId="25" fillId="0" borderId="0" applyFont="0" applyFill="0" applyBorder="0" applyAlignment="0" applyProtection="0"/>
    <xf numFmtId="177" fontId="25" fillId="0" borderId="0"/>
    <xf numFmtId="177" fontId="81" fillId="0" borderId="0" applyNumberFormat="0" applyFill="0" applyBorder="0" applyAlignment="0" applyProtection="0"/>
    <xf numFmtId="177" fontId="24" fillId="33" borderId="0" applyNumberFormat="0" applyBorder="0" applyAlignment="0" applyProtection="0"/>
    <xf numFmtId="177" fontId="24" fillId="33" borderId="0" applyNumberFormat="0" applyBorder="0" applyAlignment="0" applyProtection="0"/>
    <xf numFmtId="177" fontId="24" fillId="34" borderId="0" applyNumberFormat="0" applyBorder="0" applyAlignment="0" applyProtection="0"/>
    <xf numFmtId="177" fontId="24" fillId="34" borderId="0" applyNumberFormat="0" applyBorder="0" applyAlignment="0" applyProtection="0"/>
    <xf numFmtId="177" fontId="24" fillId="35" borderId="0" applyNumberFormat="0" applyBorder="0" applyAlignment="0" applyProtection="0"/>
    <xf numFmtId="177" fontId="24" fillId="35" borderId="0" applyNumberFormat="0" applyBorder="0" applyAlignment="0" applyProtection="0"/>
    <xf numFmtId="177" fontId="24" fillId="33" borderId="0" applyNumberFormat="0" applyBorder="0" applyAlignment="0" applyProtection="0"/>
    <xf numFmtId="177" fontId="24" fillId="33" borderId="0" applyNumberFormat="0" applyBorder="0" applyAlignment="0" applyProtection="0"/>
    <xf numFmtId="177" fontId="24" fillId="36" borderId="0" applyNumberFormat="0" applyBorder="0" applyAlignment="0" applyProtection="0"/>
    <xf numFmtId="177" fontId="24" fillId="36" borderId="0" applyNumberFormat="0" applyBorder="0" applyAlignment="0" applyProtection="0"/>
    <xf numFmtId="177" fontId="24" fillId="34" borderId="0" applyNumberFormat="0" applyBorder="0" applyAlignment="0" applyProtection="0"/>
    <xf numFmtId="177" fontId="24" fillId="34" borderId="0" applyNumberFormat="0" applyBorder="0" applyAlignment="0" applyProtection="0"/>
    <xf numFmtId="177" fontId="24" fillId="37" borderId="0" applyNumberFormat="0" applyBorder="0" applyAlignment="0" applyProtection="0"/>
    <xf numFmtId="177" fontId="24" fillId="37" borderId="0" applyNumberFormat="0" applyBorder="0" applyAlignment="0" applyProtection="0"/>
    <xf numFmtId="177" fontId="24" fillId="38" borderId="0" applyNumberFormat="0" applyBorder="0" applyAlignment="0" applyProtection="0"/>
    <xf numFmtId="177" fontId="24" fillId="38" borderId="0" applyNumberFormat="0" applyBorder="0" applyAlignment="0" applyProtection="0"/>
    <xf numFmtId="177" fontId="24" fillId="39" borderId="0" applyNumberFormat="0" applyBorder="0" applyAlignment="0" applyProtection="0"/>
    <xf numFmtId="177" fontId="24" fillId="39" borderId="0" applyNumberFormat="0" applyBorder="0" applyAlignment="0" applyProtection="0"/>
    <xf numFmtId="177" fontId="24" fillId="37" borderId="0" applyNumberFormat="0" applyBorder="0" applyAlignment="0" applyProtection="0"/>
    <xf numFmtId="177" fontId="24" fillId="37" borderId="0" applyNumberFormat="0" applyBorder="0" applyAlignment="0" applyProtection="0"/>
    <xf numFmtId="177" fontId="24" fillId="40" borderId="0" applyNumberFormat="0" applyBorder="0" applyAlignment="0" applyProtection="0"/>
    <xf numFmtId="177" fontId="24" fillId="40" borderId="0" applyNumberFormat="0" applyBorder="0" applyAlignment="0" applyProtection="0"/>
    <xf numFmtId="177" fontId="24" fillId="34" borderId="0" applyNumberFormat="0" applyBorder="0" applyAlignment="0" applyProtection="0"/>
    <xf numFmtId="177" fontId="24" fillId="34" borderId="0" applyNumberFormat="0" applyBorder="0" applyAlignment="0" applyProtection="0"/>
    <xf numFmtId="177" fontId="27" fillId="41" borderId="0" applyNumberFormat="0" applyBorder="0" applyAlignment="0" applyProtection="0"/>
    <xf numFmtId="177" fontId="24" fillId="41" borderId="0" applyNumberFormat="0" applyBorder="0" applyAlignment="0" applyProtection="0"/>
    <xf numFmtId="177" fontId="27" fillId="41" borderId="0" applyNumberFormat="0" applyBorder="0" applyAlignment="0" applyProtection="0"/>
    <xf numFmtId="177" fontId="27" fillId="38" borderId="0" applyNumberFormat="0" applyBorder="0" applyAlignment="0" applyProtection="0"/>
    <xf numFmtId="177" fontId="24" fillId="38" borderId="0" applyNumberFormat="0" applyBorder="0" applyAlignment="0" applyProtection="0"/>
    <xf numFmtId="177" fontId="27" fillId="38" borderId="0" applyNumberFormat="0" applyBorder="0" applyAlignment="0" applyProtection="0"/>
    <xf numFmtId="177" fontId="27" fillId="39" borderId="0" applyNumberFormat="0" applyBorder="0" applyAlignment="0" applyProtection="0"/>
    <xf numFmtId="177" fontId="24" fillId="39" borderId="0" applyNumberFormat="0" applyBorder="0" applyAlignment="0" applyProtection="0"/>
    <xf numFmtId="177" fontId="27" fillId="39" borderId="0" applyNumberFormat="0" applyBorder="0" applyAlignment="0" applyProtection="0"/>
    <xf numFmtId="177" fontId="27" fillId="37" borderId="0" applyNumberFormat="0" applyBorder="0" applyAlignment="0" applyProtection="0"/>
    <xf numFmtId="177" fontId="24" fillId="37" borderId="0" applyNumberFormat="0" applyBorder="0" applyAlignment="0" applyProtection="0"/>
    <xf numFmtId="177" fontId="27" fillId="37" borderId="0" applyNumberFormat="0" applyBorder="0" applyAlignment="0" applyProtection="0"/>
    <xf numFmtId="177" fontId="27" fillId="41" borderId="0" applyNumberFormat="0" applyBorder="0" applyAlignment="0" applyProtection="0"/>
    <xf numFmtId="177" fontId="24" fillId="41" borderId="0" applyNumberFormat="0" applyBorder="0" applyAlignment="0" applyProtection="0"/>
    <xf numFmtId="177" fontId="27" fillId="41" borderId="0" applyNumberFormat="0" applyBorder="0" applyAlignment="0" applyProtection="0"/>
    <xf numFmtId="177" fontId="27" fillId="34" borderId="0" applyNumberFormat="0" applyBorder="0" applyAlignment="0" applyProtection="0"/>
    <xf numFmtId="177" fontId="24" fillId="34" borderId="0" applyNumberFormat="0" applyBorder="0" applyAlignment="0" applyProtection="0"/>
    <xf numFmtId="177" fontId="27" fillId="34" borderId="0" applyNumberFormat="0" applyBorder="0" applyAlignment="0" applyProtection="0"/>
    <xf numFmtId="177" fontId="28" fillId="42" borderId="0" applyNumberFormat="0" applyBorder="0" applyAlignment="0" applyProtection="0"/>
    <xf numFmtId="177" fontId="24" fillId="42" borderId="0" applyNumberFormat="0" applyBorder="0" applyAlignment="0" applyProtection="0"/>
    <xf numFmtId="177" fontId="28" fillId="42" borderId="0" applyNumberFormat="0" applyBorder="0" applyAlignment="0" applyProtection="0"/>
    <xf numFmtId="177" fontId="29" fillId="33" borderId="33" applyNumberFormat="0" applyAlignment="0" applyProtection="0"/>
    <xf numFmtId="177" fontId="24" fillId="33" borderId="33" applyNumberFormat="0" applyAlignment="0" applyProtection="0"/>
    <xf numFmtId="177" fontId="29" fillId="33" borderId="33" applyNumberFormat="0" applyAlignment="0" applyProtection="0"/>
    <xf numFmtId="177" fontId="30" fillId="43" borderId="34" applyNumberFormat="0" applyAlignment="0" applyProtection="0"/>
    <xf numFmtId="177" fontId="24" fillId="43" borderId="34" applyNumberFormat="0" applyAlignment="0" applyProtection="0"/>
    <xf numFmtId="177" fontId="30" fillId="43" borderId="34" applyNumberFormat="0" applyAlignment="0" applyProtection="0"/>
    <xf numFmtId="177" fontId="24" fillId="0" borderId="35" applyNumberFormat="0" applyFill="0" applyAlignment="0" applyProtection="0"/>
    <xf numFmtId="177" fontId="87" fillId="0" borderId="0" applyNumberFormat="0" applyFill="0" applyBorder="0" applyAlignment="0" applyProtection="0"/>
    <xf numFmtId="177" fontId="24" fillId="0" borderId="0" applyNumberFormat="0" applyFill="0" applyBorder="0" applyAlignment="0" applyProtection="0"/>
    <xf numFmtId="177" fontId="87" fillId="0" borderId="0" applyNumberFormat="0" applyFill="0" applyBorder="0" applyAlignment="0" applyProtection="0"/>
    <xf numFmtId="177" fontId="27" fillId="41" borderId="0" applyNumberFormat="0" applyBorder="0" applyAlignment="0" applyProtection="0"/>
    <xf numFmtId="177" fontId="24" fillId="41" borderId="0" applyNumberFormat="0" applyBorder="0" applyAlignment="0" applyProtection="0"/>
    <xf numFmtId="177" fontId="27" fillId="41" borderId="0" applyNumberFormat="0" applyBorder="0" applyAlignment="0" applyProtection="0"/>
    <xf numFmtId="177" fontId="27" fillId="44" borderId="0" applyNumberFormat="0" applyBorder="0" applyAlignment="0" applyProtection="0"/>
    <xf numFmtId="177" fontId="24" fillId="44" borderId="0" applyNumberFormat="0" applyBorder="0" applyAlignment="0" applyProtection="0"/>
    <xf numFmtId="177" fontId="27" fillId="44" borderId="0" applyNumberFormat="0" applyBorder="0" applyAlignment="0" applyProtection="0"/>
    <xf numFmtId="177" fontId="27" fillId="45" borderId="0" applyNumberFormat="0" applyBorder="0" applyAlignment="0" applyProtection="0"/>
    <xf numFmtId="177" fontId="24" fillId="45" borderId="0" applyNumberFormat="0" applyBorder="0" applyAlignment="0" applyProtection="0"/>
    <xf numFmtId="177" fontId="27" fillId="45" borderId="0" applyNumberFormat="0" applyBorder="0" applyAlignment="0" applyProtection="0"/>
    <xf numFmtId="177" fontId="27" fillId="46" borderId="0" applyNumberFormat="0" applyBorder="0" applyAlignment="0" applyProtection="0"/>
    <xf numFmtId="177" fontId="24" fillId="46" borderId="0" applyNumberFormat="0" applyBorder="0" applyAlignment="0" applyProtection="0"/>
    <xf numFmtId="177" fontId="27" fillId="46" borderId="0" applyNumberFormat="0" applyBorder="0" applyAlignment="0" applyProtection="0"/>
    <xf numFmtId="177" fontId="27" fillId="41" borderId="0" applyNumberFormat="0" applyBorder="0" applyAlignment="0" applyProtection="0"/>
    <xf numFmtId="177" fontId="24" fillId="41" borderId="0" applyNumberFormat="0" applyBorder="0" applyAlignment="0" applyProtection="0"/>
    <xf numFmtId="177" fontId="27" fillId="41" borderId="0" applyNumberFormat="0" applyBorder="0" applyAlignment="0" applyProtection="0"/>
    <xf numFmtId="177" fontId="27" fillId="47" borderId="0" applyNumberFormat="0" applyBorder="0" applyAlignment="0" applyProtection="0"/>
    <xf numFmtId="177" fontId="24" fillId="47" borderId="0" applyNumberFormat="0" applyBorder="0" applyAlignment="0" applyProtection="0"/>
    <xf numFmtId="177" fontId="27" fillId="47" borderId="0" applyNumberFormat="0" applyBorder="0" applyAlignment="0" applyProtection="0"/>
    <xf numFmtId="177" fontId="33" fillId="34" borderId="33" applyNumberFormat="0" applyAlignment="0" applyProtection="0"/>
    <xf numFmtId="177" fontId="24" fillId="34" borderId="33" applyNumberFormat="0" applyAlignment="0" applyProtection="0"/>
    <xf numFmtId="177" fontId="33" fillId="34" borderId="33" applyNumberFormat="0" applyAlignment="0" applyProtection="0"/>
    <xf numFmtId="177" fontId="34" fillId="48" borderId="0" applyNumberFormat="0" applyBorder="0" applyAlignment="0" applyProtection="0"/>
    <xf numFmtId="177" fontId="24" fillId="48" borderId="0" applyNumberFormat="0" applyBorder="0" applyAlignment="0" applyProtection="0"/>
    <xf numFmtId="177" fontId="34" fillId="48" borderId="0" applyNumberFormat="0" applyBorder="0" applyAlignment="0" applyProtection="0"/>
    <xf numFmtId="177" fontId="35" fillId="39" borderId="0" applyNumberFormat="0" applyBorder="0" applyAlignment="0" applyProtection="0"/>
    <xf numFmtId="177" fontId="24" fillId="39" borderId="0" applyNumberFormat="0" applyBorder="0" applyAlignment="0" applyProtection="0"/>
    <xf numFmtId="177" fontId="35" fillId="39" borderId="0" applyNumberFormat="0" applyBorder="0" applyAlignment="0" applyProtection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5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0" borderId="0"/>
    <xf numFmtId="177" fontId="24" fillId="35" borderId="36" applyNumberFormat="0" applyAlignment="0" applyProtection="0"/>
    <xf numFmtId="177" fontId="24" fillId="35" borderId="36" applyNumberFormat="0" applyAlignment="0" applyProtection="0"/>
    <xf numFmtId="177" fontId="36" fillId="33" borderId="37" applyNumberFormat="0" applyAlignment="0" applyProtection="0"/>
    <xf numFmtId="177" fontId="24" fillId="33" borderId="37" applyNumberFormat="0" applyAlignment="0" applyProtection="0"/>
    <xf numFmtId="177" fontId="36" fillId="33" borderId="37" applyNumberFormat="0" applyAlignment="0" applyProtection="0"/>
    <xf numFmtId="177" fontId="24" fillId="0" borderId="0" applyNumberFormat="0" applyFill="0" applyBorder="0" applyAlignment="0" applyProtection="0"/>
    <xf numFmtId="177" fontId="24" fillId="0" borderId="0" applyNumberFormat="0" applyFill="0" applyBorder="0" applyAlignment="0" applyProtection="0"/>
    <xf numFmtId="177" fontId="88" fillId="0" borderId="0" applyNumberFormat="0" applyFill="0" applyBorder="0" applyAlignment="0" applyProtection="0"/>
    <xf numFmtId="177" fontId="89" fillId="0" borderId="65" applyNumberFormat="0" applyFill="0" applyAlignment="0" applyProtection="0"/>
    <xf numFmtId="177" fontId="24" fillId="0" borderId="65" applyNumberFormat="0" applyFill="0" applyAlignment="0" applyProtection="0"/>
    <xf numFmtId="177" fontId="89" fillId="0" borderId="65" applyNumberFormat="0" applyFill="0" applyAlignment="0" applyProtection="0"/>
    <xf numFmtId="177" fontId="90" fillId="0" borderId="39" applyNumberFormat="0" applyFill="0" applyAlignment="0" applyProtection="0"/>
    <xf numFmtId="177" fontId="24" fillId="0" borderId="39" applyNumberFormat="0" applyFill="0" applyAlignment="0" applyProtection="0"/>
    <xf numFmtId="177" fontId="90" fillId="0" borderId="39" applyNumberFormat="0" applyFill="0" applyAlignment="0" applyProtection="0"/>
    <xf numFmtId="177" fontId="87" fillId="0" borderId="66" applyNumberFormat="0" applyFill="0" applyAlignment="0" applyProtection="0"/>
    <xf numFmtId="177" fontId="24" fillId="0" borderId="66" applyNumberFormat="0" applyFill="0" applyAlignment="0" applyProtection="0"/>
    <xf numFmtId="177" fontId="87" fillId="0" borderId="66" applyNumberFormat="0" applyFill="0" applyAlignment="0" applyProtection="0"/>
    <xf numFmtId="177" fontId="24" fillId="0" borderId="0" applyNumberFormat="0" applyFill="0" applyBorder="0" applyAlignment="0" applyProtection="0"/>
    <xf numFmtId="177" fontId="88" fillId="0" borderId="0" applyNumberFormat="0" applyFill="0" applyBorder="0" applyAlignment="0" applyProtection="0"/>
    <xf numFmtId="177" fontId="20" fillId="0" borderId="67" applyNumberFormat="0" applyFill="0" applyAlignment="0" applyProtection="0"/>
    <xf numFmtId="177" fontId="24" fillId="0" borderId="67" applyNumberFormat="0" applyFill="0" applyAlignment="0" applyProtection="0"/>
    <xf numFmtId="177" fontId="20" fillId="0" borderId="67" applyNumberFormat="0" applyFill="0" applyAlignment="0" applyProtection="0"/>
  </cellStyleXfs>
  <cellXfs count="901">
    <xf numFmtId="177" fontId="0" fillId="0" borderId="0" xfId="0"/>
    <xf numFmtId="177" fontId="1" fillId="0" borderId="0" xfId="1"/>
    <xf numFmtId="177" fontId="5" fillId="0" borderId="1" xfId="0" applyFont="1" applyBorder="1"/>
    <xf numFmtId="177" fontId="0" fillId="0" borderId="1" xfId="0" applyBorder="1"/>
    <xf numFmtId="177" fontId="0" fillId="0" borderId="1" xfId="0" applyBorder="1" applyAlignment="1">
      <alignment horizontal="center"/>
    </xf>
    <xf numFmtId="177" fontId="1" fillId="0" borderId="1" xfId="0" applyFont="1" applyFill="1" applyBorder="1" applyAlignment="1">
      <alignment horizontal="center" vertical="center"/>
    </xf>
    <xf numFmtId="177" fontId="1" fillId="0" borderId="1" xfId="1" applyFont="1" applyFill="1" applyBorder="1" applyAlignment="1">
      <alignment horizontal="center" vertical="center"/>
    </xf>
    <xf numFmtId="177" fontId="1" fillId="0" borderId="1" xfId="0" applyFont="1" applyFill="1" applyBorder="1" applyAlignment="1">
      <alignment horizontal="left" vertical="center"/>
    </xf>
    <xf numFmtId="177" fontId="4" fillId="4" borderId="1" xfId="2" applyFont="1" applyFill="1" applyBorder="1" applyAlignment="1">
      <alignment horizontal="center" wrapText="1"/>
    </xf>
    <xf numFmtId="177" fontId="4" fillId="4" borderId="1" xfId="1" applyFont="1" applyFill="1" applyBorder="1" applyAlignment="1">
      <alignment horizontal="center" wrapText="1"/>
    </xf>
    <xf numFmtId="177" fontId="4" fillId="4" borderId="2" xfId="1" applyFont="1" applyFill="1" applyBorder="1" applyAlignment="1">
      <alignment horizontal="center" wrapText="1"/>
    </xf>
    <xf numFmtId="177" fontId="3" fillId="0" borderId="0" xfId="1" applyFont="1" applyAlignment="1">
      <alignment horizontal="center" vertical="center"/>
    </xf>
    <xf numFmtId="177" fontId="4" fillId="0" borderId="0" xfId="1" applyFont="1" applyAlignment="1">
      <alignment horizontal="center" vertical="center" wrapText="1"/>
    </xf>
    <xf numFmtId="177" fontId="1" fillId="0" borderId="1" xfId="1" applyFont="1" applyFill="1" applyBorder="1" applyAlignment="1" applyProtection="1">
      <alignment horizontal="center" vertical="center"/>
      <protection locked="0"/>
    </xf>
    <xf numFmtId="177" fontId="1" fillId="0" borderId="1" xfId="1" applyFont="1" applyFill="1" applyBorder="1" applyAlignment="1" applyProtection="1">
      <alignment horizontal="right" vertical="center"/>
      <protection locked="0"/>
    </xf>
    <xf numFmtId="177" fontId="4" fillId="0" borderId="0" xfId="1" applyFont="1" applyBorder="1" applyAlignment="1" applyProtection="1">
      <alignment horizontal="left"/>
      <protection locked="0"/>
    </xf>
    <xf numFmtId="177" fontId="4" fillId="0" borderId="0" xfId="1" applyFont="1" applyBorder="1" applyAlignment="1" applyProtection="1">
      <protection locked="0"/>
    </xf>
    <xf numFmtId="177" fontId="1" fillId="0" borderId="0" xfId="1" applyBorder="1" applyProtection="1">
      <protection locked="0"/>
    </xf>
    <xf numFmtId="177" fontId="1" fillId="0" borderId="1" xfId="0" applyFont="1" applyFill="1" applyBorder="1" applyAlignment="1" applyProtection="1">
      <alignment horizontal="left" vertical="center"/>
      <protection locked="0"/>
    </xf>
    <xf numFmtId="177" fontId="0" fillId="0" borderId="0" xfId="0" applyProtection="1">
      <protection locked="0"/>
    </xf>
    <xf numFmtId="177" fontId="1" fillId="0" borderId="1" xfId="0" applyFont="1" applyFill="1" applyBorder="1" applyAlignment="1" applyProtection="1">
      <alignment horizontal="center" vertical="center"/>
      <protection locked="0"/>
    </xf>
    <xf numFmtId="177" fontId="9" fillId="0" borderId="1" xfId="0" applyFont="1" applyFill="1" applyBorder="1"/>
    <xf numFmtId="177" fontId="9" fillId="0" borderId="1" xfId="0" applyFont="1" applyBorder="1"/>
    <xf numFmtId="177" fontId="9" fillId="3" borderId="1" xfId="0" applyFont="1" applyFill="1" applyBorder="1"/>
    <xf numFmtId="177" fontId="4" fillId="0" borderId="0" xfId="1" applyFont="1" applyAlignment="1">
      <alignment horizontal="center" vertical="center" wrapText="1"/>
    </xf>
    <xf numFmtId="177" fontId="4" fillId="0" borderId="0" xfId="1" applyFont="1" applyBorder="1" applyAlignment="1" applyProtection="1">
      <alignment horizontal="left"/>
      <protection locked="0"/>
    </xf>
    <xf numFmtId="165" fontId="4" fillId="0" borderId="6" xfId="1" applyNumberFormat="1" applyFont="1" applyBorder="1" applyAlignment="1" applyProtection="1">
      <alignment horizontal="center"/>
      <protection locked="0"/>
    </xf>
    <xf numFmtId="177" fontId="0" fillId="0" borderId="0" xfId="0" applyAlignment="1">
      <alignment horizontal="center"/>
    </xf>
    <xf numFmtId="177" fontId="4" fillId="0" borderId="0" xfId="1" applyFont="1" applyAlignment="1">
      <alignment vertical="center" wrapText="1"/>
    </xf>
    <xf numFmtId="177" fontId="2" fillId="0" borderId="0" xfId="1" applyFont="1" applyBorder="1" applyAlignment="1" applyProtection="1">
      <protection locked="0"/>
    </xf>
    <xf numFmtId="165" fontId="4" fillId="0" borderId="0" xfId="1" applyNumberFormat="1" applyFont="1" applyBorder="1" applyAlignment="1" applyProtection="1">
      <protection locked="0"/>
    </xf>
    <xf numFmtId="165" fontId="4" fillId="0" borderId="0" xfId="1" applyNumberFormat="1" applyFont="1" applyBorder="1" applyAlignment="1" applyProtection="1">
      <alignment horizontal="center"/>
      <protection locked="0"/>
    </xf>
    <xf numFmtId="177" fontId="4" fillId="0" borderId="6" xfId="1" applyFont="1" applyBorder="1" applyAlignment="1" applyProtection="1">
      <protection locked="0"/>
    </xf>
    <xf numFmtId="165" fontId="4" fillId="0" borderId="6" xfId="1" applyNumberFormat="1" applyFont="1" applyBorder="1" applyAlignment="1" applyProtection="1">
      <protection locked="0"/>
    </xf>
    <xf numFmtId="177" fontId="4" fillId="4" borderId="1" xfId="2" applyFont="1" applyFill="1" applyBorder="1" applyAlignment="1">
      <alignment horizontal="center" vertical="center" wrapText="1"/>
    </xf>
    <xf numFmtId="177" fontId="4" fillId="4" borderId="1" xfId="1" applyFont="1" applyFill="1" applyBorder="1" applyAlignment="1">
      <alignment horizontal="center" vertical="center" wrapText="1"/>
    </xf>
    <xf numFmtId="177" fontId="4" fillId="4" borderId="2" xfId="2" applyFont="1" applyFill="1" applyBorder="1" applyAlignment="1">
      <alignment horizontal="center" vertical="center" wrapText="1"/>
    </xf>
    <xf numFmtId="177" fontId="4" fillId="4" borderId="1" xfId="2" applyFont="1" applyFill="1" applyBorder="1" applyAlignment="1">
      <alignment vertical="center" wrapText="1"/>
    </xf>
    <xf numFmtId="177" fontId="12" fillId="0" borderId="1" xfId="0" applyFont="1" applyBorder="1"/>
    <xf numFmtId="49" fontId="1" fillId="0" borderId="1" xfId="0" applyNumberFormat="1" applyFont="1" applyFill="1" applyBorder="1" applyAlignment="1">
      <alignment horizontal="left" vertical="center"/>
    </xf>
    <xf numFmtId="14" fontId="1" fillId="0" borderId="1" xfId="0" applyNumberFormat="1" applyFont="1" applyFill="1" applyBorder="1" applyAlignment="1">
      <alignment horizontal="left" vertical="center"/>
    </xf>
    <xf numFmtId="166" fontId="1" fillId="0" borderId="1" xfId="1" applyNumberFormat="1" applyFont="1" applyFill="1" applyBorder="1" applyAlignment="1" applyProtection="1">
      <alignment horizontal="right" vertical="center"/>
      <protection locked="0"/>
    </xf>
    <xf numFmtId="49" fontId="1" fillId="0" borderId="1" xfId="0" applyNumberFormat="1" applyFont="1" applyFill="1" applyBorder="1" applyAlignment="1" applyProtection="1">
      <alignment horizontal="left" vertical="center"/>
      <protection locked="0"/>
    </xf>
    <xf numFmtId="14" fontId="1" fillId="0" borderId="1" xfId="0" applyNumberFormat="1" applyFont="1" applyFill="1" applyBorder="1" applyAlignment="1" applyProtection="1">
      <alignment horizontal="left" vertical="center"/>
      <protection locked="0"/>
    </xf>
    <xf numFmtId="177" fontId="1" fillId="0" borderId="4" xfId="1" applyFont="1" applyFill="1" applyBorder="1" applyAlignment="1" applyProtection="1">
      <alignment horizontal="right" vertical="center"/>
      <protection locked="0"/>
    </xf>
    <xf numFmtId="166" fontId="1" fillId="0" borderId="4" xfId="1" applyNumberFormat="1" applyFont="1" applyFill="1" applyBorder="1" applyAlignment="1" applyProtection="1">
      <alignment horizontal="right" vertical="center"/>
      <protection locked="0"/>
    </xf>
    <xf numFmtId="177" fontId="12" fillId="0" borderId="4" xfId="0" applyFont="1" applyBorder="1"/>
    <xf numFmtId="167" fontId="12" fillId="0" borderId="4" xfId="0" applyNumberFormat="1" applyFont="1" applyBorder="1"/>
    <xf numFmtId="177" fontId="0" fillId="0" borderId="7" xfId="0" applyBorder="1"/>
    <xf numFmtId="177" fontId="1" fillId="0" borderId="7" xfId="1" applyFont="1" applyFill="1" applyBorder="1" applyAlignment="1">
      <alignment horizontal="right" vertical="center"/>
    </xf>
    <xf numFmtId="177" fontId="1" fillId="0" borderId="7" xfId="0" applyFont="1" applyFill="1" applyBorder="1" applyAlignment="1">
      <alignment horizontal="left" vertical="center"/>
    </xf>
    <xf numFmtId="177" fontId="1" fillId="0" borderId="7" xfId="0" applyFont="1" applyFill="1" applyBorder="1" applyAlignment="1">
      <alignment horizontal="right" vertical="center"/>
    </xf>
    <xf numFmtId="177" fontId="7" fillId="0" borderId="0" xfId="0" applyFont="1"/>
    <xf numFmtId="177" fontId="1" fillId="0" borderId="5" xfId="0" applyFont="1" applyFill="1" applyBorder="1" applyAlignment="1" applyProtection="1">
      <alignment vertical="center"/>
      <protection locked="0"/>
    </xf>
    <xf numFmtId="177" fontId="0" fillId="0" borderId="5" xfId="0" applyBorder="1"/>
    <xf numFmtId="166" fontId="1" fillId="0" borderId="5" xfId="1" applyNumberFormat="1" applyFont="1" applyFill="1" applyBorder="1" applyAlignment="1" applyProtection="1">
      <alignment vertical="center"/>
      <protection locked="0"/>
    </xf>
    <xf numFmtId="167" fontId="0" fillId="0" borderId="3" xfId="0" applyNumberFormat="1" applyBorder="1"/>
    <xf numFmtId="177" fontId="10" fillId="0" borderId="1" xfId="0" applyFont="1" applyBorder="1" applyAlignment="1">
      <alignment horizontal="center"/>
    </xf>
    <xf numFmtId="177" fontId="7" fillId="0" borderId="1" xfId="0" applyFont="1" applyBorder="1" applyAlignment="1">
      <alignment horizontal="center"/>
    </xf>
    <xf numFmtId="177" fontId="7" fillId="0" borderId="1" xfId="0" applyFont="1" applyBorder="1" applyAlignment="1">
      <alignment horizontal="left"/>
    </xf>
    <xf numFmtId="177" fontId="16" fillId="0" borderId="1" xfId="0" applyFont="1" applyBorder="1" applyAlignment="1">
      <alignment vertical="center"/>
    </xf>
    <xf numFmtId="1" fontId="12" fillId="0" borderId="1" xfId="0" applyNumberFormat="1" applyFont="1" applyBorder="1"/>
    <xf numFmtId="177" fontId="1" fillId="0" borderId="0" xfId="1" applyFont="1" applyAlignment="1" applyProtection="1">
      <alignment horizontal="center" vertical="center"/>
    </xf>
    <xf numFmtId="1" fontId="1" fillId="0" borderId="0" xfId="1" applyNumberFormat="1" applyFont="1" applyAlignment="1" applyProtection="1">
      <alignment horizontal="center" vertical="center"/>
    </xf>
    <xf numFmtId="177" fontId="0" fillId="0" borderId="0" xfId="0" applyProtection="1"/>
    <xf numFmtId="177" fontId="1" fillId="0" borderId="0" xfId="1" applyNumberFormat="1" applyFont="1" applyAlignment="1" applyProtection="1">
      <alignment horizontal="center" vertical="center"/>
    </xf>
    <xf numFmtId="177" fontId="1" fillId="0" borderId="0" xfId="1" applyFont="1" applyBorder="1" applyAlignment="1" applyProtection="1">
      <alignment horizontal="center" vertical="center"/>
    </xf>
    <xf numFmtId="177" fontId="6" fillId="0" borderId="0" xfId="1" applyFont="1" applyAlignment="1" applyProtection="1">
      <alignment horizontal="center" vertical="center"/>
    </xf>
    <xf numFmtId="177" fontId="7" fillId="0" borderId="1" xfId="1" applyFont="1" applyBorder="1" applyAlignment="1" applyProtection="1">
      <alignment horizontal="center" vertical="center"/>
    </xf>
    <xf numFmtId="177" fontId="1" fillId="0" borderId="0" xfId="1" applyFont="1" applyFill="1" applyBorder="1" applyAlignment="1" applyProtection="1">
      <alignment horizontal="center" vertical="center"/>
    </xf>
    <xf numFmtId="20" fontId="3" fillId="0" borderId="1" xfId="1" applyNumberFormat="1" applyFont="1" applyFill="1" applyBorder="1" applyAlignment="1" applyProtection="1">
      <alignment horizontal="center" vertical="center"/>
    </xf>
    <xf numFmtId="177" fontId="7" fillId="0" borderId="0" xfId="1" applyNumberFormat="1" applyFont="1" applyAlignment="1" applyProtection="1">
      <alignment horizontal="center" vertical="center"/>
    </xf>
    <xf numFmtId="177" fontId="7" fillId="0" borderId="0" xfId="1" applyFont="1" applyAlignment="1" applyProtection="1">
      <alignment horizontal="center" vertical="center"/>
    </xf>
    <xf numFmtId="14" fontId="18" fillId="0" borderId="0" xfId="1" applyNumberFormat="1" applyFont="1" applyAlignment="1" applyProtection="1">
      <alignment horizontal="center" vertical="center"/>
    </xf>
    <xf numFmtId="177" fontId="1" fillId="0" borderId="0" xfId="1" applyProtection="1"/>
    <xf numFmtId="177" fontId="1" fillId="0" borderId="0" xfId="1" applyFont="1" applyProtection="1"/>
    <xf numFmtId="14" fontId="1" fillId="0" borderId="0" xfId="1" applyNumberFormat="1" applyFont="1" applyProtection="1"/>
    <xf numFmtId="177" fontId="4" fillId="0" borderId="0" xfId="1" applyFont="1" applyAlignment="1" applyProtection="1">
      <alignment horizontal="center" vertical="center" wrapText="1"/>
    </xf>
    <xf numFmtId="14" fontId="4" fillId="0" borderId="0" xfId="1" applyNumberFormat="1" applyFont="1" applyBorder="1" applyAlignment="1" applyProtection="1"/>
    <xf numFmtId="177" fontId="4" fillId="0" borderId="0" xfId="1" applyFont="1" applyBorder="1" applyAlignment="1" applyProtection="1"/>
    <xf numFmtId="177" fontId="4" fillId="0" borderId="6" xfId="1" applyFont="1" applyBorder="1" applyAlignment="1" applyProtection="1">
      <alignment horizontal="center"/>
    </xf>
    <xf numFmtId="177" fontId="4" fillId="0" borderId="0" xfId="1" applyFont="1" applyBorder="1" applyAlignment="1" applyProtection="1">
      <alignment horizontal="right"/>
    </xf>
    <xf numFmtId="177" fontId="1" fillId="0" borderId="1" xfId="1" quotePrefix="1" applyFont="1" applyBorder="1" applyAlignment="1" applyProtection="1">
      <alignment horizontal="center"/>
    </xf>
    <xf numFmtId="14" fontId="4" fillId="0" borderId="0" xfId="1" applyNumberFormat="1" applyFont="1" applyBorder="1" applyAlignment="1" applyProtection="1">
      <alignment horizontal="center"/>
    </xf>
    <xf numFmtId="165" fontId="4" fillId="0" borderId="0" xfId="1" applyNumberFormat="1" applyFont="1" applyBorder="1" applyAlignment="1" applyProtection="1"/>
    <xf numFmtId="177" fontId="4" fillId="0" borderId="0" xfId="1" applyFont="1" applyAlignment="1" applyProtection="1">
      <alignment horizontal="right"/>
    </xf>
    <xf numFmtId="177" fontId="1" fillId="0" borderId="1" xfId="1" applyFont="1" applyBorder="1" applyProtection="1"/>
    <xf numFmtId="177" fontId="4" fillId="0" borderId="6" xfId="1" applyFont="1" applyBorder="1" applyAlignment="1" applyProtection="1"/>
    <xf numFmtId="177" fontId="4" fillId="0" borderId="0" xfId="1" applyFont="1" applyBorder="1" applyAlignment="1" applyProtection="1">
      <alignment horizontal="left"/>
    </xf>
    <xf numFmtId="14" fontId="4" fillId="0" borderId="0" xfId="1" applyNumberFormat="1" applyFont="1" applyBorder="1" applyAlignment="1" applyProtection="1">
      <alignment horizontal="left"/>
    </xf>
    <xf numFmtId="165" fontId="4" fillId="0" borderId="6" xfId="1" applyNumberFormat="1" applyFont="1" applyBorder="1" applyAlignment="1" applyProtection="1">
      <alignment horizontal="center"/>
    </xf>
    <xf numFmtId="165" fontId="4" fillId="0" borderId="6" xfId="1" applyNumberFormat="1" applyFont="1" applyBorder="1" applyAlignment="1" applyProtection="1"/>
    <xf numFmtId="177" fontId="4" fillId="4" borderId="1" xfId="2" applyFont="1" applyFill="1" applyBorder="1" applyAlignment="1" applyProtection="1">
      <alignment horizontal="center" vertical="center" wrapText="1"/>
    </xf>
    <xf numFmtId="177" fontId="4" fillId="4" borderId="1" xfId="1" applyFont="1" applyFill="1" applyBorder="1" applyAlignment="1" applyProtection="1">
      <alignment horizontal="center" vertical="center" wrapText="1"/>
    </xf>
    <xf numFmtId="177" fontId="4" fillId="2" borderId="1" xfId="2" applyFont="1" applyFill="1" applyBorder="1" applyAlignment="1" applyProtection="1">
      <alignment horizontal="center" vertical="center" wrapText="1"/>
    </xf>
    <xf numFmtId="1" fontId="1" fillId="0" borderId="1" xfId="2" applyNumberFormat="1" applyFont="1" applyFill="1" applyBorder="1" applyAlignment="1" applyProtection="1">
      <alignment horizontal="center" vertical="center" wrapText="1"/>
    </xf>
    <xf numFmtId="177" fontId="1" fillId="0" borderId="1" xfId="1" applyFont="1" applyFill="1" applyBorder="1" applyAlignment="1" applyProtection="1">
      <alignment horizontal="center" vertical="center" wrapText="1"/>
    </xf>
    <xf numFmtId="177" fontId="1" fillId="0" borderId="1" xfId="2" applyFont="1" applyFill="1" applyBorder="1" applyAlignment="1" applyProtection="1">
      <alignment horizontal="center" vertical="center" wrapText="1"/>
    </xf>
    <xf numFmtId="177" fontId="1" fillId="0" borderId="1" xfId="2" applyFont="1" applyFill="1" applyBorder="1" applyAlignment="1" applyProtection="1">
      <alignment horizontal="left" vertical="center"/>
    </xf>
    <xf numFmtId="14" fontId="1" fillId="0" borderId="1" xfId="2" applyNumberFormat="1" applyFont="1" applyFill="1" applyBorder="1" applyAlignment="1" applyProtection="1">
      <alignment horizontal="center" vertical="center" wrapText="1"/>
    </xf>
    <xf numFmtId="177" fontId="16" fillId="0" borderId="1" xfId="0" applyFont="1" applyBorder="1" applyAlignment="1" applyProtection="1">
      <alignment horizontal="center" vertical="center"/>
    </xf>
    <xf numFmtId="177" fontId="1" fillId="0" borderId="1" xfId="1" applyFont="1" applyFill="1" applyBorder="1" applyAlignment="1" applyProtection="1">
      <alignment horizontal="center" vertical="center"/>
    </xf>
    <xf numFmtId="177" fontId="16" fillId="0" borderId="7" xfId="0" applyFont="1" applyBorder="1" applyProtection="1"/>
    <xf numFmtId="177" fontId="1" fillId="0" borderId="7" xfId="1" applyFont="1" applyFill="1" applyBorder="1" applyAlignment="1" applyProtection="1">
      <alignment horizontal="right" vertical="center"/>
    </xf>
    <xf numFmtId="177" fontId="1" fillId="0" borderId="7" xfId="0" applyFont="1" applyFill="1" applyBorder="1" applyAlignment="1" applyProtection="1">
      <alignment horizontal="left" vertical="center"/>
    </xf>
    <xf numFmtId="177" fontId="1" fillId="0" borderId="7" xfId="0" applyFont="1" applyFill="1" applyBorder="1" applyAlignment="1" applyProtection="1">
      <alignment horizontal="right" vertical="center"/>
    </xf>
    <xf numFmtId="14" fontId="1" fillId="0" borderId="0" xfId="0" applyNumberFormat="1" applyFont="1" applyProtection="1"/>
    <xf numFmtId="177" fontId="1" fillId="0" borderId="5" xfId="0" applyFont="1" applyFill="1" applyBorder="1" applyAlignment="1" applyProtection="1">
      <alignment vertical="center"/>
    </xf>
    <xf numFmtId="177" fontId="1" fillId="0" borderId="0" xfId="0" applyFont="1" applyFill="1" applyBorder="1" applyAlignment="1" applyProtection="1">
      <alignment vertical="center"/>
    </xf>
    <xf numFmtId="177" fontId="1" fillId="0" borderId="0" xfId="0" applyFont="1" applyFill="1" applyBorder="1" applyAlignment="1" applyProtection="1">
      <alignment horizontal="center" vertical="center"/>
    </xf>
    <xf numFmtId="177" fontId="16" fillId="0" borderId="0" xfId="0" applyFont="1" applyProtection="1"/>
    <xf numFmtId="14" fontId="16" fillId="0" borderId="0" xfId="0" applyNumberFormat="1" applyFont="1" applyAlignment="1" applyProtection="1">
      <alignment horizontal="center"/>
    </xf>
    <xf numFmtId="177" fontId="1" fillId="0" borderId="1" xfId="0" applyFont="1" applyFill="1" applyBorder="1" applyAlignment="1" applyProtection="1">
      <alignment horizontal="left" vertical="center"/>
    </xf>
    <xf numFmtId="177" fontId="17" fillId="0" borderId="1" xfId="0" applyFont="1" applyBorder="1" applyAlignment="1" applyProtection="1">
      <alignment horizontal="center"/>
    </xf>
    <xf numFmtId="177" fontId="16" fillId="0" borderId="1" xfId="0" applyFont="1" applyBorder="1" applyProtection="1"/>
    <xf numFmtId="14" fontId="16" fillId="0" borderId="1" xfId="0" applyNumberFormat="1" applyFont="1" applyBorder="1" applyAlignment="1" applyProtection="1">
      <alignment horizontal="center"/>
    </xf>
    <xf numFmtId="177" fontId="1" fillId="0" borderId="1" xfId="0" applyFont="1" applyBorder="1" applyAlignment="1" applyProtection="1">
      <alignment horizontal="center"/>
    </xf>
    <xf numFmtId="177" fontId="1" fillId="0" borderId="1" xfId="0" applyFont="1" applyBorder="1" applyAlignment="1" applyProtection="1">
      <alignment horizontal="left"/>
    </xf>
    <xf numFmtId="14" fontId="16" fillId="0" borderId="0" xfId="0" applyNumberFormat="1" applyFont="1" applyProtection="1"/>
    <xf numFmtId="177" fontId="16" fillId="0" borderId="1" xfId="0" applyFont="1" applyBorder="1" applyAlignment="1" applyProtection="1">
      <alignment horizontal="center"/>
    </xf>
    <xf numFmtId="14" fontId="0" fillId="0" borderId="0" xfId="0" applyNumberFormat="1" applyProtection="1"/>
    <xf numFmtId="177" fontId="1" fillId="0" borderId="0" xfId="3" applyNumberFormat="1" applyProtection="1"/>
    <xf numFmtId="177" fontId="1" fillId="0" borderId="0" xfId="3" applyProtection="1"/>
    <xf numFmtId="177" fontId="4" fillId="4" borderId="1" xfId="3" applyFont="1" applyFill="1" applyBorder="1" applyAlignment="1" applyProtection="1">
      <alignment horizontal="center" wrapText="1"/>
    </xf>
    <xf numFmtId="177" fontId="4" fillId="4" borderId="1" xfId="1" applyFont="1" applyFill="1" applyBorder="1" applyAlignment="1" applyProtection="1">
      <alignment horizontal="center" wrapText="1"/>
    </xf>
    <xf numFmtId="177" fontId="4" fillId="4" borderId="1" xfId="1" applyFont="1" applyFill="1" applyBorder="1" applyAlignment="1" applyProtection="1">
      <alignment horizontal="center"/>
    </xf>
    <xf numFmtId="177" fontId="4" fillId="4" borderId="1" xfId="3" applyFont="1" applyFill="1" applyBorder="1" applyAlignment="1" applyProtection="1">
      <alignment horizontal="center"/>
    </xf>
    <xf numFmtId="1" fontId="1" fillId="0" borderId="1" xfId="1" applyNumberFormat="1" applyFont="1" applyBorder="1" applyAlignment="1" applyProtection="1">
      <alignment horizontal="left"/>
    </xf>
    <xf numFmtId="177" fontId="1" fillId="0" borderId="1" xfId="1" applyFont="1" applyFill="1" applyBorder="1" applyAlignment="1" applyProtection="1">
      <alignment horizontal="left"/>
    </xf>
    <xf numFmtId="1" fontId="1" fillId="0" borderId="1" xfId="1" applyNumberFormat="1" applyFont="1" applyFill="1" applyBorder="1" applyAlignment="1" applyProtection="1">
      <alignment horizontal="left"/>
    </xf>
    <xf numFmtId="177" fontId="5" fillId="0" borderId="1" xfId="0" applyFont="1" applyBorder="1" applyAlignment="1" applyProtection="1">
      <alignment horizontal="left"/>
    </xf>
    <xf numFmtId="177" fontId="1" fillId="0" borderId="1" xfId="3" applyFont="1" applyBorder="1" applyProtection="1"/>
    <xf numFmtId="177" fontId="8" fillId="0" borderId="1" xfId="3" applyFont="1" applyBorder="1" applyProtection="1"/>
    <xf numFmtId="177" fontId="1" fillId="0" borderId="0" xfId="3" applyFont="1" applyBorder="1" applyProtection="1"/>
    <xf numFmtId="177" fontId="1" fillId="0" borderId="1" xfId="0" applyNumberFormat="1" applyFont="1" applyFill="1" applyBorder="1" applyAlignment="1" applyProtection="1">
      <alignment horizontal="center"/>
    </xf>
    <xf numFmtId="177" fontId="5" fillId="0" borderId="1" xfId="0" applyNumberFormat="1" applyFont="1" applyFill="1" applyBorder="1" applyAlignment="1" applyProtection="1">
      <alignment horizontal="center"/>
    </xf>
    <xf numFmtId="177" fontId="16" fillId="0" borderId="1" xfId="0" applyNumberFormat="1" applyFont="1" applyFill="1" applyBorder="1" applyAlignment="1" applyProtection="1">
      <alignment horizontal="center"/>
    </xf>
    <xf numFmtId="177" fontId="1" fillId="0" borderId="1" xfId="1" applyNumberFormat="1" applyFont="1" applyFill="1" applyBorder="1" applyAlignment="1" applyProtection="1">
      <alignment horizontal="center"/>
    </xf>
    <xf numFmtId="177" fontId="0" fillId="0" borderId="0" xfId="0" applyNumberFormat="1" applyFill="1" applyProtection="1"/>
    <xf numFmtId="14" fontId="16" fillId="0" borderId="1" xfId="0" applyNumberFormat="1" applyFont="1" applyBorder="1" applyAlignment="1" applyProtection="1">
      <alignment horizontal="center"/>
      <protection locked="0"/>
    </xf>
    <xf numFmtId="177" fontId="3" fillId="0" borderId="0" xfId="1" applyFont="1" applyAlignment="1">
      <alignment horizontal="center" vertical="center" wrapText="1"/>
    </xf>
    <xf numFmtId="177" fontId="1" fillId="0" borderId="0" xfId="1" applyAlignment="1">
      <alignment vertical="center" wrapText="1"/>
    </xf>
    <xf numFmtId="177" fontId="23" fillId="2" borderId="1" xfId="1" applyFont="1" applyFill="1" applyBorder="1" applyAlignment="1">
      <alignment horizontal="center" vertical="center" wrapText="1"/>
    </xf>
    <xf numFmtId="14" fontId="1" fillId="0" borderId="1" xfId="1" applyNumberFormat="1" applyBorder="1" applyAlignment="1">
      <alignment horizontal="center" vertical="center" wrapText="1"/>
    </xf>
    <xf numFmtId="177" fontId="1" fillId="0" borderId="1" xfId="1" applyBorder="1" applyAlignment="1">
      <alignment horizontal="center" vertical="center" wrapText="1"/>
    </xf>
    <xf numFmtId="177" fontId="3" fillId="0" borderId="0" xfId="2625" applyFont="1" applyAlignment="1">
      <alignment horizontal="center" wrapText="1"/>
    </xf>
    <xf numFmtId="177" fontId="1" fillId="0" borderId="0" xfId="2625"/>
    <xf numFmtId="177" fontId="4" fillId="0" borderId="1" xfId="2625" applyFont="1" applyBorder="1"/>
    <xf numFmtId="177" fontId="4" fillId="0" borderId="0" xfId="2625" applyFont="1"/>
    <xf numFmtId="177" fontId="4" fillId="2" borderId="1" xfId="2625" applyFont="1" applyFill="1" applyBorder="1" applyAlignment="1">
      <alignment horizontal="center" wrapText="1"/>
    </xf>
    <xf numFmtId="9" fontId="1" fillId="0" borderId="1" xfId="2625" applyNumberFormat="1" applyBorder="1"/>
    <xf numFmtId="14" fontId="8" fillId="0" borderId="1" xfId="2625" applyNumberFormat="1" applyFont="1" applyBorder="1"/>
    <xf numFmtId="177" fontId="8" fillId="0" borderId="1" xfId="2625" applyFont="1" applyBorder="1"/>
    <xf numFmtId="9" fontId="1" fillId="0" borderId="1" xfId="2625" quotePrefix="1" applyNumberFormat="1" applyFont="1" applyBorder="1" applyAlignment="1">
      <alignment horizontal="right"/>
    </xf>
    <xf numFmtId="177" fontId="1" fillId="0" borderId="1" xfId="2625" applyBorder="1"/>
    <xf numFmtId="177" fontId="1" fillId="0" borderId="1" xfId="2625" quotePrefix="1" applyFont="1" applyBorder="1" applyAlignment="1">
      <alignment horizontal="right"/>
    </xf>
    <xf numFmtId="14" fontId="1" fillId="0" borderId="1" xfId="2625" applyNumberFormat="1" applyBorder="1"/>
    <xf numFmtId="177" fontId="43" fillId="2" borderId="1" xfId="2625" applyFont="1" applyFill="1" applyBorder="1" applyAlignment="1">
      <alignment horizontal="center" vertical="center"/>
    </xf>
    <xf numFmtId="177" fontId="5" fillId="0" borderId="0" xfId="2625" applyFont="1"/>
    <xf numFmtId="177" fontId="6" fillId="0" borderId="1" xfId="1" applyFont="1" applyFill="1" applyBorder="1" applyAlignment="1">
      <alignment horizontal="center" vertical="center"/>
    </xf>
    <xf numFmtId="177" fontId="6" fillId="0" borderId="1" xfId="2625" applyFont="1" applyFill="1" applyBorder="1" applyAlignment="1">
      <alignment horizontal="center" vertical="center"/>
    </xf>
    <xf numFmtId="14" fontId="45" fillId="0" borderId="1" xfId="2625" applyNumberFormat="1" applyFont="1" applyFill="1" applyBorder="1" applyAlignment="1">
      <alignment horizontal="center" vertical="center"/>
    </xf>
    <xf numFmtId="177" fontId="45" fillId="0" borderId="1" xfId="2625" applyFont="1" applyFill="1" applyBorder="1" applyAlignment="1">
      <alignment horizontal="center" vertical="center"/>
    </xf>
    <xf numFmtId="14" fontId="45" fillId="0" borderId="1" xfId="2625" applyNumberFormat="1" applyFont="1" applyFill="1" applyBorder="1" applyAlignment="1">
      <alignment horizontal="center" vertical="center"/>
    </xf>
    <xf numFmtId="177" fontId="45" fillId="0" borderId="1" xfId="2625" applyFont="1" applyBorder="1" applyAlignment="1">
      <alignment horizontal="center" vertical="center"/>
    </xf>
    <xf numFmtId="177" fontId="7" fillId="0" borderId="1" xfId="9" applyFont="1" applyFill="1" applyBorder="1" applyAlignment="1" applyProtection="1">
      <alignment horizontal="left" vertical="center"/>
      <protection locked="0"/>
    </xf>
    <xf numFmtId="1" fontId="7" fillId="0" borderId="1" xfId="9" applyNumberFormat="1" applyFont="1" applyFill="1" applyBorder="1" applyAlignment="1" applyProtection="1">
      <alignment horizontal="left" vertical="center"/>
      <protection locked="0"/>
    </xf>
    <xf numFmtId="177" fontId="7" fillId="0" borderId="1" xfId="1" applyFont="1" applyFill="1" applyBorder="1" applyAlignment="1" applyProtection="1">
      <alignment horizontal="left" vertical="center"/>
      <protection locked="0"/>
    </xf>
    <xf numFmtId="1" fontId="7" fillId="0" borderId="1" xfId="1" applyNumberFormat="1" applyFont="1" applyFill="1" applyBorder="1" applyAlignment="1" applyProtection="1">
      <alignment horizontal="left" vertical="center"/>
      <protection locked="0"/>
    </xf>
    <xf numFmtId="177" fontId="3" fillId="0" borderId="1" xfId="1" applyFont="1" applyFill="1" applyBorder="1" applyProtection="1">
      <protection locked="0"/>
    </xf>
    <xf numFmtId="177" fontId="3" fillId="0" borderId="1" xfId="1" applyFont="1" applyFill="1" applyBorder="1" applyAlignment="1" applyProtection="1">
      <alignment horizontal="center"/>
      <protection locked="0"/>
    </xf>
    <xf numFmtId="177" fontId="7" fillId="0" borderId="22" xfId="1" applyFont="1" applyFill="1" applyBorder="1" applyAlignment="1" applyProtection="1">
      <alignment horizontal="center" vertical="center"/>
    </xf>
    <xf numFmtId="177" fontId="0" fillId="0" borderId="0" xfId="0" applyAlignment="1">
      <alignment wrapText="1"/>
    </xf>
    <xf numFmtId="177" fontId="23" fillId="4" borderId="1" xfId="1" applyNumberFormat="1" applyFont="1" applyFill="1" applyBorder="1" applyAlignment="1">
      <alignment horizontal="center" vertical="center" wrapText="1"/>
    </xf>
    <xf numFmtId="177" fontId="46" fillId="4" borderId="1" xfId="1" applyNumberFormat="1" applyFont="1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/>
    <xf numFmtId="14" fontId="23" fillId="4" borderId="1" xfId="1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4" fontId="1" fillId="0" borderId="0" xfId="1" applyNumberFormat="1" applyFont="1" applyAlignment="1" applyProtection="1">
      <alignment horizontal="center" vertical="center"/>
    </xf>
    <xf numFmtId="174" fontId="0" fillId="0" borderId="1" xfId="0" applyNumberFormat="1" applyBorder="1" applyAlignment="1">
      <alignment horizontal="center" vertical="center"/>
    </xf>
    <xf numFmtId="173" fontId="47" fillId="0" borderId="0" xfId="0" applyNumberFormat="1" applyFont="1" applyBorder="1" applyAlignment="1">
      <alignment horizontal="center" vertical="center" shrinkToFit="1"/>
    </xf>
    <xf numFmtId="177" fontId="47" fillId="0" borderId="0" xfId="0" applyNumberFormat="1" applyFont="1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177" fontId="49" fillId="0" borderId="1" xfId="0" applyNumberFormat="1" applyFont="1" applyFill="1" applyBorder="1" applyAlignment="1" applyProtection="1">
      <alignment horizontal="center"/>
    </xf>
    <xf numFmtId="177" fontId="1" fillId="3" borderId="1" xfId="0" applyNumberFormat="1" applyFont="1" applyFill="1" applyBorder="1" applyAlignment="1" applyProtection="1">
      <alignment horizontal="center"/>
    </xf>
    <xf numFmtId="177" fontId="5" fillId="3" borderId="1" xfId="0" applyNumberFormat="1" applyFont="1" applyFill="1" applyBorder="1" applyAlignment="1" applyProtection="1">
      <alignment horizontal="center"/>
    </xf>
    <xf numFmtId="177" fontId="16" fillId="3" borderId="1" xfId="0" applyNumberFormat="1" applyFont="1" applyFill="1" applyBorder="1" applyAlignment="1" applyProtection="1">
      <alignment horizontal="center"/>
    </xf>
    <xf numFmtId="177" fontId="49" fillId="3" borderId="1" xfId="0" applyNumberFormat="1" applyFont="1" applyFill="1" applyBorder="1" applyAlignment="1" applyProtection="1">
      <alignment horizontal="center"/>
    </xf>
    <xf numFmtId="176" fontId="0" fillId="0" borderId="0" xfId="0" applyNumberFormat="1"/>
    <xf numFmtId="177" fontId="0" fillId="0" borderId="0" xfId="0" applyAlignment="1">
      <alignment vertical="center"/>
    </xf>
    <xf numFmtId="177" fontId="0" fillId="0" borderId="0" xfId="0" applyBorder="1" applyAlignment="1">
      <alignment vertical="center" wrapText="1"/>
    </xf>
    <xf numFmtId="177" fontId="0" fillId="0" borderId="0" xfId="0" applyBorder="1" applyAlignment="1">
      <alignment vertical="center"/>
    </xf>
    <xf numFmtId="177" fontId="47" fillId="0" borderId="0" xfId="0" applyFont="1" applyBorder="1" applyAlignment="1">
      <alignment horizontal="center" vertical="center" shrinkToFit="1"/>
    </xf>
    <xf numFmtId="177" fontId="48" fillId="0" borderId="0" xfId="0" applyFont="1" applyBorder="1" applyAlignment="1">
      <alignment shrinkToFit="1"/>
    </xf>
    <xf numFmtId="177" fontId="47" fillId="0" borderId="0" xfId="0" applyFont="1" applyBorder="1" applyAlignment="1">
      <alignment shrinkToFit="1"/>
    </xf>
    <xf numFmtId="177" fontId="47" fillId="0" borderId="0" xfId="0" applyFont="1" applyBorder="1" applyAlignment="1">
      <alignment horizontal="center" vertical="center" shrinkToFit="1"/>
    </xf>
    <xf numFmtId="49" fontId="47" fillId="0" borderId="0" xfId="0" applyNumberFormat="1" applyFont="1" applyBorder="1" applyAlignment="1">
      <alignment shrinkToFit="1"/>
    </xf>
    <xf numFmtId="49" fontId="47" fillId="0" borderId="0" xfId="0" applyNumberFormat="1" applyFont="1" applyBorder="1" applyAlignment="1">
      <alignment vertical="center" shrinkToFit="1"/>
    </xf>
    <xf numFmtId="49" fontId="47" fillId="0" borderId="0" xfId="0" applyNumberFormat="1" applyFont="1" applyBorder="1" applyAlignment="1">
      <alignment vertical="center" textRotation="90" shrinkToFit="1"/>
    </xf>
    <xf numFmtId="177" fontId="0" fillId="0" borderId="0" xfId="0" applyBorder="1" applyProtection="1"/>
    <xf numFmtId="177" fontId="1" fillId="0" borderId="2" xfId="1" applyFont="1" applyFill="1" applyBorder="1" applyAlignment="1" applyProtection="1">
      <alignment horizontal="left"/>
    </xf>
    <xf numFmtId="11" fontId="16" fillId="0" borderId="1" xfId="0" applyNumberFormat="1" applyFont="1" applyBorder="1" applyAlignment="1" applyProtection="1">
      <alignment horizontal="center"/>
      <protection locked="0"/>
    </xf>
    <xf numFmtId="177" fontId="4" fillId="4" borderId="1" xfId="3" applyFont="1" applyFill="1" applyBorder="1" applyAlignment="1" applyProtection="1">
      <alignment horizontal="justify" vertical="justify"/>
    </xf>
    <xf numFmtId="1" fontId="57" fillId="0" borderId="0" xfId="1" applyNumberFormat="1" applyFont="1" applyAlignment="1" applyProtection="1">
      <alignment horizontal="center" vertical="center"/>
    </xf>
    <xf numFmtId="177" fontId="57" fillId="0" borderId="0" xfId="1" applyFont="1" applyAlignment="1" applyProtection="1">
      <alignment horizontal="center" vertical="center"/>
    </xf>
    <xf numFmtId="177" fontId="6" fillId="0" borderId="1" xfId="7" applyFont="1" applyFill="1" applyBorder="1" applyAlignment="1" applyProtection="1">
      <alignment horizontal="center" vertical="center"/>
    </xf>
    <xf numFmtId="177" fontId="60" fillId="0" borderId="1" xfId="1" applyFont="1" applyFill="1" applyBorder="1" applyAlignment="1" applyProtection="1">
      <alignment horizontal="center" vertical="center"/>
    </xf>
    <xf numFmtId="177" fontId="7" fillId="32" borderId="1" xfId="1" applyFont="1" applyFill="1" applyBorder="1" applyAlignment="1" applyProtection="1">
      <alignment horizontal="left" vertical="center"/>
      <protection locked="0"/>
    </xf>
    <xf numFmtId="177" fontId="69" fillId="30" borderId="0" xfId="1" applyNumberFormat="1" applyFont="1" applyFill="1" applyAlignment="1" applyProtection="1">
      <alignment horizontal="center" vertical="center"/>
    </xf>
    <xf numFmtId="177" fontId="18" fillId="0" borderId="0" xfId="1" applyNumberFormat="1" applyFont="1" applyAlignment="1" applyProtection="1">
      <alignment horizontal="center" vertical="center"/>
    </xf>
    <xf numFmtId="177" fontId="1" fillId="30" borderId="0" xfId="1" applyNumberFormat="1" applyFont="1" applyFill="1" applyAlignment="1" applyProtection="1">
      <alignment horizontal="center" vertical="center"/>
    </xf>
    <xf numFmtId="177" fontId="1" fillId="30" borderId="0" xfId="1" applyNumberFormat="1" applyFont="1" applyFill="1" applyAlignment="1" applyProtection="1">
      <alignment horizontal="left" vertical="center"/>
    </xf>
    <xf numFmtId="177" fontId="59" fillId="30" borderId="1" xfId="7" applyFont="1" applyFill="1" applyBorder="1" applyAlignment="1" applyProtection="1">
      <alignment horizontal="left" vertical="center"/>
    </xf>
    <xf numFmtId="1" fontId="57" fillId="30" borderId="1" xfId="7" applyNumberFormat="1" applyFont="1" applyFill="1" applyBorder="1" applyAlignment="1" applyProtection="1">
      <alignment horizontal="left" vertical="center"/>
    </xf>
    <xf numFmtId="177" fontId="57" fillId="30" borderId="1" xfId="7" applyFont="1" applyFill="1" applyBorder="1" applyAlignment="1" applyProtection="1">
      <alignment horizontal="left" vertical="center"/>
    </xf>
    <xf numFmtId="177" fontId="70" fillId="30" borderId="1" xfId="7" applyFont="1" applyFill="1" applyBorder="1" applyAlignment="1" applyProtection="1">
      <alignment horizontal="left" vertical="center"/>
    </xf>
    <xf numFmtId="177" fontId="71" fillId="30" borderId="1" xfId="7" applyFont="1" applyFill="1" applyBorder="1" applyAlignment="1" applyProtection="1">
      <alignment horizontal="left" vertical="center"/>
    </xf>
    <xf numFmtId="177" fontId="72" fillId="30" borderId="1" xfId="1" applyFont="1" applyFill="1" applyBorder="1" applyAlignment="1" applyProtection="1">
      <alignment horizontal="center" vertical="center"/>
    </xf>
    <xf numFmtId="177" fontId="11" fillId="30" borderId="1" xfId="1" applyFont="1" applyFill="1" applyBorder="1" applyAlignment="1" applyProtection="1">
      <alignment horizontal="center" vertical="center"/>
    </xf>
    <xf numFmtId="177" fontId="11" fillId="30" borderId="1" xfId="7" applyFont="1" applyFill="1" applyBorder="1" applyAlignment="1" applyProtection="1">
      <alignment horizontal="center" vertical="center"/>
    </xf>
    <xf numFmtId="2" fontId="11" fillId="30" borderId="1" xfId="1" applyNumberFormat="1" applyFont="1" applyFill="1" applyBorder="1" applyAlignment="1" applyProtection="1">
      <alignment horizontal="center" vertical="center"/>
    </xf>
    <xf numFmtId="177" fontId="1" fillId="30" borderId="1" xfId="7" applyFont="1" applyFill="1" applyBorder="1" applyAlignment="1" applyProtection="1">
      <alignment horizontal="center" vertical="center"/>
    </xf>
    <xf numFmtId="177" fontId="73" fillId="30" borderId="1" xfId="7" applyFont="1" applyFill="1" applyBorder="1" applyAlignment="1" applyProtection="1">
      <alignment horizontal="center" vertical="center"/>
    </xf>
    <xf numFmtId="1" fontId="58" fillId="30" borderId="1" xfId="1" applyNumberFormat="1" applyFont="1" applyFill="1" applyBorder="1" applyAlignment="1" applyProtection="1">
      <alignment horizontal="center" vertical="center"/>
    </xf>
    <xf numFmtId="177" fontId="1" fillId="0" borderId="0" xfId="1" applyFont="1" applyAlignment="1" applyProtection="1">
      <alignment horizontal="left" vertical="center"/>
    </xf>
    <xf numFmtId="177" fontId="74" fillId="30" borderId="1" xfId="1" applyFont="1" applyFill="1" applyBorder="1" applyAlignment="1" applyProtection="1">
      <alignment horizontal="center" vertical="center"/>
    </xf>
    <xf numFmtId="177" fontId="75" fillId="30" borderId="1" xfId="1" applyFont="1" applyFill="1" applyBorder="1" applyAlignment="1" applyProtection="1">
      <alignment horizontal="center" vertical="center"/>
    </xf>
    <xf numFmtId="177" fontId="0" fillId="0" borderId="1" xfId="0" applyNumberFormat="1" applyFill="1" applyBorder="1" applyAlignment="1" applyProtection="1">
      <alignment horizontal="center"/>
    </xf>
    <xf numFmtId="14" fontId="59" fillId="30" borderId="1" xfId="7" applyNumberFormat="1" applyFont="1" applyFill="1" applyBorder="1" applyAlignment="1" applyProtection="1">
      <alignment horizontal="center" vertical="center"/>
    </xf>
    <xf numFmtId="177" fontId="76" fillId="0" borderId="1" xfId="0" applyNumberFormat="1" applyFont="1" applyFill="1" applyBorder="1" applyAlignment="1" applyProtection="1">
      <alignment horizontal="center"/>
    </xf>
    <xf numFmtId="177" fontId="77" fillId="0" borderId="1" xfId="0" applyNumberFormat="1" applyFont="1" applyFill="1" applyBorder="1" applyAlignment="1" applyProtection="1">
      <alignment horizontal="center"/>
    </xf>
    <xf numFmtId="177" fontId="77" fillId="3" borderId="1" xfId="0" applyNumberFormat="1" applyFont="1" applyFill="1" applyBorder="1" applyAlignment="1" applyProtection="1">
      <alignment horizontal="center"/>
    </xf>
    <xf numFmtId="177" fontId="6" fillId="0" borderId="1" xfId="0" applyNumberFormat="1" applyFont="1" applyFill="1" applyBorder="1" applyAlignment="1" applyProtection="1">
      <alignment horizontal="center"/>
    </xf>
    <xf numFmtId="177" fontId="6" fillId="3" borderId="1" xfId="0" applyNumberFormat="1" applyFont="1" applyFill="1" applyBorder="1" applyAlignment="1" applyProtection="1">
      <alignment horizontal="center"/>
    </xf>
    <xf numFmtId="177" fontId="64" fillId="0" borderId="1" xfId="0" applyNumberFormat="1" applyFont="1" applyFill="1" applyBorder="1" applyAlignment="1" applyProtection="1">
      <alignment horizontal="center"/>
    </xf>
    <xf numFmtId="177" fontId="0" fillId="0" borderId="1" xfId="0" applyBorder="1" applyProtection="1"/>
    <xf numFmtId="177" fontId="0" fillId="4" borderId="1" xfId="0" applyFill="1" applyBorder="1" applyProtection="1"/>
    <xf numFmtId="177" fontId="0" fillId="4" borderId="0" xfId="0" applyFill="1" applyProtection="1"/>
    <xf numFmtId="177" fontId="3" fillId="0" borderId="1" xfId="1" applyFont="1" applyFill="1" applyBorder="1" applyAlignment="1" applyProtection="1">
      <alignment horizontal="center" vertical="center"/>
    </xf>
    <xf numFmtId="177" fontId="1" fillId="0" borderId="1" xfId="1" applyFont="1" applyBorder="1" applyAlignment="1" applyProtection="1">
      <alignment horizontal="center" vertical="center"/>
    </xf>
    <xf numFmtId="177" fontId="11" fillId="0" borderId="0" xfId="1" applyFont="1" applyAlignment="1" applyProtection="1">
      <alignment horizontal="center" vertical="center" wrapText="1"/>
    </xf>
    <xf numFmtId="177" fontId="4" fillId="0" borderId="0" xfId="1" applyFont="1" applyBorder="1" applyAlignment="1" applyProtection="1">
      <alignment horizontal="center"/>
    </xf>
    <xf numFmtId="177" fontId="1" fillId="0" borderId="1" xfId="0" applyFont="1" applyFill="1" applyBorder="1" applyAlignment="1" applyProtection="1">
      <alignment horizontal="center" vertical="center"/>
    </xf>
    <xf numFmtId="177" fontId="20" fillId="2" borderId="8" xfId="0" applyFont="1" applyFill="1" applyBorder="1" applyAlignment="1" applyProtection="1">
      <alignment horizontal="center"/>
    </xf>
    <xf numFmtId="177" fontId="4" fillId="0" borderId="9" xfId="0" applyFont="1" applyBorder="1" applyAlignment="1" applyProtection="1">
      <alignment horizontal="center" vertical="center" wrapText="1"/>
    </xf>
    <xf numFmtId="177" fontId="21" fillId="0" borderId="10" xfId="0" applyFont="1" applyFill="1" applyBorder="1" applyAlignment="1" applyProtection="1">
      <alignment horizontal="left" vertical="center"/>
    </xf>
    <xf numFmtId="177" fontId="21" fillId="0" borderId="11" xfId="0" applyFont="1" applyBorder="1" applyAlignment="1" applyProtection="1">
      <alignment horizontal="center" vertical="center"/>
    </xf>
    <xf numFmtId="177" fontId="21" fillId="0" borderId="13" xfId="0" applyFont="1" applyBorder="1" applyAlignment="1" applyProtection="1">
      <alignment horizontal="left"/>
    </xf>
    <xf numFmtId="177" fontId="21" fillId="0" borderId="1" xfId="0" applyFont="1" applyBorder="1" applyAlignment="1" applyProtection="1">
      <alignment horizontal="left"/>
    </xf>
    <xf numFmtId="177" fontId="1" fillId="0" borderId="18" xfId="1" applyFont="1" applyBorder="1" applyProtection="1"/>
    <xf numFmtId="177" fontId="4" fillId="0" borderId="9" xfId="1" applyFont="1" applyBorder="1" applyAlignment="1" applyProtection="1">
      <alignment horizontal="center"/>
    </xf>
    <xf numFmtId="177" fontId="1" fillId="0" borderId="10" xfId="1" applyFont="1" applyBorder="1" applyProtection="1"/>
    <xf numFmtId="177" fontId="1" fillId="0" borderId="13" xfId="1" applyFont="1" applyBorder="1" applyProtection="1"/>
    <xf numFmtId="177" fontId="21" fillId="0" borderId="13" xfId="0" applyFont="1" applyFill="1" applyBorder="1" applyAlignment="1" applyProtection="1">
      <alignment horizontal="left" vertical="center"/>
    </xf>
    <xf numFmtId="177" fontId="22" fillId="0" borderId="9" xfId="0" applyFont="1" applyBorder="1" applyAlignment="1" applyProtection="1">
      <alignment horizontal="center" vertical="center"/>
    </xf>
    <xf numFmtId="177" fontId="21" fillId="0" borderId="10" xfId="0" applyFont="1" applyBorder="1" applyAlignment="1" applyProtection="1">
      <alignment horizontal="left"/>
    </xf>
    <xf numFmtId="177" fontId="21" fillId="0" borderId="20" xfId="0" applyFont="1" applyFill="1" applyBorder="1" applyAlignment="1" applyProtection="1">
      <alignment vertical="center"/>
    </xf>
    <xf numFmtId="177" fontId="21" fillId="0" borderId="4" xfId="0" applyFont="1" applyFill="1" applyBorder="1" applyAlignment="1" applyProtection="1">
      <alignment vertical="center" wrapText="1"/>
    </xf>
    <xf numFmtId="177" fontId="21" fillId="0" borderId="4" xfId="0" applyFont="1" applyBorder="1" applyAlignment="1" applyProtection="1">
      <alignment vertical="center"/>
    </xf>
    <xf numFmtId="177" fontId="21" fillId="0" borderId="18" xfId="0" applyFont="1" applyFill="1" applyBorder="1" applyAlignment="1" applyProtection="1">
      <alignment vertical="center"/>
    </xf>
    <xf numFmtId="177" fontId="21" fillId="0" borderId="13" xfId="0" applyFont="1" applyBorder="1" applyAlignment="1" applyProtection="1">
      <alignment vertical="center"/>
    </xf>
    <xf numFmtId="177" fontId="21" fillId="0" borderId="1" xfId="0" applyFont="1" applyBorder="1" applyAlignment="1" applyProtection="1">
      <alignment vertical="center"/>
    </xf>
    <xf numFmtId="177" fontId="21" fillId="0" borderId="1" xfId="0" applyFont="1" applyBorder="1" applyAlignment="1" applyProtection="1">
      <alignment horizontal="left" vertical="center"/>
    </xf>
    <xf numFmtId="177" fontId="21" fillId="0" borderId="1" xfId="0" applyFont="1" applyFill="1" applyBorder="1" applyAlignment="1" applyProtection="1">
      <alignment vertical="center"/>
    </xf>
    <xf numFmtId="177" fontId="21" fillId="0" borderId="18" xfId="0" applyFont="1" applyBorder="1" applyAlignment="1" applyProtection="1">
      <alignment vertical="center"/>
    </xf>
    <xf numFmtId="177" fontId="21" fillId="0" borderId="13" xfId="0" applyFont="1" applyFill="1" applyBorder="1" applyAlignment="1" applyProtection="1">
      <alignment horizontal="left"/>
    </xf>
    <xf numFmtId="177" fontId="4" fillId="0" borderId="9" xfId="0" applyFont="1" applyBorder="1" applyAlignment="1" applyProtection="1">
      <alignment horizontal="center" vertical="center"/>
    </xf>
    <xf numFmtId="177" fontId="21" fillId="0" borderId="10" xfId="0" applyFont="1" applyFill="1" applyBorder="1" applyAlignment="1" applyProtection="1">
      <alignment vertical="center"/>
    </xf>
    <xf numFmtId="177" fontId="21" fillId="0" borderId="1" xfId="0" applyFont="1" applyFill="1" applyBorder="1" applyAlignment="1" applyProtection="1">
      <alignment horizontal="left" vertical="center"/>
    </xf>
    <xf numFmtId="177" fontId="21" fillId="0" borderId="18" xfId="0" applyFont="1" applyFill="1" applyBorder="1" applyAlignment="1" applyProtection="1">
      <alignment horizontal="left" vertical="center"/>
    </xf>
    <xf numFmtId="177" fontId="21" fillId="0" borderId="10" xfId="0" applyFont="1" applyBorder="1" applyProtection="1"/>
    <xf numFmtId="177" fontId="21" fillId="0" borderId="13" xfId="0" applyFont="1" applyFill="1" applyBorder="1" applyAlignment="1" applyProtection="1">
      <alignment vertical="center"/>
    </xf>
    <xf numFmtId="177" fontId="1" fillId="0" borderId="13" xfId="4" applyFont="1" applyBorder="1" applyAlignment="1" applyProtection="1">
      <alignment horizontal="left" wrapText="1"/>
    </xf>
    <xf numFmtId="177" fontId="1" fillId="0" borderId="1" xfId="4" applyFont="1" applyBorder="1" applyAlignment="1" applyProtection="1">
      <alignment horizontal="left" wrapText="1"/>
    </xf>
    <xf numFmtId="177" fontId="1" fillId="0" borderId="4" xfId="4" applyFont="1" applyBorder="1" applyAlignment="1" applyProtection="1">
      <alignment horizontal="left" wrapText="1"/>
    </xf>
    <xf numFmtId="177" fontId="1" fillId="0" borderId="18" xfId="4" applyFont="1" applyBorder="1" applyProtection="1"/>
    <xf numFmtId="177" fontId="4" fillId="0" borderId="9" xfId="4" applyFont="1" applyBorder="1" applyAlignment="1" applyProtection="1">
      <alignment horizontal="center" vertical="center"/>
    </xf>
    <xf numFmtId="177" fontId="1" fillId="0" borderId="10" xfId="4" applyFont="1" applyBorder="1" applyAlignment="1" applyProtection="1">
      <alignment horizontal="left"/>
    </xf>
    <xf numFmtId="177" fontId="1" fillId="0" borderId="11" xfId="4" applyFont="1" applyBorder="1" applyAlignment="1" applyProtection="1">
      <alignment horizontal="center"/>
    </xf>
    <xf numFmtId="177" fontId="23" fillId="4" borderId="1" xfId="1" applyNumberFormat="1" applyFont="1" applyFill="1" applyBorder="1" applyAlignment="1" applyProtection="1">
      <alignment horizontal="center" vertical="center" wrapText="1"/>
    </xf>
    <xf numFmtId="177" fontId="64" fillId="0" borderId="1" xfId="0" applyFont="1" applyBorder="1" applyAlignment="1" applyProtection="1">
      <alignment horizontal="center"/>
    </xf>
    <xf numFmtId="177" fontId="1" fillId="0" borderId="0" xfId="1" applyFont="1" applyFill="1" applyBorder="1" applyProtection="1"/>
    <xf numFmtId="177" fontId="1" fillId="0" borderId="0" xfId="1" applyFont="1" applyFill="1" applyProtection="1"/>
    <xf numFmtId="1" fontId="1" fillId="0" borderId="0" xfId="1" applyNumberFormat="1" applyFont="1" applyFill="1" applyProtection="1"/>
    <xf numFmtId="177" fontId="55" fillId="29" borderId="0" xfId="0" applyFont="1" applyFill="1" applyAlignment="1" applyProtection="1">
      <alignment horizontal="center" vertical="center"/>
    </xf>
    <xf numFmtId="1" fontId="17" fillId="30" borderId="49" xfId="3483" applyNumberFormat="1" applyFont="1" applyFill="1" applyBorder="1" applyAlignment="1" applyProtection="1">
      <alignment horizontal="center" vertical="center"/>
    </xf>
    <xf numFmtId="177" fontId="56" fillId="29" borderId="0" xfId="0" quotePrefix="1" applyFont="1" applyFill="1" applyAlignment="1" applyProtection="1">
      <alignment horizontal="center" vertical="center"/>
    </xf>
    <xf numFmtId="1" fontId="17" fillId="30" borderId="49" xfId="0" applyNumberFormat="1" applyFont="1" applyFill="1" applyBorder="1" applyAlignment="1" applyProtection="1">
      <alignment horizontal="center" vertical="center"/>
    </xf>
    <xf numFmtId="177" fontId="16" fillId="29" borderId="0" xfId="0" applyFont="1" applyFill="1" applyAlignment="1" applyProtection="1">
      <alignment vertical="center"/>
    </xf>
    <xf numFmtId="177" fontId="11" fillId="0" borderId="0" xfId="1" applyNumberFormat="1" applyFont="1" applyFill="1" applyBorder="1" applyAlignment="1" applyProtection="1">
      <alignment horizontal="center" vertical="center"/>
    </xf>
    <xf numFmtId="177" fontId="1" fillId="0" borderId="0" xfId="1" applyFont="1" applyFill="1" applyBorder="1" applyAlignment="1" applyProtection="1">
      <alignment horizontal="left" vertical="center"/>
    </xf>
    <xf numFmtId="177" fontId="7" fillId="4" borderId="15" xfId="1" applyFont="1" applyFill="1" applyBorder="1" applyAlignment="1" applyProtection="1">
      <alignment horizontal="center" vertical="center" wrapText="1"/>
    </xf>
    <xf numFmtId="177" fontId="3" fillId="4" borderId="1" xfId="1" applyFont="1" applyFill="1" applyBorder="1" applyAlignment="1" applyProtection="1">
      <alignment horizontal="center" vertical="center" wrapText="1"/>
    </xf>
    <xf numFmtId="177" fontId="53" fillId="4" borderId="1" xfId="1" applyFont="1" applyFill="1" applyBorder="1" applyAlignment="1" applyProtection="1">
      <alignment horizontal="center" vertical="center" wrapText="1"/>
    </xf>
    <xf numFmtId="1" fontId="3" fillId="4" borderId="1" xfId="1" applyNumberFormat="1" applyFont="1" applyFill="1" applyBorder="1" applyAlignment="1" applyProtection="1">
      <alignment horizontal="center" vertical="center" wrapText="1"/>
    </xf>
    <xf numFmtId="177" fontId="3" fillId="4" borderId="22" xfId="1" applyFont="1" applyFill="1" applyBorder="1" applyAlignment="1" applyProtection="1">
      <alignment horizontal="center" vertical="center" wrapText="1"/>
    </xf>
    <xf numFmtId="177" fontId="1" fillId="0" borderId="0" xfId="1" applyFont="1" applyBorder="1" applyProtection="1"/>
    <xf numFmtId="49" fontId="7" fillId="28" borderId="15" xfId="1" applyNumberFormat="1" applyFont="1" applyFill="1" applyBorder="1" applyAlignment="1" applyProtection="1">
      <alignment horizontal="center"/>
    </xf>
    <xf numFmtId="177" fontId="7" fillId="28" borderId="15" xfId="1" applyFont="1" applyFill="1" applyBorder="1" applyAlignment="1" applyProtection="1">
      <alignment horizontal="center"/>
    </xf>
    <xf numFmtId="177" fontId="1" fillId="0" borderId="0" xfId="1" applyFont="1" applyFill="1" applyAlignment="1" applyProtection="1">
      <alignment horizontal="center"/>
    </xf>
    <xf numFmtId="171" fontId="1" fillId="0" borderId="0" xfId="1" applyNumberFormat="1" applyFont="1" applyFill="1" applyProtection="1"/>
    <xf numFmtId="177" fontId="7" fillId="32" borderId="1" xfId="1" applyFont="1" applyFill="1" applyBorder="1" applyProtection="1">
      <protection locked="0"/>
    </xf>
    <xf numFmtId="177" fontId="7" fillId="0" borderId="1" xfId="1" applyFont="1" applyFill="1" applyBorder="1" applyAlignment="1" applyProtection="1">
      <protection locked="0"/>
    </xf>
    <xf numFmtId="177" fontId="1" fillId="0" borderId="1" xfId="1" applyFont="1" applyFill="1" applyBorder="1" applyAlignment="1" applyProtection="1">
      <alignment horizontal="center"/>
      <protection locked="0"/>
    </xf>
    <xf numFmtId="177" fontId="7" fillId="0" borderId="1" xfId="1" applyFont="1" applyFill="1" applyBorder="1" applyProtection="1">
      <protection locked="0"/>
    </xf>
    <xf numFmtId="177" fontId="51" fillId="0" borderId="1" xfId="0" applyFont="1" applyFill="1" applyBorder="1" applyProtection="1">
      <protection locked="0"/>
    </xf>
    <xf numFmtId="1" fontId="7" fillId="0" borderId="1" xfId="1" applyNumberFormat="1" applyFont="1" applyFill="1" applyBorder="1" applyProtection="1">
      <protection locked="0"/>
    </xf>
    <xf numFmtId="3" fontId="11" fillId="30" borderId="1" xfId="1" applyNumberFormat="1" applyFont="1" applyFill="1" applyBorder="1" applyAlignment="1" applyProtection="1">
      <alignment horizontal="center" vertical="center"/>
    </xf>
    <xf numFmtId="14" fontId="57" fillId="30" borderId="1" xfId="1" applyNumberFormat="1" applyFont="1" applyFill="1" applyBorder="1" applyAlignment="1" applyProtection="1">
      <alignment horizontal="center" vertical="center"/>
    </xf>
    <xf numFmtId="177" fontId="3" fillId="30" borderId="1" xfId="1" applyFont="1" applyFill="1" applyBorder="1" applyAlignment="1" applyProtection="1">
      <alignment horizontal="center" vertical="center"/>
    </xf>
    <xf numFmtId="177" fontId="3" fillId="0" borderId="0" xfId="3" applyFont="1" applyFill="1" applyAlignment="1" applyProtection="1">
      <alignment vertical="center"/>
    </xf>
    <xf numFmtId="177" fontId="52" fillId="0" borderId="47" xfId="0" applyFont="1" applyBorder="1" applyAlignment="1" applyProtection="1">
      <alignment horizontal="center" vertical="center"/>
    </xf>
    <xf numFmtId="177" fontId="4" fillId="0" borderId="0" xfId="3" applyFont="1" applyAlignment="1" applyProtection="1">
      <alignment horizontal="right" vertical="center"/>
    </xf>
    <xf numFmtId="14" fontId="1" fillId="4" borderId="8" xfId="3" applyNumberFormat="1" applyFill="1" applyBorder="1" applyAlignment="1" applyProtection="1">
      <alignment horizontal="center" vertical="center"/>
    </xf>
    <xf numFmtId="20" fontId="1" fillId="4" borderId="8" xfId="3" applyNumberFormat="1" applyFill="1" applyBorder="1" applyAlignment="1" applyProtection="1">
      <alignment horizontal="center" vertical="center"/>
    </xf>
    <xf numFmtId="177" fontId="23" fillId="4" borderId="49" xfId="1" applyFont="1" applyFill="1" applyBorder="1" applyAlignment="1" applyProtection="1">
      <alignment horizontal="center" vertical="center"/>
    </xf>
    <xf numFmtId="177" fontId="4" fillId="0" borderId="0" xfId="3" applyFont="1" applyAlignment="1" applyProtection="1">
      <alignment vertical="center"/>
    </xf>
    <xf numFmtId="177" fontId="3" fillId="0" borderId="47" xfId="3" applyFont="1" applyFill="1" applyBorder="1" applyAlignment="1" applyProtection="1">
      <alignment horizontal="center" vertical="center"/>
    </xf>
    <xf numFmtId="177" fontId="3" fillId="0" borderId="6" xfId="3" applyFont="1" applyFill="1" applyBorder="1" applyAlignment="1" applyProtection="1">
      <alignment vertical="center"/>
    </xf>
    <xf numFmtId="177" fontId="4" fillId="0" borderId="6" xfId="3" applyFont="1" applyBorder="1" applyAlignment="1" applyProtection="1">
      <alignment horizontal="right" vertical="center"/>
    </xf>
    <xf numFmtId="177" fontId="23" fillId="4" borderId="46" xfId="1" applyFont="1" applyFill="1" applyBorder="1" applyAlignment="1" applyProtection="1">
      <alignment vertical="center"/>
    </xf>
    <xf numFmtId="177" fontId="23" fillId="4" borderId="47" xfId="1" applyFont="1" applyFill="1" applyBorder="1" applyAlignment="1" applyProtection="1">
      <alignment vertical="center"/>
    </xf>
    <xf numFmtId="177" fontId="23" fillId="4" borderId="48" xfId="1" applyFont="1" applyFill="1" applyBorder="1" applyAlignment="1" applyProtection="1">
      <alignment vertical="center"/>
    </xf>
    <xf numFmtId="177" fontId="1" fillId="0" borderId="2" xfId="3" applyBorder="1" applyAlignment="1" applyProtection="1">
      <alignment vertical="center"/>
    </xf>
    <xf numFmtId="177" fontId="1" fillId="0" borderId="5" xfId="3" applyBorder="1" applyAlignment="1" applyProtection="1">
      <alignment vertical="center"/>
    </xf>
    <xf numFmtId="177" fontId="1" fillId="0" borderId="3" xfId="3" applyBorder="1" applyAlignment="1" applyProtection="1">
      <alignment vertical="center"/>
    </xf>
    <xf numFmtId="177" fontId="1" fillId="0" borderId="1" xfId="3" applyBorder="1" applyAlignment="1" applyProtection="1">
      <alignment horizontal="center" vertical="center"/>
    </xf>
    <xf numFmtId="177" fontId="1" fillId="0" borderId="5" xfId="1" applyFont="1" applyBorder="1" applyAlignment="1" applyProtection="1">
      <alignment vertical="center"/>
    </xf>
    <xf numFmtId="177" fontId="1" fillId="0" borderId="3" xfId="1" applyFont="1" applyBorder="1" applyAlignment="1" applyProtection="1">
      <alignment vertical="center"/>
    </xf>
    <xf numFmtId="177" fontId="4" fillId="2" borderId="44" xfId="3" applyFont="1" applyFill="1" applyBorder="1" applyAlignment="1" applyProtection="1">
      <alignment vertical="center"/>
    </xf>
    <xf numFmtId="177" fontId="4" fillId="2" borderId="55" xfId="3" applyFont="1" applyFill="1" applyBorder="1" applyAlignment="1" applyProtection="1">
      <alignment vertical="center"/>
    </xf>
    <xf numFmtId="177" fontId="4" fillId="2" borderId="46" xfId="3" applyFont="1" applyFill="1" applyBorder="1" applyAlignment="1" applyProtection="1">
      <alignment vertical="center"/>
    </xf>
    <xf numFmtId="177" fontId="4" fillId="2" borderId="47" xfId="3" applyFont="1" applyFill="1" applyBorder="1" applyAlignment="1" applyProtection="1">
      <alignment vertical="center"/>
    </xf>
    <xf numFmtId="177" fontId="4" fillId="0" borderId="56" xfId="3" applyFont="1" applyFill="1" applyBorder="1" applyAlignment="1" applyProtection="1">
      <alignment vertical="center"/>
    </xf>
    <xf numFmtId="177" fontId="4" fillId="0" borderId="29" xfId="3" applyFont="1" applyFill="1" applyBorder="1" applyAlignment="1" applyProtection="1">
      <alignment horizontal="center" vertical="center" wrapText="1"/>
    </xf>
    <xf numFmtId="177" fontId="4" fillId="0" borderId="31" xfId="3" applyFont="1" applyFill="1" applyBorder="1" applyAlignment="1" applyProtection="1">
      <alignment vertical="center"/>
    </xf>
    <xf numFmtId="177" fontId="4" fillId="0" borderId="1" xfId="3" applyFont="1" applyFill="1" applyBorder="1" applyAlignment="1" applyProtection="1">
      <alignment horizontal="center" vertical="center" wrapText="1"/>
    </xf>
    <xf numFmtId="177" fontId="2" fillId="0" borderId="30" xfId="3" applyFont="1" applyFill="1" applyBorder="1" applyAlignment="1" applyProtection="1">
      <alignment vertical="center"/>
    </xf>
    <xf numFmtId="177" fontId="2" fillId="0" borderId="5" xfId="3" applyFont="1" applyFill="1" applyBorder="1" applyAlignment="1" applyProtection="1">
      <alignment vertical="center"/>
    </xf>
    <xf numFmtId="177" fontId="2" fillId="0" borderId="32" xfId="3" applyFont="1" applyFill="1" applyBorder="1" applyAlignment="1" applyProtection="1">
      <alignment vertical="center"/>
    </xf>
    <xf numFmtId="177" fontId="2" fillId="0" borderId="57" xfId="3" applyFont="1" applyFill="1" applyBorder="1" applyAlignment="1" applyProtection="1">
      <alignment vertical="center"/>
    </xf>
    <xf numFmtId="177" fontId="1" fillId="0" borderId="0" xfId="3" applyAlignment="1" applyProtection="1">
      <alignment horizontal="center" vertical="center"/>
    </xf>
    <xf numFmtId="1" fontId="1" fillId="0" borderId="0" xfId="3" applyNumberFormat="1" applyAlignment="1" applyProtection="1">
      <alignment horizontal="center" vertical="center"/>
    </xf>
    <xf numFmtId="177" fontId="4" fillId="0" borderId="0" xfId="3" applyFont="1" applyAlignment="1" applyProtection="1">
      <alignment horizontal="center" vertical="center" wrapText="1"/>
    </xf>
    <xf numFmtId="177" fontId="4" fillId="0" borderId="0" xfId="3" applyFont="1" applyAlignment="1" applyProtection="1">
      <alignment horizontal="center" vertical="center"/>
    </xf>
    <xf numFmtId="1" fontId="4" fillId="0" borderId="0" xfId="3" applyNumberFormat="1" applyFont="1" applyAlignment="1" applyProtection="1">
      <alignment horizontal="center" vertical="center"/>
    </xf>
    <xf numFmtId="177" fontId="0" fillId="0" borderId="0" xfId="0" applyAlignment="1" applyProtection="1">
      <alignment vertical="center"/>
    </xf>
    <xf numFmtId="177" fontId="67" fillId="0" borderId="0" xfId="0" applyFont="1" applyAlignment="1" applyProtection="1">
      <alignment shrinkToFit="1"/>
    </xf>
    <xf numFmtId="177" fontId="0" fillId="0" borderId="0" xfId="0" applyFont="1" applyProtection="1"/>
    <xf numFmtId="177" fontId="0" fillId="0" borderId="0" xfId="0" applyBorder="1" applyAlignment="1" applyProtection="1">
      <alignment vertical="center" wrapText="1"/>
    </xf>
    <xf numFmtId="177" fontId="0" fillId="0" borderId="0" xfId="0" applyBorder="1" applyAlignment="1" applyProtection="1">
      <alignment vertical="center"/>
    </xf>
    <xf numFmtId="173" fontId="63" fillId="0" borderId="0" xfId="0" applyNumberFormat="1" applyFont="1" applyBorder="1" applyAlignment="1" applyProtection="1">
      <alignment horizontal="center" vertical="center" shrinkToFit="1"/>
    </xf>
    <xf numFmtId="177" fontId="63" fillId="0" borderId="0" xfId="0" applyNumberFormat="1" applyFont="1" applyBorder="1" applyAlignment="1" applyProtection="1">
      <alignment horizontal="center" vertical="center" shrinkToFit="1"/>
    </xf>
    <xf numFmtId="177" fontId="63" fillId="0" borderId="0" xfId="0" applyFont="1" applyAlignment="1" applyProtection="1">
      <alignment shrinkToFit="1"/>
    </xf>
    <xf numFmtId="176" fontId="0" fillId="0" borderId="0" xfId="0" applyNumberFormat="1" applyProtection="1"/>
    <xf numFmtId="177" fontId="63" fillId="0" borderId="0" xfId="0" applyFont="1" applyBorder="1" applyAlignment="1" applyProtection="1">
      <alignment vertical="center" shrinkToFit="1"/>
    </xf>
    <xf numFmtId="177" fontId="63" fillId="0" borderId="0" xfId="0" applyFont="1" applyAlignment="1" applyProtection="1">
      <alignment horizontal="center" vertical="center" shrinkToFit="1"/>
    </xf>
    <xf numFmtId="177" fontId="48" fillId="0" borderId="0" xfId="0" applyFont="1" applyAlignment="1" applyProtection="1">
      <alignment shrinkToFit="1"/>
    </xf>
    <xf numFmtId="173" fontId="47" fillId="0" borderId="0" xfId="0" applyNumberFormat="1" applyFont="1" applyBorder="1" applyAlignment="1" applyProtection="1">
      <alignment horizontal="center" vertical="center" shrinkToFit="1"/>
    </xf>
    <xf numFmtId="177" fontId="47" fillId="0" borderId="0" xfId="0" applyNumberFormat="1" applyFont="1" applyBorder="1" applyAlignment="1" applyProtection="1">
      <alignment horizontal="center" vertical="center" shrinkToFit="1"/>
    </xf>
    <xf numFmtId="177" fontId="47" fillId="0" borderId="0" xfId="0" applyFont="1" applyAlignment="1" applyProtection="1">
      <alignment shrinkToFit="1"/>
    </xf>
    <xf numFmtId="177" fontId="61" fillId="0" borderId="0" xfId="0" applyFont="1" applyAlignment="1" applyProtection="1">
      <alignment shrinkToFit="1"/>
    </xf>
    <xf numFmtId="177" fontId="62" fillId="0" borderId="0" xfId="0" applyFont="1" applyProtection="1"/>
    <xf numFmtId="176" fontId="62" fillId="0" borderId="0" xfId="0" applyNumberFormat="1" applyFont="1" applyProtection="1"/>
    <xf numFmtId="177" fontId="64" fillId="0" borderId="0" xfId="0" applyFont="1" applyProtection="1"/>
    <xf numFmtId="176" fontId="64" fillId="0" borderId="0" xfId="0" applyNumberFormat="1" applyFont="1" applyProtection="1"/>
    <xf numFmtId="177" fontId="47" fillId="0" borderId="0" xfId="0" applyFont="1" applyAlignment="1" applyProtection="1">
      <alignment horizontal="center" vertical="center" shrinkToFit="1"/>
    </xf>
    <xf numFmtId="177" fontId="16" fillId="0" borderId="0" xfId="0" applyFont="1" applyAlignment="1" applyProtection="1">
      <alignment horizontal="center" vertical="center"/>
    </xf>
    <xf numFmtId="177" fontId="17" fillId="0" borderId="29" xfId="0" applyFont="1" applyBorder="1" applyAlignment="1" applyProtection="1">
      <alignment horizontal="center"/>
    </xf>
    <xf numFmtId="14" fontId="17" fillId="0" borderId="29" xfId="0" applyNumberFormat="1" applyFont="1" applyBorder="1" applyAlignment="1" applyProtection="1">
      <alignment horizontal="center"/>
    </xf>
    <xf numFmtId="175" fontId="17" fillId="0" borderId="1" xfId="0" applyNumberFormat="1" applyFont="1" applyBorder="1" applyAlignment="1" applyProtection="1">
      <alignment horizontal="center" vertical="center"/>
    </xf>
    <xf numFmtId="170" fontId="16" fillId="0" borderId="1" xfId="0" applyNumberFormat="1" applyFont="1" applyBorder="1" applyAlignment="1" applyProtection="1">
      <alignment horizontal="center"/>
    </xf>
    <xf numFmtId="177" fontId="16" fillId="0" borderId="0" xfId="0" applyFont="1" applyAlignment="1" applyProtection="1">
      <alignment horizontal="left"/>
    </xf>
    <xf numFmtId="177" fontId="16" fillId="0" borderId="0" xfId="0" applyFont="1" applyAlignment="1" applyProtection="1">
      <alignment horizontal="center"/>
    </xf>
    <xf numFmtId="177" fontId="16" fillId="0" borderId="0" xfId="0" applyFont="1" applyBorder="1" applyAlignment="1" applyProtection="1">
      <alignment horizontal="left" vertical="center"/>
    </xf>
    <xf numFmtId="177" fontId="16" fillId="0" borderId="0" xfId="0" applyFont="1" applyBorder="1" applyAlignment="1" applyProtection="1">
      <alignment horizontal="center" vertical="center"/>
    </xf>
    <xf numFmtId="177" fontId="16" fillId="0" borderId="1" xfId="0" applyFont="1" applyBorder="1" applyAlignment="1" applyProtection="1">
      <alignment horizontal="center"/>
      <protection locked="0"/>
    </xf>
    <xf numFmtId="177" fontId="1" fillId="27" borderId="48" xfId="3" applyNumberFormat="1" applyFill="1" applyBorder="1" applyAlignment="1" applyProtection="1">
      <alignment horizontal="center" vertical="center"/>
    </xf>
    <xf numFmtId="177" fontId="1" fillId="0" borderId="32" xfId="1" applyFont="1" applyFill="1" applyBorder="1" applyAlignment="1" applyProtection="1">
      <alignment vertical="center" wrapText="1"/>
    </xf>
    <xf numFmtId="177" fontId="1" fillId="0" borderId="0" xfId="1" applyFont="1" applyFill="1" applyBorder="1" applyAlignment="1" applyProtection="1">
      <alignment vertical="center" wrapText="1"/>
    </xf>
    <xf numFmtId="177" fontId="0" fillId="30" borderId="0" xfId="0" applyFill="1" applyProtection="1"/>
    <xf numFmtId="177" fontId="1" fillId="30" borderId="0" xfId="1" applyFont="1" applyFill="1" applyAlignment="1" applyProtection="1">
      <alignment horizontal="center" vertical="center"/>
    </xf>
    <xf numFmtId="1" fontId="1" fillId="30" borderId="0" xfId="1" applyNumberFormat="1" applyFont="1" applyFill="1" applyAlignment="1" applyProtection="1">
      <alignment horizontal="center" vertical="center"/>
    </xf>
    <xf numFmtId="14" fontId="1" fillId="30" borderId="0" xfId="1" applyNumberFormat="1" applyFont="1" applyFill="1" applyAlignment="1" applyProtection="1">
      <alignment horizontal="center" vertical="center"/>
    </xf>
    <xf numFmtId="14" fontId="18" fillId="30" borderId="0" xfId="1" applyNumberFormat="1" applyFont="1" applyFill="1" applyAlignment="1" applyProtection="1">
      <alignment horizontal="center" vertical="center"/>
    </xf>
    <xf numFmtId="177" fontId="18" fillId="30" borderId="0" xfId="1" applyNumberFormat="1" applyFont="1" applyFill="1" applyAlignment="1" applyProtection="1">
      <alignment horizontal="center" vertical="center"/>
    </xf>
    <xf numFmtId="177" fontId="57" fillId="30" borderId="0" xfId="1" applyFont="1" applyFill="1" applyAlignment="1" applyProtection="1">
      <alignment horizontal="center" vertical="center"/>
    </xf>
    <xf numFmtId="177" fontId="44" fillId="0" borderId="1" xfId="2731" applyFont="1" applyFill="1" applyBorder="1" applyAlignment="1"/>
    <xf numFmtId="177" fontId="5" fillId="0" borderId="1" xfId="2672" applyFont="1" applyFill="1" applyBorder="1" applyAlignment="1">
      <alignment horizontal="center" wrapText="1"/>
    </xf>
    <xf numFmtId="177" fontId="1" fillId="0" borderId="1" xfId="1" applyFont="1" applyFill="1" applyBorder="1"/>
    <xf numFmtId="177" fontId="5" fillId="0" borderId="1" xfId="2731" applyFont="1" applyFill="1" applyBorder="1" applyAlignment="1"/>
    <xf numFmtId="177" fontId="5" fillId="0" borderId="1" xfId="0" applyFont="1" applyFill="1" applyBorder="1"/>
    <xf numFmtId="177" fontId="5" fillId="0" borderId="1" xfId="2731" applyFont="1" applyFill="1" applyBorder="1"/>
    <xf numFmtId="1" fontId="5" fillId="0" borderId="1" xfId="2731" applyNumberFormat="1" applyFont="1" applyFill="1" applyBorder="1"/>
    <xf numFmtId="1" fontId="4" fillId="0" borderId="1" xfId="1" applyNumberFormat="1" applyFont="1" applyFill="1" applyBorder="1" applyAlignment="1">
      <alignment horizontal="center"/>
    </xf>
    <xf numFmtId="177" fontId="0" fillId="0" borderId="1" xfId="0" applyFill="1" applyBorder="1"/>
    <xf numFmtId="177" fontId="5" fillId="0" borderId="1" xfId="0" applyFont="1" applyFill="1" applyBorder="1" applyAlignment="1">
      <alignment horizontal="center"/>
    </xf>
    <xf numFmtId="177" fontId="25" fillId="0" borderId="1" xfId="3484" applyFill="1" applyBorder="1"/>
    <xf numFmtId="177" fontId="63" fillId="0" borderId="0" xfId="0" applyFont="1" applyBorder="1" applyAlignment="1" applyProtection="1">
      <alignment horizontal="center" vertical="center" shrinkToFit="1"/>
    </xf>
    <xf numFmtId="177" fontId="63" fillId="0" borderId="0" xfId="0" applyFont="1" applyBorder="1" applyAlignment="1" applyProtection="1">
      <alignment horizontal="right" vertical="center" shrinkToFit="1"/>
    </xf>
    <xf numFmtId="177" fontId="78" fillId="0" borderId="0" xfId="0" applyFont="1" applyBorder="1" applyAlignment="1" applyProtection="1">
      <alignment horizontal="right" vertical="center" shrinkToFit="1"/>
    </xf>
    <xf numFmtId="177" fontId="79" fillId="0" borderId="0" xfId="0" applyFont="1" applyAlignment="1" applyProtection="1">
      <alignment shrinkToFit="1"/>
    </xf>
    <xf numFmtId="177" fontId="80" fillId="0" borderId="0" xfId="0" applyFont="1" applyProtection="1"/>
    <xf numFmtId="177" fontId="80" fillId="0" borderId="0" xfId="0" applyFont="1" applyBorder="1" applyAlignment="1" applyProtection="1">
      <alignment vertical="center" wrapText="1"/>
    </xf>
    <xf numFmtId="177" fontId="80" fillId="0" borderId="0" xfId="0" applyFont="1" applyBorder="1" applyAlignment="1" applyProtection="1">
      <alignment vertical="center"/>
    </xf>
    <xf numFmtId="176" fontId="80" fillId="0" borderId="0" xfId="0" applyNumberFormat="1" applyFont="1" applyProtection="1"/>
    <xf numFmtId="177" fontId="46" fillId="0" borderId="1" xfId="1" applyFont="1" applyBorder="1" applyAlignment="1" applyProtection="1">
      <alignment horizontal="center" vertical="center"/>
    </xf>
    <xf numFmtId="177" fontId="1" fillId="27" borderId="48" xfId="3" applyNumberFormat="1" applyFill="1" applyBorder="1" applyAlignment="1" applyProtection="1">
      <alignment horizontal="center" vertical="center"/>
    </xf>
    <xf numFmtId="177" fontId="81" fillId="0" borderId="0" xfId="3485" applyAlignment="1" applyProtection="1"/>
    <xf numFmtId="177" fontId="0" fillId="0" borderId="0" xfId="0" applyAlignment="1" applyProtection="1"/>
    <xf numFmtId="177" fontId="4" fillId="0" borderId="0" xfId="1" applyFont="1" applyAlignment="1" applyProtection="1">
      <alignment vertical="center"/>
    </xf>
    <xf numFmtId="177" fontId="16" fillId="0" borderId="0" xfId="0" applyFont="1" applyBorder="1" applyAlignment="1" applyProtection="1">
      <alignment horizontal="center"/>
    </xf>
    <xf numFmtId="177" fontId="16" fillId="0" borderId="0" xfId="0" applyFont="1" applyBorder="1" applyProtection="1"/>
    <xf numFmtId="14" fontId="1" fillId="27" borderId="48" xfId="3" applyNumberFormat="1" applyFill="1" applyBorder="1" applyAlignment="1" applyProtection="1">
      <alignment horizontal="center" vertical="center"/>
    </xf>
    <xf numFmtId="175" fontId="4" fillId="0" borderId="1" xfId="0" applyNumberFormat="1" applyFont="1" applyBorder="1" applyAlignment="1" applyProtection="1">
      <alignment horizontal="center" vertical="center"/>
    </xf>
    <xf numFmtId="177" fontId="83" fillId="0" borderId="0" xfId="0" applyFont="1" applyProtection="1"/>
    <xf numFmtId="177" fontId="10" fillId="0" borderId="1" xfId="0" applyFont="1" applyBorder="1" applyAlignment="1">
      <alignment horizontal="center" vertical="center"/>
    </xf>
    <xf numFmtId="177" fontId="23" fillId="0" borderId="1" xfId="1" applyFont="1" applyBorder="1" applyAlignment="1" applyProtection="1">
      <alignment horizontal="center" vertical="center"/>
    </xf>
    <xf numFmtId="177" fontId="18" fillId="0" borderId="0" xfId="1" applyFont="1" applyAlignment="1" applyProtection="1">
      <alignment vertical="center" wrapText="1"/>
    </xf>
    <xf numFmtId="177" fontId="18" fillId="0" borderId="0" xfId="1" applyFont="1" applyAlignment="1" applyProtection="1">
      <alignment horizontal="right" vertical="center" wrapText="1"/>
    </xf>
    <xf numFmtId="177" fontId="6" fillId="0" borderId="1" xfId="1" applyFont="1" applyBorder="1" applyAlignment="1" applyProtection="1">
      <alignment vertical="center" wrapText="1"/>
    </xf>
    <xf numFmtId="177" fontId="84" fillId="0" borderId="0" xfId="0" applyFont="1" applyAlignment="1" applyProtection="1">
      <alignment horizontal="right"/>
    </xf>
    <xf numFmtId="177" fontId="84" fillId="0" borderId="0" xfId="0" applyFont="1" applyAlignment="1" applyProtection="1"/>
    <xf numFmtId="177" fontId="84" fillId="0" borderId="0" xfId="0" applyFont="1" applyProtection="1"/>
    <xf numFmtId="177" fontId="47" fillId="0" borderId="0" xfId="0" applyFont="1" applyAlignment="1" applyProtection="1">
      <alignment vertical="center" wrapText="1" shrinkToFit="1"/>
    </xf>
    <xf numFmtId="177" fontId="82" fillId="0" borderId="0" xfId="0" applyFont="1" applyAlignment="1" applyProtection="1">
      <alignment horizontal="right" vertical="center" wrapText="1"/>
    </xf>
    <xf numFmtId="177" fontId="67" fillId="0" borderId="0" xfId="0" applyFont="1" applyAlignment="1" applyProtection="1">
      <alignment horizontal="right" vertical="center" shrinkToFit="1"/>
    </xf>
    <xf numFmtId="177" fontId="81" fillId="0" borderId="0" xfId="3485" applyAlignment="1" applyProtection="1">
      <alignment vertical="center" wrapText="1" shrinkToFit="1"/>
    </xf>
    <xf numFmtId="177" fontId="23" fillId="0" borderId="2" xfId="1" applyFont="1" applyFill="1" applyBorder="1" applyAlignment="1" applyProtection="1">
      <alignment horizontal="right" vertical="center" wrapText="1"/>
    </xf>
    <xf numFmtId="177" fontId="23" fillId="0" borderId="2" xfId="1" applyFont="1" applyFill="1" applyBorder="1" applyAlignment="1" applyProtection="1">
      <alignment horizontal="right" vertical="center"/>
    </xf>
    <xf numFmtId="177" fontId="85" fillId="29" borderId="0" xfId="0" applyFont="1" applyFill="1" applyAlignment="1" applyProtection="1">
      <alignment horizontal="center" vertical="center"/>
    </xf>
    <xf numFmtId="177" fontId="86" fillId="30" borderId="8" xfId="0" applyFont="1" applyFill="1" applyBorder="1" applyAlignment="1">
      <alignment horizontal="center" vertical="center"/>
    </xf>
    <xf numFmtId="177" fontId="0" fillId="0" borderId="1" xfId="0" quotePrefix="1" applyFill="1" applyBorder="1"/>
    <xf numFmtId="177" fontId="5" fillId="0" borderId="1" xfId="2672" quotePrefix="1" applyFont="1" applyFill="1" applyBorder="1" applyAlignment="1">
      <alignment horizontal="center" wrapText="1"/>
    </xf>
    <xf numFmtId="177" fontId="1" fillId="0" borderId="1" xfId="1" applyFont="1" applyBorder="1" applyAlignment="1" applyProtection="1">
      <alignment horizontal="center" vertical="center"/>
    </xf>
    <xf numFmtId="177" fontId="6" fillId="0" borderId="1" xfId="1" applyFont="1" applyBorder="1" applyAlignment="1" applyProtection="1">
      <alignment horizontal="center" vertical="center"/>
    </xf>
    <xf numFmtId="22" fontId="1" fillId="0" borderId="0" xfId="3" applyNumberFormat="1" applyProtection="1"/>
    <xf numFmtId="177" fontId="1" fillId="0" borderId="1" xfId="1" applyFont="1" applyFill="1" applyBorder="1"/>
    <xf numFmtId="177" fontId="4" fillId="0" borderId="1" xfId="1" applyFont="1" applyFill="1" applyBorder="1"/>
    <xf numFmtId="1" fontId="1" fillId="0" borderId="0" xfId="3" applyNumberFormat="1" applyProtection="1"/>
    <xf numFmtId="14" fontId="1" fillId="0" borderId="0" xfId="3" applyNumberFormat="1" applyProtection="1"/>
    <xf numFmtId="177" fontId="5" fillId="0" borderId="1" xfId="0" quotePrefix="1" applyFont="1" applyFill="1" applyBorder="1" applyAlignment="1">
      <alignment horizontal="center"/>
    </xf>
    <xf numFmtId="177" fontId="10" fillId="0" borderId="12" xfId="0" applyFont="1" applyBorder="1" applyAlignment="1">
      <alignment horizontal="left"/>
    </xf>
    <xf numFmtId="177" fontId="10" fillId="0" borderId="13" xfId="0" applyNumberFormat="1" applyFont="1" applyBorder="1" applyAlignment="1">
      <alignment horizontal="center"/>
    </xf>
    <xf numFmtId="177" fontId="10" fillId="0" borderId="13" xfId="0" applyFont="1" applyBorder="1" applyAlignment="1">
      <alignment horizontal="right"/>
    </xf>
    <xf numFmtId="177" fontId="10" fillId="0" borderId="13" xfId="0" applyFont="1" applyBorder="1" applyAlignment="1">
      <alignment horizontal="center"/>
    </xf>
    <xf numFmtId="14" fontId="10" fillId="0" borderId="13" xfId="0" applyNumberFormat="1" applyFont="1" applyBorder="1" applyAlignment="1">
      <alignment horizontal="center"/>
    </xf>
    <xf numFmtId="177" fontId="10" fillId="0" borderId="61" xfId="0" applyFont="1" applyBorder="1" applyAlignment="1">
      <alignment horizontal="center"/>
    </xf>
    <xf numFmtId="177" fontId="10" fillId="0" borderId="13" xfId="0" applyFont="1" applyFill="1" applyBorder="1" applyAlignment="1">
      <alignment horizontal="center"/>
    </xf>
    <xf numFmtId="1" fontId="0" fillId="4" borderId="0" xfId="0" applyNumberFormat="1" applyFill="1"/>
    <xf numFmtId="177" fontId="0" fillId="4" borderId="0" xfId="0" applyFill="1"/>
    <xf numFmtId="177" fontId="0" fillId="0" borderId="0" xfId="0" applyFont="1"/>
    <xf numFmtId="177" fontId="91" fillId="0" borderId="0" xfId="0" applyFont="1" applyAlignment="1" applyProtection="1">
      <alignment horizontal="center"/>
    </xf>
    <xf numFmtId="177" fontId="0" fillId="0" borderId="0" xfId="0" applyAlignment="1">
      <alignment horizontal="center" vertical="center"/>
    </xf>
    <xf numFmtId="177" fontId="10" fillId="0" borderId="0" xfId="0" applyFont="1"/>
    <xf numFmtId="177" fontId="1" fillId="49" borderId="1" xfId="1" applyFont="1" applyFill="1" applyBorder="1" applyAlignment="1" applyProtection="1">
      <alignment vertical="center" wrapText="1"/>
      <protection locked="0"/>
    </xf>
    <xf numFmtId="22" fontId="1" fillId="49" borderId="1" xfId="1" applyNumberFormat="1" applyFont="1" applyFill="1" applyBorder="1" applyAlignment="1" applyProtection="1">
      <alignment horizontal="left" vertical="center"/>
      <protection locked="0"/>
    </xf>
    <xf numFmtId="49" fontId="1" fillId="49" borderId="1" xfId="1" applyNumberFormat="1" applyFont="1" applyFill="1" applyBorder="1" applyAlignment="1" applyProtection="1">
      <alignment horizontal="left" vertical="center"/>
      <protection locked="0"/>
    </xf>
    <xf numFmtId="14" fontId="1" fillId="49" borderId="1" xfId="1" applyNumberFormat="1" applyFont="1" applyFill="1" applyBorder="1" applyAlignment="1" applyProtection="1">
      <alignment horizontal="left" vertical="center"/>
      <protection locked="0"/>
    </xf>
    <xf numFmtId="177" fontId="11" fillId="49" borderId="1" xfId="1" applyNumberFormat="1" applyFont="1" applyFill="1" applyBorder="1" applyAlignment="1" applyProtection="1">
      <alignment horizontal="left" vertical="center"/>
      <protection locked="0"/>
    </xf>
    <xf numFmtId="177" fontId="1" fillId="49" borderId="1" xfId="1" applyFont="1" applyFill="1" applyBorder="1" applyAlignment="1" applyProtection="1">
      <alignment horizontal="left" vertical="center"/>
      <protection locked="0"/>
    </xf>
    <xf numFmtId="177" fontId="1" fillId="49" borderId="1" xfId="1" applyNumberFormat="1" applyFont="1" applyFill="1" applyBorder="1" applyAlignment="1" applyProtection="1">
      <alignment horizontal="left" vertical="center"/>
    </xf>
    <xf numFmtId="3" fontId="5" fillId="0" borderId="1" xfId="2731" applyNumberFormat="1" applyFont="1" applyFill="1" applyBorder="1" applyAlignment="1"/>
    <xf numFmtId="177" fontId="1" fillId="0" borderId="1" xfId="1" applyFont="1" applyFill="1" applyBorder="1" applyAlignment="1" applyProtection="1">
      <alignment horizontal="center" vertical="center"/>
    </xf>
    <xf numFmtId="1" fontId="7" fillId="0" borderId="1" xfId="9" quotePrefix="1" applyNumberFormat="1" applyFont="1" applyFill="1" applyBorder="1" applyAlignment="1" applyProtection="1">
      <alignment horizontal="left" vertical="center"/>
      <protection locked="0"/>
    </xf>
    <xf numFmtId="3" fontId="7" fillId="0" borderId="1" xfId="1" applyNumberFormat="1" applyFont="1" applyFill="1" applyBorder="1" applyAlignment="1" applyProtection="1">
      <protection locked="0"/>
    </xf>
    <xf numFmtId="177" fontId="92" fillId="4" borderId="60" xfId="1" applyFont="1" applyFill="1" applyBorder="1" applyAlignment="1" applyProtection="1">
      <alignment horizontal="center" vertical="center" wrapText="1"/>
    </xf>
    <xf numFmtId="177" fontId="92" fillId="4" borderId="1" xfId="1" applyFont="1" applyFill="1" applyBorder="1" applyAlignment="1" applyProtection="1">
      <alignment horizontal="center" vertical="center" wrapText="1"/>
    </xf>
    <xf numFmtId="177" fontId="1" fillId="0" borderId="4" xfId="1" applyFont="1" applyFill="1" applyBorder="1"/>
    <xf numFmtId="177" fontId="1" fillId="0" borderId="0" xfId="1" applyFont="1" applyFill="1" applyBorder="1"/>
    <xf numFmtId="177" fontId="1" fillId="0" borderId="0" xfId="1" applyFont="1" applyFill="1"/>
    <xf numFmtId="1" fontId="1" fillId="0" borderId="0" xfId="1" applyNumberFormat="1" applyFont="1" applyFill="1"/>
    <xf numFmtId="177" fontId="1" fillId="0" borderId="15" xfId="1" applyFont="1" applyFill="1" applyBorder="1" applyAlignment="1">
      <alignment vertical="center"/>
    </xf>
    <xf numFmtId="177" fontId="1" fillId="50" borderId="22" xfId="1" applyFont="1" applyFill="1" applyBorder="1" applyAlignment="1" applyProtection="1">
      <alignment vertical="center" wrapText="1"/>
      <protection locked="0"/>
    </xf>
    <xf numFmtId="177" fontId="1" fillId="27" borderId="8" xfId="3" applyNumberFormat="1" applyFill="1" applyBorder="1" applyAlignment="1">
      <alignment horizontal="center" vertical="center"/>
    </xf>
    <xf numFmtId="49" fontId="1" fillId="50" borderId="22" xfId="1" applyNumberFormat="1" applyFont="1" applyFill="1" applyBorder="1" applyAlignment="1" applyProtection="1">
      <alignment horizontal="left" vertical="center"/>
      <protection locked="0"/>
    </xf>
    <xf numFmtId="177" fontId="94" fillId="29" borderId="0" xfId="0" applyFont="1" applyFill="1" applyAlignment="1">
      <alignment horizontal="center" vertical="center"/>
    </xf>
    <xf numFmtId="177" fontId="55" fillId="29" borderId="0" xfId="0" applyFont="1" applyFill="1" applyAlignment="1">
      <alignment horizontal="center" vertical="center"/>
    </xf>
    <xf numFmtId="1" fontId="17" fillId="30" borderId="49" xfId="3483" applyNumberFormat="1" applyFont="1" applyFill="1" applyBorder="1" applyAlignment="1">
      <alignment horizontal="center" vertical="center"/>
    </xf>
    <xf numFmtId="177" fontId="56" fillId="29" borderId="0" xfId="0" quotePrefix="1" applyFont="1" applyFill="1" applyAlignment="1">
      <alignment horizontal="center" vertical="center"/>
    </xf>
    <xf numFmtId="1" fontId="17" fillId="30" borderId="49" xfId="0" applyNumberFormat="1" applyFont="1" applyFill="1" applyBorder="1" applyAlignment="1">
      <alignment horizontal="center" vertical="center"/>
    </xf>
    <xf numFmtId="177" fontId="16" fillId="29" borderId="0" xfId="0" applyFont="1" applyFill="1" applyAlignment="1">
      <alignment vertical="center"/>
    </xf>
    <xf numFmtId="177" fontId="1" fillId="0" borderId="15" xfId="1" applyFont="1" applyFill="1" applyBorder="1" applyAlignment="1">
      <alignment vertical="center" wrapText="1"/>
    </xf>
    <xf numFmtId="14" fontId="1" fillId="50" borderId="22" xfId="1" applyNumberFormat="1" applyFont="1" applyFill="1" applyBorder="1" applyAlignment="1" applyProtection="1">
      <alignment horizontal="left" vertical="center"/>
      <protection locked="0"/>
    </xf>
    <xf numFmtId="177" fontId="11" fillId="50" borderId="22" xfId="1" applyNumberFormat="1" applyFont="1" applyFill="1" applyBorder="1" applyAlignment="1" applyProtection="1">
      <alignment horizontal="left" vertical="center"/>
      <protection locked="0"/>
    </xf>
    <xf numFmtId="177" fontId="1" fillId="50" borderId="22" xfId="1" applyFont="1" applyFill="1" applyBorder="1" applyAlignment="1" applyProtection="1">
      <alignment horizontal="left" vertical="center"/>
      <protection locked="0"/>
    </xf>
    <xf numFmtId="177" fontId="1" fillId="0" borderId="44" xfId="1" applyFont="1" applyFill="1" applyBorder="1" applyAlignment="1" applyProtection="1">
      <alignment vertical="center" wrapText="1"/>
      <protection locked="0"/>
    </xf>
    <xf numFmtId="177" fontId="1" fillId="50" borderId="25" xfId="1" applyFont="1" applyFill="1" applyBorder="1" applyAlignment="1" applyProtection="1">
      <alignment horizontal="left" vertical="center"/>
      <protection locked="0"/>
    </xf>
    <xf numFmtId="177" fontId="95" fillId="29" borderId="0" xfId="0" applyFont="1" applyFill="1" applyAlignment="1">
      <alignment horizontal="center" vertical="center" wrapText="1"/>
    </xf>
    <xf numFmtId="177" fontId="1" fillId="0" borderId="0" xfId="1" applyFont="1" applyFill="1" applyBorder="1" applyAlignment="1">
      <alignment vertical="center"/>
    </xf>
    <xf numFmtId="177" fontId="11" fillId="0" borderId="0" xfId="1" applyNumberFormat="1" applyFont="1" applyFill="1" applyBorder="1" applyAlignment="1" applyProtection="1">
      <alignment horizontal="center" vertical="center"/>
      <protection locked="0"/>
    </xf>
    <xf numFmtId="177" fontId="1" fillId="0" borderId="0" xfId="1" applyFont="1" applyFill="1" applyBorder="1" applyAlignment="1">
      <alignment horizontal="left" vertical="center"/>
    </xf>
    <xf numFmtId="177" fontId="7" fillId="4" borderId="15" xfId="1" applyFont="1" applyFill="1" applyBorder="1" applyAlignment="1">
      <alignment horizontal="center" vertical="center" wrapText="1"/>
    </xf>
    <xf numFmtId="177" fontId="3" fillId="4" borderId="1" xfId="1" applyFont="1" applyFill="1" applyBorder="1" applyAlignment="1">
      <alignment horizontal="center" vertical="center" wrapText="1"/>
    </xf>
    <xf numFmtId="171" fontId="3" fillId="4" borderId="1" xfId="1" applyNumberFormat="1" applyFont="1" applyFill="1" applyBorder="1" applyAlignment="1">
      <alignment horizontal="center" vertical="center" wrapText="1"/>
    </xf>
    <xf numFmtId="177" fontId="53" fillId="4" borderId="1" xfId="1" applyFont="1" applyFill="1" applyBorder="1" applyAlignment="1">
      <alignment horizontal="center" vertical="center" wrapText="1"/>
    </xf>
    <xf numFmtId="1" fontId="3" fillId="4" borderId="1" xfId="1" applyNumberFormat="1" applyFont="1" applyFill="1" applyBorder="1" applyAlignment="1">
      <alignment horizontal="center" vertical="center" wrapText="1"/>
    </xf>
    <xf numFmtId="177" fontId="3" fillId="4" borderId="22" xfId="1" applyFont="1" applyFill="1" applyBorder="1" applyAlignment="1">
      <alignment horizontal="center" vertical="center" wrapText="1"/>
    </xf>
    <xf numFmtId="177" fontId="1" fillId="0" borderId="0" xfId="1" applyFont="1" applyBorder="1"/>
    <xf numFmtId="49" fontId="7" fillId="51" borderId="15" xfId="1" applyNumberFormat="1" applyFont="1" applyFill="1" applyBorder="1" applyAlignment="1">
      <alignment horizontal="center"/>
    </xf>
    <xf numFmtId="177" fontId="7" fillId="51" borderId="1" xfId="1" applyFont="1" applyFill="1" applyBorder="1" applyAlignment="1">
      <alignment horizontal="center"/>
    </xf>
    <xf numFmtId="177" fontId="7" fillId="0" borderId="1" xfId="1" applyFont="1" applyFill="1" applyBorder="1" applyAlignment="1"/>
    <xf numFmtId="1" fontId="7" fillId="0" borderId="1" xfId="1" applyNumberFormat="1" applyFont="1" applyFill="1" applyBorder="1" applyAlignment="1" applyProtection="1">
      <alignment horizontal="right" vertical="center"/>
      <protection locked="0"/>
    </xf>
    <xf numFmtId="177" fontId="7" fillId="0" borderId="1" xfId="1" applyFont="1" applyFill="1" applyBorder="1" applyAlignment="1" applyProtection="1">
      <alignment horizontal="right" vertical="center"/>
      <protection locked="0"/>
    </xf>
    <xf numFmtId="177" fontId="7" fillId="0" borderId="1" xfId="1" applyFont="1" applyFill="1" applyBorder="1" applyAlignment="1">
      <alignment horizontal="right"/>
    </xf>
    <xf numFmtId="177" fontId="7" fillId="51" borderId="15" xfId="1" applyFont="1" applyFill="1" applyBorder="1" applyAlignment="1">
      <alignment horizontal="center"/>
    </xf>
    <xf numFmtId="177" fontId="7" fillId="0" borderId="1" xfId="1" applyFont="1" applyFill="1" applyBorder="1"/>
    <xf numFmtId="1" fontId="7" fillId="0" borderId="1" xfId="1" applyNumberFormat="1" applyFont="1" applyFill="1" applyBorder="1" applyAlignment="1">
      <alignment horizontal="right"/>
    </xf>
    <xf numFmtId="177" fontId="51" fillId="0" borderId="1" xfId="0" applyFont="1" applyFill="1" applyBorder="1"/>
    <xf numFmtId="177" fontId="1" fillId="0" borderId="1" xfId="1" applyFont="1" applyFill="1" applyBorder="1" applyAlignment="1">
      <alignment horizontal="center"/>
    </xf>
    <xf numFmtId="177" fontId="3" fillId="0" borderId="1" xfId="1" applyFont="1" applyFill="1" applyBorder="1" applyAlignment="1" applyProtection="1">
      <alignment horizontal="right"/>
      <protection locked="0"/>
    </xf>
    <xf numFmtId="1" fontId="7" fillId="0" borderId="1" xfId="1" applyNumberFormat="1" applyFont="1" applyFill="1" applyBorder="1"/>
    <xf numFmtId="1" fontId="7" fillId="0" borderId="1" xfId="0" applyNumberFormat="1" applyFont="1" applyFill="1" applyBorder="1" applyAlignment="1" applyProtection="1">
      <alignment horizontal="left" vertical="center"/>
      <protection locked="0"/>
    </xf>
    <xf numFmtId="177" fontId="7" fillId="0" borderId="1" xfId="0" applyFont="1" applyFill="1" applyBorder="1" applyAlignment="1" applyProtection="1">
      <alignment horizontal="left" vertical="center"/>
      <protection locked="0"/>
    </xf>
    <xf numFmtId="177" fontId="1" fillId="0" borderId="0" xfId="1" applyFont="1" applyFill="1" applyAlignment="1">
      <alignment horizontal="center"/>
    </xf>
    <xf numFmtId="171" fontId="1" fillId="0" borderId="0" xfId="1" applyNumberFormat="1" applyFont="1" applyFill="1"/>
    <xf numFmtId="177" fontId="1" fillId="51" borderId="0" xfId="1" applyFont="1" applyFill="1" applyAlignment="1">
      <alignment horizontal="center"/>
    </xf>
    <xf numFmtId="177" fontId="3" fillId="0" borderId="0" xfId="3" applyFont="1" applyFill="1" applyAlignment="1">
      <alignment vertical="center"/>
    </xf>
    <xf numFmtId="177" fontId="52" fillId="0" borderId="47" xfId="0" applyFont="1" applyBorder="1" applyAlignment="1">
      <alignment horizontal="center" vertical="center"/>
    </xf>
    <xf numFmtId="177" fontId="4" fillId="0" borderId="0" xfId="3" applyFont="1" applyAlignment="1">
      <alignment horizontal="right" vertical="center"/>
    </xf>
    <xf numFmtId="14" fontId="1" fillId="4" borderId="8" xfId="3" applyNumberFormat="1" applyFill="1" applyBorder="1" applyAlignment="1">
      <alignment horizontal="center" vertical="center"/>
    </xf>
    <xf numFmtId="20" fontId="1" fillId="4" borderId="8" xfId="3" applyNumberFormat="1" applyFill="1" applyBorder="1" applyAlignment="1">
      <alignment horizontal="center" vertical="center"/>
    </xf>
    <xf numFmtId="177" fontId="23" fillId="4" borderId="49" xfId="1" applyFont="1" applyFill="1" applyBorder="1" applyAlignment="1">
      <alignment horizontal="center" vertical="center"/>
    </xf>
    <xf numFmtId="177" fontId="4" fillId="0" borderId="0" xfId="3" applyFont="1" applyAlignment="1">
      <alignment vertical="center"/>
    </xf>
    <xf numFmtId="177" fontId="3" fillId="0" borderId="47" xfId="3" applyFont="1" applyFill="1" applyBorder="1" applyAlignment="1">
      <alignment horizontal="center" vertical="center"/>
    </xf>
    <xf numFmtId="177" fontId="3" fillId="0" borderId="6" xfId="3" applyFont="1" applyFill="1" applyBorder="1" applyAlignment="1">
      <alignment vertical="center"/>
    </xf>
    <xf numFmtId="177" fontId="4" fillId="0" borderId="6" xfId="3" applyFont="1" applyBorder="1" applyAlignment="1">
      <alignment horizontal="right" vertical="center"/>
    </xf>
    <xf numFmtId="177" fontId="23" fillId="4" borderId="46" xfId="1" applyFont="1" applyFill="1" applyBorder="1" applyAlignment="1">
      <alignment vertical="center"/>
    </xf>
    <xf numFmtId="177" fontId="23" fillId="4" borderId="47" xfId="1" applyFont="1" applyFill="1" applyBorder="1" applyAlignment="1">
      <alignment vertical="center"/>
    </xf>
    <xf numFmtId="177" fontId="23" fillId="4" borderId="48" xfId="1" applyFont="1" applyFill="1" applyBorder="1" applyAlignment="1">
      <alignment vertical="center"/>
    </xf>
    <xf numFmtId="177" fontId="1" fillId="0" borderId="2" xfId="3" applyBorder="1" applyAlignment="1">
      <alignment vertical="center"/>
    </xf>
    <xf numFmtId="177" fontId="1" fillId="0" borderId="5" xfId="3" applyBorder="1" applyAlignment="1">
      <alignment vertical="center"/>
    </xf>
    <xf numFmtId="177" fontId="1" fillId="0" borderId="3" xfId="3" applyBorder="1" applyAlignment="1">
      <alignment vertical="center"/>
    </xf>
    <xf numFmtId="177" fontId="1" fillId="0" borderId="1" xfId="3" applyBorder="1" applyAlignment="1">
      <alignment horizontal="center" vertical="center"/>
    </xf>
    <xf numFmtId="177" fontId="1" fillId="0" borderId="5" xfId="1" applyFont="1" applyBorder="1" applyAlignment="1">
      <alignment vertical="center"/>
    </xf>
    <xf numFmtId="177" fontId="1" fillId="0" borderId="3" xfId="1" applyFont="1" applyBorder="1" applyAlignment="1">
      <alignment vertical="center"/>
    </xf>
    <xf numFmtId="177" fontId="4" fillId="2" borderId="44" xfId="3" applyFont="1" applyFill="1" applyBorder="1" applyAlignment="1">
      <alignment vertical="center"/>
    </xf>
    <xf numFmtId="177" fontId="4" fillId="2" borderId="55" xfId="3" applyFont="1" applyFill="1" applyBorder="1" applyAlignment="1">
      <alignment vertical="center"/>
    </xf>
    <xf numFmtId="177" fontId="4" fillId="2" borderId="46" xfId="3" applyFont="1" applyFill="1" applyBorder="1" applyAlignment="1">
      <alignment vertical="center"/>
    </xf>
    <xf numFmtId="177" fontId="4" fillId="2" borderId="47" xfId="3" applyFont="1" applyFill="1" applyBorder="1" applyAlignment="1">
      <alignment vertical="center"/>
    </xf>
    <xf numFmtId="177" fontId="4" fillId="0" borderId="56" xfId="3" applyFont="1" applyFill="1" applyBorder="1" applyAlignment="1">
      <alignment vertical="center"/>
    </xf>
    <xf numFmtId="177" fontId="4" fillId="0" borderId="29" xfId="3" applyFont="1" applyFill="1" applyBorder="1" applyAlignment="1">
      <alignment horizontal="center" vertical="center" wrapText="1"/>
    </xf>
    <xf numFmtId="177" fontId="4" fillId="0" borderId="31" xfId="3" applyFont="1" applyFill="1" applyBorder="1" applyAlignment="1">
      <alignment vertical="center"/>
    </xf>
    <xf numFmtId="177" fontId="4" fillId="0" borderId="1" xfId="3" applyFont="1" applyFill="1" applyBorder="1" applyAlignment="1">
      <alignment horizontal="center" vertical="center" wrapText="1"/>
    </xf>
    <xf numFmtId="177" fontId="2" fillId="0" borderId="30" xfId="3" applyFont="1" applyFill="1" applyBorder="1" applyAlignment="1">
      <alignment vertical="center"/>
    </xf>
    <xf numFmtId="177" fontId="2" fillId="0" borderId="5" xfId="3" applyFont="1" applyFill="1" applyBorder="1" applyAlignment="1">
      <alignment vertical="center"/>
    </xf>
    <xf numFmtId="177" fontId="2" fillId="0" borderId="32" xfId="3" applyFont="1" applyFill="1" applyBorder="1" applyAlignment="1">
      <alignment vertical="center"/>
    </xf>
    <xf numFmtId="177" fontId="2" fillId="0" borderId="57" xfId="3" applyFont="1" applyFill="1" applyBorder="1" applyAlignment="1">
      <alignment vertical="center"/>
    </xf>
    <xf numFmtId="177" fontId="1" fillId="0" borderId="0" xfId="3" applyAlignment="1">
      <alignment horizontal="center" vertical="center"/>
    </xf>
    <xf numFmtId="1" fontId="1" fillId="0" borderId="0" xfId="3" applyNumberFormat="1" applyAlignment="1">
      <alignment horizontal="center" vertical="center"/>
    </xf>
    <xf numFmtId="177" fontId="4" fillId="0" borderId="0" xfId="3" applyFont="1" applyAlignment="1">
      <alignment horizontal="center" vertical="center" wrapText="1"/>
    </xf>
    <xf numFmtId="177" fontId="4" fillId="0" borderId="0" xfId="3" applyFont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7" fontId="16" fillId="0" borderId="0" xfId="0" applyFont="1" applyAlignment="1">
      <alignment horizontal="center" vertical="center"/>
    </xf>
    <xf numFmtId="177" fontId="16" fillId="0" borderId="0" xfId="0" applyFont="1"/>
    <xf numFmtId="175" fontId="17" fillId="0" borderId="1" xfId="0" applyNumberFormat="1" applyFont="1" applyBorder="1" applyAlignment="1">
      <alignment horizontal="center" vertical="center"/>
    </xf>
    <xf numFmtId="177" fontId="16" fillId="0" borderId="1" xfId="0" applyFont="1" applyBorder="1" applyAlignment="1">
      <alignment horizontal="center" vertical="center"/>
    </xf>
    <xf numFmtId="177" fontId="16" fillId="0" borderId="0" xfId="0" applyFont="1" applyBorder="1" applyAlignment="1">
      <alignment horizontal="center" vertical="center"/>
    </xf>
    <xf numFmtId="177" fontId="17" fillId="50" borderId="1" xfId="0" applyNumberFormat="1" applyFont="1" applyFill="1" applyBorder="1" applyAlignment="1" applyProtection="1">
      <alignment horizontal="center" vertical="center"/>
    </xf>
    <xf numFmtId="177" fontId="17" fillId="50" borderId="1" xfId="0" applyNumberFormat="1" applyFont="1" applyFill="1" applyBorder="1" applyAlignment="1" applyProtection="1">
      <alignment horizontal="center" vertical="center" wrapText="1"/>
    </xf>
    <xf numFmtId="177" fontId="0" fillId="4" borderId="0" xfId="0" applyNumberFormat="1" applyFill="1"/>
    <xf numFmtId="14" fontId="0" fillId="4" borderId="0" xfId="0" applyNumberFormat="1" applyFill="1"/>
    <xf numFmtId="20" fontId="0" fillId="4" borderId="0" xfId="0" applyNumberFormat="1" applyFill="1"/>
    <xf numFmtId="22" fontId="0" fillId="4" borderId="0" xfId="0" applyNumberFormat="1" applyFill="1"/>
    <xf numFmtId="177" fontId="1" fillId="0" borderId="0" xfId="1" applyFont="1" applyFill="1" applyAlignment="1">
      <alignment horizontal="center" vertical="center"/>
    </xf>
    <xf numFmtId="49" fontId="2" fillId="30" borderId="8" xfId="0" applyNumberFormat="1" applyFont="1" applyFill="1" applyBorder="1" applyAlignment="1">
      <alignment horizontal="center" vertical="center"/>
    </xf>
    <xf numFmtId="177" fontId="16" fillId="4" borderId="1" xfId="0" applyFont="1" applyFill="1" applyBorder="1" applyAlignment="1" applyProtection="1">
      <alignment horizontal="center"/>
    </xf>
    <xf numFmtId="170" fontId="16" fillId="4" borderId="1" xfId="0" applyNumberFormat="1" applyFont="1" applyFill="1" applyBorder="1" applyAlignment="1" applyProtection="1">
      <alignment horizontal="center"/>
    </xf>
    <xf numFmtId="11" fontId="16" fillId="4" borderId="1" xfId="0" applyNumberFormat="1" applyFont="1" applyFill="1" applyBorder="1" applyAlignment="1" applyProtection="1">
      <alignment horizontal="center"/>
      <protection locked="0"/>
    </xf>
    <xf numFmtId="14" fontId="16" fillId="4" borderId="1" xfId="0" applyNumberFormat="1" applyFont="1" applyFill="1" applyBorder="1" applyAlignment="1" applyProtection="1">
      <alignment horizontal="center"/>
      <protection locked="0"/>
    </xf>
    <xf numFmtId="177" fontId="16" fillId="4" borderId="1" xfId="0" applyFont="1" applyFill="1" applyBorder="1" applyAlignment="1" applyProtection="1">
      <alignment horizontal="center" vertical="center"/>
    </xf>
    <xf numFmtId="177" fontId="4" fillId="0" borderId="0" xfId="1" applyFont="1" applyFill="1" applyBorder="1" applyAlignment="1" applyProtection="1">
      <alignment horizontal="center" vertical="center"/>
    </xf>
    <xf numFmtId="177" fontId="23" fillId="0" borderId="0" xfId="1" applyFont="1" applyFill="1" applyBorder="1" applyAlignment="1" applyProtection="1">
      <alignment horizontal="center"/>
    </xf>
    <xf numFmtId="177" fontId="7" fillId="0" borderId="0" xfId="9" applyFont="1" applyFill="1" applyBorder="1" applyAlignment="1" applyProtection="1">
      <alignment horizontal="left" vertical="center"/>
      <protection locked="0"/>
    </xf>
    <xf numFmtId="177" fontId="7" fillId="51" borderId="1" xfId="9" applyFont="1" applyFill="1" applyBorder="1" applyAlignment="1" applyProtection="1">
      <alignment horizontal="left" vertical="center"/>
      <protection locked="0"/>
    </xf>
    <xf numFmtId="22" fontId="1" fillId="50" borderId="22" xfId="1" applyNumberFormat="1" applyFont="1" applyFill="1" applyBorder="1" applyAlignment="1" applyProtection="1">
      <alignment horizontal="left" vertical="center"/>
      <protection locked="0"/>
    </xf>
    <xf numFmtId="177" fontId="48" fillId="0" borderId="0" xfId="0" applyFont="1" applyBorder="1" applyAlignment="1" applyProtection="1">
      <alignment horizontal="center" vertical="center" shrinkToFit="1"/>
    </xf>
    <xf numFmtId="177" fontId="96" fillId="0" borderId="1" xfId="0" applyFont="1" applyBorder="1"/>
    <xf numFmtId="177" fontId="96" fillId="0" borderId="0" xfId="0" applyFont="1" applyProtection="1"/>
    <xf numFmtId="177" fontId="7" fillId="32" borderId="1" xfId="1" applyFont="1" applyFill="1" applyBorder="1" applyAlignment="1" applyProtection="1">
      <alignment horizontal="center" vertical="center"/>
      <protection locked="0"/>
    </xf>
    <xf numFmtId="177" fontId="97" fillId="0" borderId="1" xfId="1" applyFont="1" applyFill="1" applyBorder="1" applyAlignment="1" applyProtection="1">
      <alignment horizontal="center" vertical="center"/>
    </xf>
    <xf numFmtId="177" fontId="2" fillId="0" borderId="0" xfId="1" applyNumberFormat="1" applyFont="1" applyFill="1" applyBorder="1" applyAlignment="1" applyProtection="1">
      <alignment horizontal="center" vertical="center"/>
    </xf>
    <xf numFmtId="177" fontId="7" fillId="32" borderId="1" xfId="1" applyFont="1" applyFill="1" applyBorder="1" applyAlignment="1" applyProtection="1">
      <alignment horizontal="center" vertical="center"/>
    </xf>
    <xf numFmtId="177" fontId="101" fillId="52" borderId="70" xfId="0" applyFont="1" applyFill="1" applyBorder="1" applyAlignment="1">
      <alignment horizontal="center" vertical="center" wrapText="1"/>
    </xf>
    <xf numFmtId="177" fontId="102" fillId="53" borderId="1" xfId="0" applyFont="1" applyFill="1" applyBorder="1" applyAlignment="1">
      <alignment vertical="center" wrapText="1"/>
    </xf>
    <xf numFmtId="177" fontId="102" fillId="53" borderId="1" xfId="0" applyFont="1" applyFill="1" applyBorder="1" applyAlignment="1">
      <alignment vertical="center"/>
    </xf>
    <xf numFmtId="177" fontId="100" fillId="53" borderId="1" xfId="0" applyFont="1" applyFill="1" applyBorder="1" applyAlignment="1">
      <alignment vertical="center" wrapText="1"/>
    </xf>
    <xf numFmtId="177" fontId="103" fillId="53" borderId="1" xfId="0" applyFont="1" applyFill="1" applyBorder="1" applyAlignment="1">
      <alignment vertical="center" wrapText="1"/>
    </xf>
    <xf numFmtId="177" fontId="17" fillId="52" borderId="1" xfId="0" applyFont="1" applyFill="1" applyBorder="1" applyAlignment="1">
      <alignment horizontal="center" vertical="center" wrapText="1"/>
    </xf>
    <xf numFmtId="177" fontId="16" fillId="0" borderId="1" xfId="0" applyFont="1" applyBorder="1"/>
    <xf numFmtId="177" fontId="16" fillId="0" borderId="1" xfId="0" applyFont="1" applyFill="1" applyBorder="1"/>
    <xf numFmtId="177" fontId="17" fillId="0" borderId="1" xfId="0" applyFont="1" applyBorder="1"/>
    <xf numFmtId="177" fontId="104" fillId="0" borderId="0" xfId="0" applyFont="1"/>
    <xf numFmtId="178" fontId="105" fillId="30" borderId="1" xfId="3483" applyNumberFormat="1" applyFont="1" applyFill="1" applyBorder="1" applyAlignment="1">
      <alignment horizontal="center"/>
    </xf>
    <xf numFmtId="177" fontId="99" fillId="0" borderId="1" xfId="0" applyFont="1" applyBorder="1"/>
    <xf numFmtId="177" fontId="0" fillId="54" borderId="1" xfId="0" applyFill="1" applyBorder="1"/>
    <xf numFmtId="178" fontId="105" fillId="30" borderId="1" xfId="3483" applyNumberFormat="1" applyFont="1" applyFill="1" applyBorder="1" applyAlignment="1"/>
    <xf numFmtId="178" fontId="104" fillId="0" borderId="0" xfId="3483" applyNumberFormat="1" applyFont="1"/>
    <xf numFmtId="177" fontId="1" fillId="0" borderId="1" xfId="0" applyFont="1" applyBorder="1"/>
    <xf numFmtId="177" fontId="49" fillId="0" borderId="1" xfId="0" applyFont="1" applyBorder="1"/>
    <xf numFmtId="177" fontId="101" fillId="52" borderId="1" xfId="0" applyFont="1" applyFill="1" applyBorder="1" applyAlignment="1">
      <alignment horizontal="center" vertical="center" wrapText="1"/>
    </xf>
    <xf numFmtId="178" fontId="106" fillId="30" borderId="1" xfId="3483" applyNumberFormat="1" applyFont="1" applyFill="1" applyBorder="1" applyAlignment="1">
      <alignment horizontal="center" vertical="center"/>
    </xf>
    <xf numFmtId="178" fontId="0" fillId="0" borderId="0" xfId="3483" applyNumberFormat="1" applyFont="1"/>
    <xf numFmtId="177" fontId="1" fillId="0" borderId="1" xfId="1" applyFont="1" applyFill="1" applyBorder="1" applyProtection="1"/>
    <xf numFmtId="177" fontId="107" fillId="32" borderId="1" xfId="1" applyFont="1" applyFill="1" applyBorder="1" applyAlignment="1" applyProtection="1">
      <alignment horizontal="center" vertical="center"/>
    </xf>
    <xf numFmtId="14" fontId="1" fillId="27" borderId="8" xfId="3" applyNumberFormat="1" applyFill="1" applyBorder="1" applyAlignment="1" applyProtection="1">
      <alignment horizontal="center" vertical="center"/>
    </xf>
    <xf numFmtId="177" fontId="5" fillId="0" borderId="4" xfId="0" applyFont="1" applyFill="1" applyBorder="1"/>
    <xf numFmtId="177" fontId="47" fillId="0" borderId="0" xfId="0" applyFont="1" applyBorder="1" applyAlignment="1">
      <alignment horizontal="center" vertical="center" shrinkToFit="1"/>
    </xf>
    <xf numFmtId="177" fontId="48" fillId="0" borderId="0" xfId="0" applyFont="1" applyBorder="1" applyAlignment="1">
      <alignment horizontal="center" vertical="center" shrinkToFit="1"/>
    </xf>
    <xf numFmtId="177" fontId="0" fillId="0" borderId="49" xfId="0" applyBorder="1" applyAlignment="1">
      <alignment horizontal="center" vertical="center"/>
    </xf>
    <xf numFmtId="177" fontId="0" fillId="0" borderId="50" xfId="0" applyBorder="1" applyAlignment="1">
      <alignment horizontal="center" vertical="center"/>
    </xf>
    <xf numFmtId="177" fontId="50" fillId="0" borderId="0" xfId="0" applyFont="1" applyBorder="1" applyAlignment="1">
      <alignment horizontal="center" vertical="center" wrapText="1" shrinkToFit="1"/>
    </xf>
    <xf numFmtId="177" fontId="0" fillId="0" borderId="49" xfId="0" applyBorder="1" applyAlignment="1">
      <alignment horizontal="center" vertical="center" wrapText="1"/>
    </xf>
    <xf numFmtId="177" fontId="0" fillId="0" borderId="51" xfId="0" applyBorder="1" applyAlignment="1">
      <alignment horizontal="center" vertical="center" wrapText="1"/>
    </xf>
    <xf numFmtId="177" fontId="0" fillId="0" borderId="50" xfId="0" applyBorder="1" applyAlignment="1">
      <alignment horizontal="center" vertical="center" wrapText="1"/>
    </xf>
    <xf numFmtId="177" fontId="4" fillId="0" borderId="12" xfId="0" applyFont="1" applyBorder="1" applyAlignment="1" applyProtection="1">
      <alignment horizontal="center" vertical="center"/>
    </xf>
    <xf numFmtId="177" fontId="4" fillId="0" borderId="15" xfId="0" applyFont="1" applyBorder="1" applyAlignment="1" applyProtection="1">
      <alignment horizontal="center" vertical="center"/>
    </xf>
    <xf numFmtId="177" fontId="4" fillId="0" borderId="17" xfId="0" applyFont="1" applyBorder="1" applyAlignment="1" applyProtection="1">
      <alignment horizontal="center" vertical="center"/>
    </xf>
    <xf numFmtId="177" fontId="21" fillId="0" borderId="14" xfId="0" applyFont="1" applyBorder="1" applyAlignment="1" applyProtection="1">
      <alignment horizontal="center" vertical="center"/>
    </xf>
    <xf numFmtId="177" fontId="21" fillId="0" borderId="16" xfId="0" applyFont="1" applyBorder="1" applyAlignment="1" applyProtection="1">
      <alignment horizontal="center" vertical="center"/>
    </xf>
    <xf numFmtId="177" fontId="21" fillId="0" borderId="19" xfId="0" applyFont="1" applyBorder="1" applyAlignment="1" applyProtection="1">
      <alignment horizontal="center" vertical="center"/>
    </xf>
    <xf numFmtId="177" fontId="4" fillId="0" borderId="12" xfId="4" applyFont="1" applyBorder="1" applyAlignment="1" applyProtection="1">
      <alignment horizontal="center" vertical="center"/>
    </xf>
    <xf numFmtId="177" fontId="4" fillId="0" borderId="15" xfId="4" applyFont="1" applyBorder="1" applyAlignment="1" applyProtection="1">
      <alignment horizontal="center" vertical="center"/>
    </xf>
    <xf numFmtId="177" fontId="4" fillId="0" borderId="23" xfId="4" applyFont="1" applyBorder="1" applyAlignment="1" applyProtection="1">
      <alignment horizontal="center" vertical="center"/>
    </xf>
    <xf numFmtId="177" fontId="4" fillId="0" borderId="17" xfId="4" applyFont="1" applyBorder="1" applyAlignment="1" applyProtection="1">
      <alignment horizontal="center" vertical="center"/>
    </xf>
    <xf numFmtId="177" fontId="1" fillId="0" borderId="21" xfId="4" applyFont="1" applyBorder="1" applyAlignment="1" applyProtection="1">
      <alignment horizontal="center" vertical="center"/>
    </xf>
    <xf numFmtId="177" fontId="1" fillId="0" borderId="22" xfId="4" applyFont="1" applyBorder="1" applyAlignment="1" applyProtection="1">
      <alignment horizontal="center" vertical="center"/>
    </xf>
    <xf numFmtId="177" fontId="1" fillId="0" borderId="24" xfId="4" applyFont="1" applyBorder="1" applyAlignment="1" applyProtection="1">
      <alignment horizontal="center" vertical="center"/>
    </xf>
    <xf numFmtId="177" fontId="1" fillId="0" borderId="25" xfId="4" applyFont="1" applyBorder="1" applyAlignment="1" applyProtection="1">
      <alignment horizontal="center" vertical="center"/>
    </xf>
    <xf numFmtId="177" fontId="4" fillId="0" borderId="12" xfId="0" applyFont="1" applyBorder="1" applyAlignment="1" applyProtection="1">
      <alignment horizontal="center" vertical="center" wrapText="1"/>
    </xf>
    <xf numFmtId="177" fontId="4" fillId="0" borderId="15" xfId="0" applyFont="1" applyBorder="1" applyAlignment="1" applyProtection="1">
      <alignment horizontal="center" vertical="center" wrapText="1"/>
    </xf>
    <xf numFmtId="177" fontId="4" fillId="0" borderId="17" xfId="0" applyFont="1" applyBorder="1" applyAlignment="1" applyProtection="1">
      <alignment horizontal="center" vertical="center" wrapText="1"/>
    </xf>
    <xf numFmtId="177" fontId="4" fillId="0" borderId="26" xfId="0" applyFont="1" applyBorder="1" applyAlignment="1" applyProtection="1">
      <alignment horizontal="center" vertical="center" wrapText="1"/>
    </xf>
    <xf numFmtId="177" fontId="4" fillId="0" borderId="28" xfId="0" applyFont="1" applyBorder="1" applyAlignment="1" applyProtection="1">
      <alignment horizontal="center" vertical="center" wrapText="1"/>
    </xf>
    <xf numFmtId="177" fontId="4" fillId="0" borderId="27" xfId="0" applyFont="1" applyBorder="1" applyAlignment="1" applyProtection="1">
      <alignment horizontal="center" vertical="center" wrapText="1"/>
    </xf>
    <xf numFmtId="177" fontId="19" fillId="0" borderId="0" xfId="0" applyFont="1" applyAlignment="1" applyProtection="1">
      <alignment horizontal="center" wrapText="1"/>
    </xf>
    <xf numFmtId="177" fontId="19" fillId="0" borderId="0" xfId="0" applyFont="1" applyAlignment="1" applyProtection="1">
      <alignment horizontal="center"/>
    </xf>
    <xf numFmtId="177" fontId="22" fillId="0" borderId="12" xfId="0" applyFont="1" applyBorder="1" applyAlignment="1" applyProtection="1">
      <alignment horizontal="center" vertical="center"/>
    </xf>
    <xf numFmtId="177" fontId="22" fillId="0" borderId="15" xfId="0" applyFont="1" applyBorder="1" applyAlignment="1" applyProtection="1">
      <alignment horizontal="center" vertical="center"/>
    </xf>
    <xf numFmtId="177" fontId="22" fillId="0" borderId="17" xfId="0" applyFont="1" applyBorder="1" applyAlignment="1" applyProtection="1">
      <alignment horizontal="center" vertical="center"/>
    </xf>
    <xf numFmtId="177" fontId="4" fillId="0" borderId="12" xfId="1" applyFont="1" applyBorder="1" applyAlignment="1" applyProtection="1">
      <alignment horizontal="center" wrapText="1"/>
    </xf>
    <xf numFmtId="177" fontId="4" fillId="0" borderId="17" xfId="1" applyFont="1" applyBorder="1" applyAlignment="1" applyProtection="1">
      <alignment horizontal="center" wrapText="1"/>
    </xf>
    <xf numFmtId="177" fontId="4" fillId="4" borderId="58" xfId="1" applyFont="1" applyFill="1" applyBorder="1" applyAlignment="1" applyProtection="1">
      <alignment horizontal="center" vertical="center"/>
    </xf>
    <xf numFmtId="177" fontId="4" fillId="4" borderId="59" xfId="1" applyFont="1" applyFill="1" applyBorder="1" applyAlignment="1" applyProtection="1">
      <alignment horizontal="center" vertical="center"/>
    </xf>
    <xf numFmtId="177" fontId="4" fillId="4" borderId="63" xfId="1" applyFont="1" applyFill="1" applyBorder="1" applyAlignment="1" applyProtection="1">
      <alignment horizontal="center" vertical="center"/>
    </xf>
    <xf numFmtId="177" fontId="4" fillId="4" borderId="6" xfId="1" applyFont="1" applyFill="1" applyBorder="1" applyAlignment="1" applyProtection="1">
      <alignment horizontal="center" vertical="center"/>
    </xf>
    <xf numFmtId="177" fontId="4" fillId="4" borderId="45" xfId="1" applyFont="1" applyFill="1" applyBorder="1" applyAlignment="1" applyProtection="1">
      <alignment horizontal="center" vertical="center"/>
    </xf>
    <xf numFmtId="177" fontId="4" fillId="4" borderId="43" xfId="1" applyFont="1" applyFill="1" applyBorder="1" applyAlignment="1" applyProtection="1">
      <alignment horizontal="center" vertical="center"/>
    </xf>
    <xf numFmtId="177" fontId="60" fillId="4" borderId="42" xfId="1" applyFont="1" applyFill="1" applyBorder="1" applyAlignment="1" applyProtection="1">
      <alignment horizontal="center" vertical="center" wrapText="1"/>
    </xf>
    <xf numFmtId="177" fontId="60" fillId="4" borderId="64" xfId="1" applyFont="1" applyFill="1" applyBorder="1" applyAlignment="1" applyProtection="1">
      <alignment horizontal="center" vertical="center" wrapText="1"/>
    </xf>
    <xf numFmtId="177" fontId="1" fillId="0" borderId="2" xfId="1" applyFont="1" applyFill="1" applyBorder="1" applyAlignment="1" applyProtection="1">
      <alignment horizontal="center" vertical="center"/>
    </xf>
    <xf numFmtId="177" fontId="1" fillId="0" borderId="5" xfId="1" applyFont="1" applyFill="1" applyBorder="1" applyAlignment="1" applyProtection="1">
      <alignment horizontal="center" vertical="center"/>
    </xf>
    <xf numFmtId="177" fontId="1" fillId="0" borderId="3" xfId="1" applyFont="1" applyFill="1" applyBorder="1" applyAlignment="1" applyProtection="1">
      <alignment horizontal="center" vertical="center"/>
    </xf>
    <xf numFmtId="177" fontId="1" fillId="0" borderId="1" xfId="1" applyFont="1" applyFill="1" applyBorder="1" applyAlignment="1" applyProtection="1">
      <alignment horizontal="center" vertical="center"/>
    </xf>
    <xf numFmtId="177" fontId="98" fillId="29" borderId="46" xfId="0" applyFont="1" applyFill="1" applyBorder="1" applyAlignment="1" applyProtection="1">
      <alignment horizontal="center" vertical="center"/>
    </xf>
    <xf numFmtId="177" fontId="98" fillId="29" borderId="47" xfId="0" applyFont="1" applyFill="1" applyBorder="1" applyAlignment="1" applyProtection="1">
      <alignment horizontal="center" vertical="center"/>
    </xf>
    <xf numFmtId="177" fontId="98" fillId="29" borderId="48" xfId="0" applyFont="1" applyFill="1" applyBorder="1" applyAlignment="1" applyProtection="1">
      <alignment horizontal="center" vertical="center"/>
    </xf>
    <xf numFmtId="177" fontId="54" fillId="29" borderId="46" xfId="0" applyFont="1" applyFill="1" applyBorder="1" applyAlignment="1" applyProtection="1">
      <alignment horizontal="center"/>
    </xf>
    <xf numFmtId="177" fontId="54" fillId="29" borderId="48" xfId="0" applyFont="1" applyFill="1" applyBorder="1" applyAlignment="1" applyProtection="1">
      <alignment horizontal="center"/>
    </xf>
    <xf numFmtId="177" fontId="1" fillId="0" borderId="1" xfId="1" applyFont="1" applyFill="1" applyBorder="1" applyAlignment="1" applyProtection="1">
      <alignment horizontal="center"/>
    </xf>
    <xf numFmtId="177" fontId="1" fillId="0" borderId="0" xfId="1" applyFont="1" applyFill="1" applyBorder="1" applyAlignment="1" applyProtection="1">
      <alignment horizontal="center"/>
    </xf>
    <xf numFmtId="177" fontId="1" fillId="0" borderId="6" xfId="1" applyFont="1" applyFill="1" applyBorder="1" applyAlignment="1" applyProtection="1">
      <alignment horizontal="center"/>
    </xf>
    <xf numFmtId="177" fontId="2" fillId="0" borderId="68" xfId="1" applyNumberFormat="1" applyFont="1" applyFill="1" applyBorder="1" applyAlignment="1" applyProtection="1">
      <alignment horizontal="center" vertical="center"/>
    </xf>
    <xf numFmtId="177" fontId="2" fillId="0" borderId="69" xfId="1" applyNumberFormat="1" applyFont="1" applyFill="1" applyBorder="1" applyAlignment="1" applyProtection="1">
      <alignment horizontal="center" vertical="center"/>
    </xf>
    <xf numFmtId="177" fontId="3" fillId="0" borderId="1" xfId="1" applyFont="1" applyBorder="1" applyAlignment="1" applyProtection="1">
      <alignment horizontal="center" vertical="center" wrapText="1"/>
    </xf>
    <xf numFmtId="177" fontId="3" fillId="0" borderId="1" xfId="1" applyFont="1" applyFill="1" applyBorder="1" applyAlignment="1" applyProtection="1">
      <alignment horizontal="center" vertical="center"/>
    </xf>
    <xf numFmtId="177" fontId="59" fillId="0" borderId="1" xfId="1" applyNumberFormat="1" applyFont="1" applyFill="1" applyBorder="1" applyAlignment="1" applyProtection="1">
      <alignment horizontal="center" vertical="center"/>
    </xf>
    <xf numFmtId="177" fontId="11" fillId="4" borderId="4" xfId="1" applyFont="1" applyFill="1" applyBorder="1" applyAlignment="1" applyProtection="1">
      <alignment horizontal="center" vertical="center" wrapText="1"/>
    </xf>
    <xf numFmtId="177" fontId="11" fillId="4" borderId="29" xfId="1" applyFont="1" applyFill="1" applyBorder="1" applyAlignment="1" applyProtection="1">
      <alignment horizontal="center" vertical="center" wrapText="1"/>
    </xf>
    <xf numFmtId="177" fontId="2" fillId="4" borderId="1" xfId="1" applyFont="1" applyFill="1" applyBorder="1" applyAlignment="1" applyProtection="1">
      <alignment horizontal="center" vertical="center" wrapText="1"/>
    </xf>
    <xf numFmtId="177" fontId="2" fillId="4" borderId="4" xfId="1" applyFont="1" applyFill="1" applyBorder="1" applyAlignment="1" applyProtection="1">
      <alignment horizontal="center" vertical="center" wrapText="1"/>
    </xf>
    <xf numFmtId="177" fontId="2" fillId="4" borderId="29" xfId="1" applyFont="1" applyFill="1" applyBorder="1" applyAlignment="1" applyProtection="1">
      <alignment horizontal="center" vertical="center" wrapText="1"/>
    </xf>
    <xf numFmtId="177" fontId="11" fillId="4" borderId="1" xfId="1" applyFont="1" applyFill="1" applyBorder="1" applyAlignment="1" applyProtection="1">
      <alignment horizontal="center" vertical="center" wrapText="1"/>
    </xf>
    <xf numFmtId="177" fontId="3" fillId="0" borderId="4" xfId="1" applyNumberFormat="1" applyFont="1" applyBorder="1" applyAlignment="1" applyProtection="1">
      <alignment horizontal="center" vertical="center" wrapText="1"/>
    </xf>
    <xf numFmtId="177" fontId="3" fillId="0" borderId="29" xfId="1" applyNumberFormat="1" applyFont="1" applyBorder="1" applyAlignment="1" applyProtection="1">
      <alignment horizontal="center" vertical="center" wrapText="1"/>
    </xf>
    <xf numFmtId="177" fontId="2" fillId="4" borderId="4" xfId="1" applyFont="1" applyFill="1" applyBorder="1" applyAlignment="1" applyProtection="1">
      <alignment horizontal="center" vertical="center" textRotation="90"/>
    </xf>
    <xf numFmtId="177" fontId="2" fillId="4" borderId="29" xfId="1" applyFont="1" applyFill="1" applyBorder="1" applyAlignment="1" applyProtection="1">
      <alignment horizontal="center" vertical="center" textRotation="90"/>
    </xf>
    <xf numFmtId="177" fontId="3" fillId="0" borderId="2" xfId="1" applyFont="1" applyFill="1" applyBorder="1" applyAlignment="1" applyProtection="1">
      <alignment horizontal="center" vertical="center"/>
    </xf>
    <xf numFmtId="177" fontId="11" fillId="4" borderId="4" xfId="1" applyFont="1" applyFill="1" applyBorder="1" applyAlignment="1" applyProtection="1">
      <alignment horizontal="center" vertical="center"/>
    </xf>
    <xf numFmtId="177" fontId="11" fillId="4" borderId="29" xfId="1" applyFont="1" applyFill="1" applyBorder="1" applyAlignment="1" applyProtection="1">
      <alignment horizontal="center" vertical="center"/>
    </xf>
    <xf numFmtId="169" fontId="1" fillId="0" borderId="2" xfId="1" applyNumberFormat="1" applyFont="1" applyBorder="1" applyAlignment="1" applyProtection="1">
      <alignment horizontal="center" vertical="center"/>
    </xf>
    <xf numFmtId="169" fontId="1" fillId="0" borderId="5" xfId="1" applyNumberFormat="1" applyFont="1" applyBorder="1" applyAlignment="1" applyProtection="1">
      <alignment horizontal="center" vertical="center"/>
    </xf>
    <xf numFmtId="169" fontId="1" fillId="0" borderId="3" xfId="1" applyNumberFormat="1" applyFont="1" applyBorder="1" applyAlignment="1" applyProtection="1">
      <alignment horizontal="center" vertical="center"/>
    </xf>
    <xf numFmtId="177" fontId="1" fillId="0" borderId="1" xfId="1" applyFont="1" applyBorder="1" applyAlignment="1" applyProtection="1">
      <alignment horizontal="center" vertical="center"/>
    </xf>
    <xf numFmtId="177" fontId="4" fillId="2" borderId="1" xfId="1" applyFont="1" applyFill="1" applyBorder="1" applyAlignment="1" applyProtection="1">
      <alignment horizontal="center" vertical="center"/>
    </xf>
    <xf numFmtId="177" fontId="4" fillId="0" borderId="2" xfId="1" applyFont="1" applyBorder="1" applyAlignment="1" applyProtection="1">
      <alignment horizontal="left" vertical="center"/>
    </xf>
    <xf numFmtId="177" fontId="4" fillId="0" borderId="5" xfId="1" applyFont="1" applyBorder="1" applyAlignment="1" applyProtection="1">
      <alignment horizontal="left" vertical="center"/>
    </xf>
    <xf numFmtId="177" fontId="4" fillId="0" borderId="3" xfId="1" applyFont="1" applyBorder="1" applyAlignment="1" applyProtection="1">
      <alignment horizontal="left" vertical="center"/>
    </xf>
    <xf numFmtId="177" fontId="1" fillId="0" borderId="2" xfId="1" applyFont="1" applyBorder="1" applyAlignment="1" applyProtection="1">
      <alignment horizontal="center" vertical="center"/>
    </xf>
    <xf numFmtId="177" fontId="1" fillId="0" borderId="5" xfId="1" applyFont="1" applyBorder="1" applyAlignment="1" applyProtection="1">
      <alignment horizontal="center" vertical="center"/>
    </xf>
    <xf numFmtId="177" fontId="4" fillId="2" borderId="2" xfId="1" applyFont="1" applyFill="1" applyBorder="1" applyAlignment="1" applyProtection="1">
      <alignment horizontal="center" vertical="center"/>
    </xf>
    <xf numFmtId="177" fontId="4" fillId="2" borderId="5" xfId="1" applyFont="1" applyFill="1" applyBorder="1" applyAlignment="1" applyProtection="1">
      <alignment horizontal="center" vertical="center"/>
    </xf>
    <xf numFmtId="177" fontId="4" fillId="2" borderId="3" xfId="1" applyFont="1" applyFill="1" applyBorder="1" applyAlignment="1" applyProtection="1">
      <alignment horizontal="center" vertical="center"/>
    </xf>
    <xf numFmtId="168" fontId="1" fillId="0" borderId="1" xfId="1" applyNumberFormat="1" applyFont="1" applyBorder="1" applyAlignment="1" applyProtection="1">
      <alignment horizontal="center" vertical="center"/>
    </xf>
    <xf numFmtId="172" fontId="1" fillId="0" borderId="1" xfId="1" applyNumberFormat="1" applyFont="1" applyBorder="1" applyAlignment="1" applyProtection="1">
      <alignment horizontal="center" vertical="center"/>
    </xf>
    <xf numFmtId="177" fontId="2" fillId="4" borderId="4" xfId="1" applyFont="1" applyFill="1" applyBorder="1" applyAlignment="1" applyProtection="1">
      <alignment horizontal="center" textRotation="90"/>
    </xf>
    <xf numFmtId="177" fontId="2" fillId="4" borderId="29" xfId="1" applyFont="1" applyFill="1" applyBorder="1" applyAlignment="1" applyProtection="1">
      <alignment horizontal="center" textRotation="90"/>
    </xf>
    <xf numFmtId="177" fontId="2" fillId="4" borderId="4" xfId="1" applyFont="1" applyFill="1" applyBorder="1" applyAlignment="1" applyProtection="1">
      <alignment horizontal="center" vertical="center" textRotation="90" wrapText="1"/>
    </xf>
    <xf numFmtId="177" fontId="2" fillId="4" borderId="29" xfId="1" applyFont="1" applyFill="1" applyBorder="1" applyAlignment="1" applyProtection="1">
      <alignment horizontal="center" vertical="center" textRotation="90" wrapText="1"/>
    </xf>
    <xf numFmtId="177" fontId="6" fillId="0" borderId="1" xfId="1" applyFont="1" applyBorder="1" applyAlignment="1" applyProtection="1">
      <alignment horizontal="center" vertical="center"/>
    </xf>
    <xf numFmtId="177" fontId="18" fillId="0" borderId="0" xfId="1" applyFont="1" applyAlignment="1" applyProtection="1">
      <alignment horizontal="center" vertical="center" wrapText="1"/>
    </xf>
    <xf numFmtId="177" fontId="18" fillId="0" borderId="0" xfId="1" applyFont="1" applyAlignment="1" applyProtection="1">
      <alignment horizontal="right" vertical="center" wrapText="1"/>
    </xf>
    <xf numFmtId="177" fontId="3" fillId="0" borderId="0" xfId="1" applyFont="1" applyAlignment="1" applyProtection="1">
      <alignment horizontal="center" vertical="center" wrapText="1"/>
    </xf>
    <xf numFmtId="14" fontId="2" fillId="4" borderId="30" xfId="1" applyNumberFormat="1" applyFont="1" applyFill="1" applyBorder="1" applyAlignment="1" applyProtection="1">
      <alignment horizontal="center" vertical="center" wrapText="1"/>
    </xf>
    <xf numFmtId="14" fontId="2" fillId="4" borderId="31" xfId="1" applyNumberFormat="1" applyFont="1" applyFill="1" applyBorder="1" applyAlignment="1" applyProtection="1">
      <alignment horizontal="center" vertical="center" wrapText="1"/>
    </xf>
    <xf numFmtId="1" fontId="11" fillId="4" borderId="4" xfId="1" applyNumberFormat="1" applyFont="1" applyFill="1" applyBorder="1" applyAlignment="1" applyProtection="1">
      <alignment horizontal="center" vertical="center" wrapText="1"/>
    </xf>
    <xf numFmtId="1" fontId="11" fillId="4" borderId="29" xfId="1" applyNumberFormat="1" applyFont="1" applyFill="1" applyBorder="1" applyAlignment="1" applyProtection="1">
      <alignment horizontal="center" vertical="center" wrapText="1"/>
    </xf>
    <xf numFmtId="177" fontId="2" fillId="0" borderId="0" xfId="1" applyFont="1" applyAlignment="1" applyProtection="1">
      <alignment horizontal="center" vertical="center"/>
    </xf>
    <xf numFmtId="177" fontId="2" fillId="0" borderId="0" xfId="1" applyFont="1" applyAlignment="1" applyProtection="1">
      <alignment horizontal="center" vertical="center" wrapText="1"/>
    </xf>
    <xf numFmtId="1" fontId="11" fillId="4" borderId="4" xfId="1" applyNumberFormat="1" applyFont="1" applyFill="1" applyBorder="1" applyAlignment="1" applyProtection="1">
      <alignment horizontal="center" vertical="center"/>
    </xf>
    <xf numFmtId="1" fontId="11" fillId="4" borderId="29" xfId="1" applyNumberFormat="1" applyFont="1" applyFill="1" applyBorder="1" applyAlignment="1" applyProtection="1">
      <alignment horizontal="center" vertical="center"/>
    </xf>
    <xf numFmtId="177" fontId="4" fillId="0" borderId="2" xfId="1" applyFont="1" applyBorder="1" applyAlignment="1" applyProtection="1">
      <alignment horizontal="left"/>
    </xf>
    <xf numFmtId="177" fontId="4" fillId="0" borderId="3" xfId="1" applyFont="1" applyBorder="1" applyAlignment="1" applyProtection="1">
      <alignment horizontal="left"/>
    </xf>
    <xf numFmtId="177" fontId="4" fillId="0" borderId="1" xfId="1" applyFont="1" applyBorder="1" applyAlignment="1" applyProtection="1">
      <alignment horizontal="center"/>
    </xf>
    <xf numFmtId="177" fontId="6" fillId="0" borderId="1" xfId="1" applyFont="1" applyBorder="1" applyAlignment="1" applyProtection="1">
      <alignment horizontal="center" vertical="center" wrapText="1"/>
    </xf>
    <xf numFmtId="177" fontId="16" fillId="0" borderId="6" xfId="0" applyFont="1" applyBorder="1" applyAlignment="1" applyProtection="1">
      <alignment horizontal="center"/>
    </xf>
    <xf numFmtId="177" fontId="11" fillId="0" borderId="0" xfId="1" applyFont="1" applyAlignment="1" applyProtection="1">
      <alignment horizontal="center"/>
    </xf>
    <xf numFmtId="177" fontId="11" fillId="0" borderId="0" xfId="1" applyFont="1" applyAlignment="1" applyProtection="1">
      <alignment horizontal="center" vertical="center" wrapText="1"/>
    </xf>
    <xf numFmtId="177" fontId="4" fillId="0" borderId="0" xfId="1" applyFont="1" applyBorder="1" applyAlignment="1" applyProtection="1">
      <alignment horizontal="center"/>
    </xf>
    <xf numFmtId="177" fontId="1" fillId="0" borderId="6" xfId="1" applyFont="1" applyBorder="1" applyAlignment="1" applyProtection="1">
      <alignment horizontal="center"/>
    </xf>
    <xf numFmtId="177" fontId="1" fillId="0" borderId="1" xfId="0" applyFont="1" applyFill="1" applyBorder="1" applyAlignment="1" applyProtection="1">
      <alignment horizontal="center" vertical="center"/>
    </xf>
    <xf numFmtId="165" fontId="1" fillId="0" borderId="5" xfId="1" applyNumberFormat="1" applyFont="1" applyBorder="1" applyAlignment="1" applyProtection="1">
      <alignment horizontal="center"/>
    </xf>
    <xf numFmtId="177" fontId="1" fillId="4" borderId="5" xfId="1" applyNumberFormat="1" applyFont="1" applyFill="1" applyBorder="1" applyAlignment="1" applyProtection="1">
      <alignment horizontal="center"/>
    </xf>
    <xf numFmtId="22" fontId="4" fillId="0" borderId="2" xfId="3" applyNumberFormat="1" applyFont="1" applyFill="1" applyBorder="1" applyAlignment="1" applyProtection="1">
      <alignment horizontal="center" vertical="center"/>
    </xf>
    <xf numFmtId="22" fontId="4" fillId="0" borderId="3" xfId="3" applyNumberFormat="1" applyFont="1" applyFill="1" applyBorder="1" applyAlignment="1" applyProtection="1">
      <alignment horizontal="center" vertical="center"/>
    </xf>
    <xf numFmtId="177" fontId="4" fillId="0" borderId="18" xfId="3" applyFont="1" applyFill="1" applyBorder="1" applyAlignment="1" applyProtection="1">
      <alignment horizontal="center" vertical="center"/>
    </xf>
    <xf numFmtId="177" fontId="4" fillId="2" borderId="1" xfId="3" applyFont="1" applyFill="1" applyBorder="1" applyAlignment="1" applyProtection="1">
      <alignment horizontal="center" vertical="center"/>
    </xf>
    <xf numFmtId="177" fontId="4" fillId="0" borderId="54" xfId="3" applyFont="1" applyFill="1" applyBorder="1" applyAlignment="1" applyProtection="1">
      <alignment horizontal="center" vertical="center"/>
    </xf>
    <xf numFmtId="177" fontId="4" fillId="0" borderId="17" xfId="3" applyFont="1" applyFill="1" applyBorder="1" applyAlignment="1" applyProtection="1">
      <alignment horizontal="center" vertical="center"/>
    </xf>
    <xf numFmtId="177" fontId="4" fillId="0" borderId="29" xfId="3" applyFont="1" applyFill="1" applyBorder="1" applyAlignment="1" applyProtection="1">
      <alignment horizontal="center" vertical="center"/>
    </xf>
    <xf numFmtId="22" fontId="4" fillId="0" borderId="29" xfId="3" applyNumberFormat="1" applyFont="1" applyFill="1" applyBorder="1" applyAlignment="1" applyProtection="1">
      <alignment horizontal="center" vertical="center"/>
    </xf>
    <xf numFmtId="177" fontId="4" fillId="0" borderId="1" xfId="3" applyFont="1" applyFill="1" applyBorder="1" applyAlignment="1" applyProtection="1">
      <alignment horizontal="center" vertical="center"/>
    </xf>
    <xf numFmtId="177" fontId="2" fillId="0" borderId="1" xfId="3" applyFont="1" applyFill="1" applyBorder="1" applyAlignment="1" applyProtection="1">
      <alignment horizontal="center" vertical="center"/>
    </xf>
    <xf numFmtId="177" fontId="4" fillId="4" borderId="1" xfId="3" applyFont="1" applyFill="1" applyBorder="1" applyAlignment="1" applyProtection="1">
      <alignment horizontal="center" vertical="center" wrapText="1"/>
    </xf>
    <xf numFmtId="177" fontId="4" fillId="0" borderId="52" xfId="3" applyFont="1" applyBorder="1" applyAlignment="1" applyProtection="1">
      <alignment horizontal="center" vertical="center"/>
    </xf>
    <xf numFmtId="177" fontId="4" fillId="0" borderId="0" xfId="3" applyFont="1" applyAlignment="1" applyProtection="1">
      <alignment horizontal="center" vertical="center"/>
    </xf>
    <xf numFmtId="177" fontId="4" fillId="0" borderId="15" xfId="3" applyFont="1" applyFill="1" applyBorder="1" applyAlignment="1" applyProtection="1">
      <alignment horizontal="center" vertical="center"/>
    </xf>
    <xf numFmtId="177" fontId="4" fillId="0" borderId="23" xfId="3" applyFont="1" applyFill="1" applyBorder="1" applyAlignment="1" applyProtection="1">
      <alignment horizontal="center" vertical="center" wrapText="1"/>
    </xf>
    <xf numFmtId="177" fontId="4" fillId="0" borderId="28" xfId="3" applyFont="1" applyFill="1" applyBorder="1" applyAlignment="1" applyProtection="1">
      <alignment horizontal="center" vertical="center" wrapText="1"/>
    </xf>
    <xf numFmtId="177" fontId="4" fillId="0" borderId="27" xfId="3" applyFont="1" applyFill="1" applyBorder="1" applyAlignment="1" applyProtection="1">
      <alignment horizontal="center" vertical="center" wrapText="1"/>
    </xf>
    <xf numFmtId="177" fontId="2" fillId="0" borderId="18" xfId="3" applyFont="1" applyFill="1" applyBorder="1" applyAlignment="1" applyProtection="1">
      <alignment horizontal="center" vertical="center"/>
    </xf>
    <xf numFmtId="177" fontId="4" fillId="0" borderId="29" xfId="3" applyFont="1" applyFill="1" applyBorder="1" applyAlignment="1" applyProtection="1">
      <alignment horizontal="center" vertical="center" wrapText="1"/>
    </xf>
    <xf numFmtId="177" fontId="4" fillId="0" borderId="1" xfId="3" applyFont="1" applyFill="1" applyBorder="1" applyAlignment="1" applyProtection="1">
      <alignment horizontal="center" vertical="center" wrapText="1"/>
    </xf>
    <xf numFmtId="177" fontId="4" fillId="0" borderId="58" xfId="3" applyFont="1" applyBorder="1" applyAlignment="1" applyProtection="1">
      <alignment horizontal="center" vertical="justify"/>
    </xf>
    <xf numFmtId="177" fontId="4" fillId="0" borderId="59" xfId="3" applyFont="1" applyBorder="1" applyAlignment="1" applyProtection="1">
      <alignment horizontal="center" vertical="justify"/>
    </xf>
    <xf numFmtId="177" fontId="3" fillId="0" borderId="0" xfId="3" applyFont="1" applyFill="1" applyAlignment="1" applyProtection="1">
      <alignment horizontal="center" vertical="center"/>
    </xf>
    <xf numFmtId="177" fontId="3" fillId="0" borderId="53" xfId="3" applyFont="1" applyFill="1" applyBorder="1" applyAlignment="1" applyProtection="1">
      <alignment horizontal="center" vertical="center"/>
    </xf>
    <xf numFmtId="177" fontId="68" fillId="31" borderId="46" xfId="3" applyFont="1" applyFill="1" applyBorder="1" applyAlignment="1" applyProtection="1">
      <alignment horizontal="center" vertical="center"/>
    </xf>
    <xf numFmtId="177" fontId="68" fillId="31" borderId="47" xfId="3" applyFont="1" applyFill="1" applyBorder="1" applyAlignment="1" applyProtection="1">
      <alignment horizontal="center" vertical="center"/>
    </xf>
    <xf numFmtId="177" fontId="68" fillId="31" borderId="48" xfId="3" applyFont="1" applyFill="1" applyBorder="1" applyAlignment="1" applyProtection="1">
      <alignment horizontal="center" vertical="center"/>
    </xf>
    <xf numFmtId="177" fontId="23" fillId="4" borderId="1" xfId="3" applyFont="1" applyFill="1" applyBorder="1" applyAlignment="1" applyProtection="1">
      <alignment horizontal="center" vertical="center"/>
    </xf>
    <xf numFmtId="177" fontId="1" fillId="0" borderId="1" xfId="3" applyBorder="1" applyAlignment="1" applyProtection="1">
      <alignment horizontal="center" vertical="center"/>
    </xf>
    <xf numFmtId="177" fontId="3" fillId="0" borderId="46" xfId="3" applyFont="1" applyFill="1" applyBorder="1" applyAlignment="1" applyProtection="1">
      <alignment horizontal="center" vertical="center" wrapText="1"/>
    </xf>
    <xf numFmtId="177" fontId="3" fillId="0" borderId="47" xfId="3" applyFont="1" applyFill="1" applyBorder="1" applyAlignment="1" applyProtection="1">
      <alignment horizontal="center" vertical="center" wrapText="1"/>
    </xf>
    <xf numFmtId="177" fontId="3" fillId="0" borderId="48" xfId="3" applyFont="1" applyFill="1" applyBorder="1" applyAlignment="1" applyProtection="1">
      <alignment horizontal="center" vertical="center" wrapText="1"/>
    </xf>
    <xf numFmtId="177" fontId="4" fillId="0" borderId="46" xfId="3" applyFont="1" applyBorder="1" applyAlignment="1" applyProtection="1">
      <alignment horizontal="center" wrapText="1"/>
    </xf>
    <xf numFmtId="177" fontId="4" fillId="0" borderId="47" xfId="3" applyFont="1" applyBorder="1" applyAlignment="1" applyProtection="1">
      <alignment horizontal="center" wrapText="1"/>
    </xf>
    <xf numFmtId="177" fontId="4" fillId="0" borderId="48" xfId="3" applyFont="1" applyBorder="1" applyAlignment="1" applyProtection="1">
      <alignment horizontal="center" wrapText="1"/>
    </xf>
    <xf numFmtId="177" fontId="1" fillId="4" borderId="46" xfId="3" applyFill="1" applyBorder="1" applyAlignment="1" applyProtection="1"/>
    <xf numFmtId="177" fontId="1" fillId="4" borderId="47" xfId="3" applyFill="1" applyBorder="1" applyAlignment="1" applyProtection="1"/>
    <xf numFmtId="177" fontId="1" fillId="4" borderId="48" xfId="3" applyFill="1" applyBorder="1" applyAlignment="1" applyProtection="1"/>
    <xf numFmtId="177" fontId="3" fillId="0" borderId="46" xfId="3" applyFont="1" applyFill="1" applyBorder="1" applyAlignment="1" applyProtection="1">
      <alignment horizontal="center" vertical="center"/>
    </xf>
    <xf numFmtId="177" fontId="3" fillId="0" borderId="48" xfId="3" applyFont="1" applyFill="1" applyBorder="1" applyAlignment="1" applyProtection="1">
      <alignment horizontal="center" vertical="center"/>
    </xf>
    <xf numFmtId="177" fontId="52" fillId="0" borderId="46" xfId="0" applyFont="1" applyBorder="1" applyAlignment="1" applyProtection="1">
      <alignment horizontal="center" vertical="center"/>
    </xf>
    <xf numFmtId="177" fontId="52" fillId="0" borderId="47" xfId="0" applyFont="1" applyBorder="1" applyAlignment="1" applyProtection="1">
      <alignment horizontal="center" vertical="center"/>
    </xf>
    <xf numFmtId="177" fontId="4" fillId="0" borderId="2" xfId="1" applyFont="1" applyBorder="1" applyAlignment="1" applyProtection="1">
      <alignment horizontal="left"/>
      <protection locked="0"/>
    </xf>
    <xf numFmtId="177" fontId="4" fillId="0" borderId="3" xfId="1" applyFont="1" applyBorder="1" applyAlignment="1" applyProtection="1">
      <alignment horizontal="left"/>
      <protection locked="0"/>
    </xf>
    <xf numFmtId="177" fontId="3" fillId="0" borderId="2" xfId="1" applyFont="1" applyBorder="1" applyAlignment="1" applyProtection="1">
      <alignment horizontal="left"/>
      <protection locked="0"/>
    </xf>
    <xf numFmtId="177" fontId="3" fillId="0" borderId="5" xfId="1" applyFont="1" applyBorder="1" applyAlignment="1" applyProtection="1">
      <alignment horizontal="left"/>
      <protection locked="0"/>
    </xf>
    <xf numFmtId="177" fontId="3" fillId="0" borderId="3" xfId="1" applyFont="1" applyBorder="1" applyAlignment="1" applyProtection="1">
      <alignment horizontal="left"/>
      <protection locked="0"/>
    </xf>
    <xf numFmtId="177" fontId="0" fillId="0" borderId="6" xfId="0" applyBorder="1" applyAlignment="1">
      <alignment horizontal="center"/>
    </xf>
    <xf numFmtId="177" fontId="7" fillId="0" borderId="2" xfId="0" applyFont="1" applyFill="1" applyBorder="1" applyAlignment="1" applyProtection="1">
      <alignment horizontal="center" vertical="center"/>
      <protection locked="0"/>
    </xf>
    <xf numFmtId="177" fontId="7" fillId="0" borderId="5" xfId="0" applyFont="1" applyFill="1" applyBorder="1" applyAlignment="1" applyProtection="1">
      <alignment horizontal="center" vertical="center"/>
      <protection locked="0"/>
    </xf>
    <xf numFmtId="177" fontId="7" fillId="0" borderId="3" xfId="0" applyFont="1" applyFill="1" applyBorder="1" applyAlignment="1" applyProtection="1">
      <alignment horizontal="center" vertical="center"/>
      <protection locked="0"/>
    </xf>
    <xf numFmtId="177" fontId="11" fillId="0" borderId="0" xfId="1" applyFont="1" applyAlignment="1">
      <alignment horizontal="center" vertical="center" wrapText="1"/>
    </xf>
    <xf numFmtId="177" fontId="4" fillId="0" borderId="0" xfId="1" applyFont="1" applyAlignment="1">
      <alignment horizontal="center" vertical="center" wrapText="1"/>
    </xf>
    <xf numFmtId="177" fontId="3" fillId="0" borderId="0" xfId="1" applyFont="1" applyBorder="1" applyAlignment="1" applyProtection="1">
      <alignment horizontal="center"/>
      <protection locked="0"/>
    </xf>
    <xf numFmtId="177" fontId="2" fillId="0" borderId="6" xfId="1" applyFont="1" applyBorder="1" applyAlignment="1" applyProtection="1">
      <alignment horizontal="center"/>
      <protection locked="0"/>
    </xf>
    <xf numFmtId="165" fontId="3" fillId="0" borderId="5" xfId="1" applyNumberFormat="1" applyFont="1" applyBorder="1" applyAlignment="1" applyProtection="1">
      <alignment horizontal="center"/>
      <protection locked="0"/>
    </xf>
    <xf numFmtId="177" fontId="4" fillId="4" borderId="2" xfId="2" applyFont="1" applyFill="1" applyBorder="1" applyAlignment="1">
      <alignment horizontal="center" vertical="center" wrapText="1"/>
    </xf>
    <xf numFmtId="177" fontId="4" fillId="4" borderId="3" xfId="2" applyFont="1" applyFill="1" applyBorder="1" applyAlignment="1">
      <alignment horizontal="center" vertical="center" wrapText="1"/>
    </xf>
    <xf numFmtId="177" fontId="2" fillId="0" borderId="0" xfId="1" applyFont="1" applyAlignment="1">
      <alignment horizontal="center"/>
    </xf>
    <xf numFmtId="177" fontId="4" fillId="0" borderId="2" xfId="1" applyFont="1" applyBorder="1" applyAlignment="1">
      <alignment horizontal="left"/>
    </xf>
    <xf numFmtId="177" fontId="4" fillId="0" borderId="5" xfId="1" applyFont="1" applyBorder="1" applyAlignment="1">
      <alignment horizontal="left"/>
    </xf>
    <xf numFmtId="177" fontId="4" fillId="0" borderId="3" xfId="1" applyFont="1" applyBorder="1" applyAlignment="1">
      <alignment horizontal="left"/>
    </xf>
    <xf numFmtId="177" fontId="1" fillId="0" borderId="2" xfId="0" applyFont="1" applyFill="1" applyBorder="1" applyAlignment="1">
      <alignment horizontal="center" vertical="center"/>
    </xf>
    <xf numFmtId="177" fontId="1" fillId="0" borderId="5" xfId="0" applyFont="1" applyFill="1" applyBorder="1" applyAlignment="1">
      <alignment horizontal="center" vertical="center"/>
    </xf>
    <xf numFmtId="177" fontId="1" fillId="0" borderId="3" xfId="0" applyFont="1" applyFill="1" applyBorder="1" applyAlignment="1">
      <alignment horizontal="center" vertical="center"/>
    </xf>
    <xf numFmtId="177" fontId="3" fillId="0" borderId="0" xfId="1" applyFont="1" applyAlignment="1">
      <alignment horizontal="center" vertical="center"/>
    </xf>
    <xf numFmtId="177" fontId="4" fillId="0" borderId="0" xfId="1" applyFont="1" applyBorder="1" applyAlignment="1" applyProtection="1">
      <alignment horizontal="left"/>
      <protection locked="0"/>
    </xf>
    <xf numFmtId="177" fontId="4" fillId="0" borderId="6" xfId="1" applyFont="1" applyBorder="1" applyAlignment="1" applyProtection="1">
      <alignment horizontal="center"/>
      <protection locked="0"/>
    </xf>
    <xf numFmtId="165" fontId="4" fillId="0" borderId="6" xfId="1" applyNumberFormat="1" applyFont="1" applyBorder="1" applyAlignment="1" applyProtection="1">
      <alignment horizontal="center"/>
      <protection locked="0"/>
    </xf>
    <xf numFmtId="177" fontId="4" fillId="4" borderId="2" xfId="2" applyFont="1" applyFill="1" applyBorder="1" applyAlignment="1">
      <alignment horizontal="center" wrapText="1"/>
    </xf>
    <xf numFmtId="177" fontId="4" fillId="4" borderId="3" xfId="2" applyFont="1" applyFill="1" applyBorder="1" applyAlignment="1">
      <alignment horizontal="center" wrapText="1"/>
    </xf>
    <xf numFmtId="177" fontId="4" fillId="0" borderId="5" xfId="1" applyFont="1" applyBorder="1" applyAlignment="1" applyProtection="1">
      <alignment horizontal="left"/>
      <protection locked="0"/>
    </xf>
    <xf numFmtId="177" fontId="1" fillId="0" borderId="2" xfId="0" applyFont="1" applyFill="1" applyBorder="1" applyAlignment="1" applyProtection="1">
      <alignment horizontal="center" vertical="center"/>
      <protection locked="0"/>
    </xf>
    <xf numFmtId="177" fontId="1" fillId="0" borderId="5" xfId="0" applyFont="1" applyFill="1" applyBorder="1" applyAlignment="1" applyProtection="1">
      <alignment horizontal="center" vertical="center"/>
      <protection locked="0"/>
    </xf>
    <xf numFmtId="177" fontId="1" fillId="0" borderId="3" xfId="0" applyFont="1" applyFill="1" applyBorder="1" applyAlignment="1" applyProtection="1">
      <alignment horizontal="center" vertical="center"/>
      <protection locked="0"/>
    </xf>
    <xf numFmtId="177" fontId="0" fillId="0" borderId="49" xfId="0" applyBorder="1" applyAlignment="1" applyProtection="1">
      <alignment horizontal="center" vertical="center"/>
    </xf>
    <xf numFmtId="177" fontId="0" fillId="0" borderId="50" xfId="0" applyBorder="1" applyAlignment="1" applyProtection="1">
      <alignment horizontal="center" vertical="center"/>
    </xf>
    <xf numFmtId="177" fontId="0" fillId="0" borderId="49" xfId="0" applyBorder="1" applyAlignment="1" applyProtection="1">
      <alignment horizontal="center" vertical="center" wrapText="1"/>
    </xf>
    <xf numFmtId="177" fontId="0" fillId="0" borderId="51" xfId="0" applyBorder="1" applyAlignment="1" applyProtection="1">
      <alignment horizontal="center" vertical="center" wrapText="1"/>
    </xf>
    <xf numFmtId="177" fontId="0" fillId="0" borderId="50" xfId="0" applyBorder="1" applyAlignment="1" applyProtection="1">
      <alignment horizontal="center" vertical="center" wrapText="1"/>
    </xf>
    <xf numFmtId="177" fontId="67" fillId="0" borderId="0" xfId="0" applyFont="1" applyBorder="1" applyAlignment="1" applyProtection="1">
      <alignment horizontal="center" vertical="center" shrinkToFit="1"/>
    </xf>
    <xf numFmtId="177" fontId="79" fillId="0" borderId="0" xfId="0" applyFont="1" applyBorder="1" applyAlignment="1" applyProtection="1">
      <alignment horizontal="center" vertical="center" shrinkToFit="1"/>
    </xf>
    <xf numFmtId="177" fontId="63" fillId="0" borderId="0" xfId="0" applyFont="1" applyBorder="1" applyAlignment="1" applyProtection="1">
      <alignment horizontal="center" vertical="center" shrinkToFit="1"/>
    </xf>
    <xf numFmtId="177" fontId="48" fillId="0" borderId="0" xfId="0" applyFont="1" applyBorder="1" applyAlignment="1" applyProtection="1">
      <alignment horizontal="center" vertical="center" shrinkToFit="1"/>
    </xf>
    <xf numFmtId="177" fontId="61" fillId="0" borderId="0" xfId="0" applyFont="1" applyBorder="1" applyAlignment="1" applyProtection="1">
      <alignment horizontal="center" vertical="center" shrinkToFit="1"/>
    </xf>
    <xf numFmtId="177" fontId="47" fillId="0" borderId="0" xfId="0" applyNumberFormat="1" applyFont="1" applyBorder="1" applyAlignment="1" applyProtection="1">
      <alignment horizontal="center" vertical="center" shrinkToFit="1"/>
    </xf>
    <xf numFmtId="177" fontId="47" fillId="0" borderId="0" xfId="0" applyFont="1" applyBorder="1" applyAlignment="1" applyProtection="1">
      <alignment horizontal="center" vertical="center" shrinkToFit="1"/>
    </xf>
    <xf numFmtId="177" fontId="66" fillId="0" borderId="0" xfId="0" applyFont="1" applyBorder="1" applyAlignment="1" applyProtection="1">
      <alignment horizontal="center" vertical="center" shrinkToFit="1"/>
    </xf>
    <xf numFmtId="177" fontId="1" fillId="0" borderId="0" xfId="1" applyAlignment="1">
      <alignment horizontal="center" vertical="center" wrapText="1"/>
    </xf>
    <xf numFmtId="177" fontId="3" fillId="0" borderId="0" xfId="1" applyFont="1" applyAlignment="1">
      <alignment horizontal="center" vertical="center" wrapText="1"/>
    </xf>
    <xf numFmtId="177" fontId="1" fillId="0" borderId="1" xfId="2625" applyFont="1" applyBorder="1" applyAlignment="1">
      <alignment horizontal="left"/>
    </xf>
    <xf numFmtId="177" fontId="1" fillId="0" borderId="1" xfId="2625" applyBorder="1" applyAlignment="1">
      <alignment horizontal="left"/>
    </xf>
    <xf numFmtId="177" fontId="1" fillId="0" borderId="0" xfId="2625" applyAlignment="1">
      <alignment horizontal="center"/>
    </xf>
    <xf numFmtId="177" fontId="3" fillId="0" borderId="0" xfId="2625" applyFont="1" applyAlignment="1">
      <alignment horizontal="center"/>
    </xf>
    <xf numFmtId="165" fontId="4" fillId="0" borderId="1" xfId="2625" applyNumberFormat="1" applyFont="1" applyBorder="1" applyAlignment="1">
      <alignment horizontal="center"/>
    </xf>
    <xf numFmtId="177" fontId="4" fillId="0" borderId="1" xfId="2625" applyFont="1" applyBorder="1" applyAlignment="1">
      <alignment horizontal="center"/>
    </xf>
    <xf numFmtId="177" fontId="4" fillId="2" borderId="1" xfId="2625" applyFont="1" applyFill="1" applyBorder="1" applyAlignment="1">
      <alignment horizontal="center"/>
    </xf>
    <xf numFmtId="177" fontId="42" fillId="0" borderId="0" xfId="2625" applyFont="1" applyAlignment="1">
      <alignment horizontal="center" wrapText="1"/>
    </xf>
    <xf numFmtId="177" fontId="43" fillId="2" borderId="4" xfId="2625" applyFont="1" applyFill="1" applyBorder="1" applyAlignment="1">
      <alignment horizontal="center" vertical="center" wrapText="1"/>
    </xf>
    <xf numFmtId="177" fontId="43" fillId="2" borderId="29" xfId="2625" applyFont="1" applyFill="1" applyBorder="1" applyAlignment="1">
      <alignment horizontal="center" vertical="center"/>
    </xf>
    <xf numFmtId="177" fontId="43" fillId="2" borderId="1" xfId="2625" applyFont="1" applyFill="1" applyBorder="1" applyAlignment="1">
      <alignment horizontal="center" vertical="center"/>
    </xf>
    <xf numFmtId="177" fontId="43" fillId="2" borderId="4" xfId="2625" applyFont="1" applyFill="1" applyBorder="1" applyAlignment="1">
      <alignment horizontal="center" vertical="center"/>
    </xf>
    <xf numFmtId="177" fontId="43" fillId="2" borderId="2" xfId="2625" applyFont="1" applyFill="1" applyBorder="1" applyAlignment="1">
      <alignment horizontal="center" vertical="center"/>
    </xf>
    <xf numFmtId="177" fontId="43" fillId="2" borderId="5" xfId="2625" applyFont="1" applyFill="1" applyBorder="1" applyAlignment="1">
      <alignment horizontal="center" vertical="center"/>
    </xf>
    <xf numFmtId="177" fontId="43" fillId="2" borderId="3" xfId="2625" applyFont="1" applyFill="1" applyBorder="1" applyAlignment="1">
      <alignment horizontal="center" vertical="center"/>
    </xf>
    <xf numFmtId="177" fontId="5" fillId="0" borderId="1" xfId="2625" applyFont="1" applyBorder="1" applyAlignment="1">
      <alignment horizontal="center"/>
    </xf>
    <xf numFmtId="177" fontId="5" fillId="0" borderId="5" xfId="2625" applyFont="1" applyBorder="1" applyAlignment="1">
      <alignment horizontal="center"/>
    </xf>
    <xf numFmtId="177" fontId="44" fillId="0" borderId="2" xfId="2625" applyFont="1" applyBorder="1" applyAlignment="1">
      <alignment horizontal="left"/>
    </xf>
    <xf numFmtId="177" fontId="44" fillId="0" borderId="5" xfId="2625" applyFont="1" applyBorder="1" applyAlignment="1">
      <alignment horizontal="left"/>
    </xf>
    <xf numFmtId="177" fontId="44" fillId="0" borderId="3" xfId="2625" applyFont="1" applyBorder="1" applyAlignment="1">
      <alignment horizontal="left"/>
    </xf>
    <xf numFmtId="177" fontId="1" fillId="0" borderId="1" xfId="1" applyFont="1" applyFill="1" applyBorder="1" applyAlignment="1">
      <alignment horizontal="center" vertical="center"/>
    </xf>
    <xf numFmtId="177" fontId="4" fillId="4" borderId="42" xfId="1" applyFont="1" applyFill="1" applyBorder="1" applyAlignment="1">
      <alignment horizontal="center" vertical="center"/>
    </xf>
    <xf numFmtId="177" fontId="4" fillId="4" borderId="45" xfId="1" applyFont="1" applyFill="1" applyBorder="1" applyAlignment="1">
      <alignment horizontal="center" vertical="center"/>
    </xf>
    <xf numFmtId="177" fontId="4" fillId="4" borderId="43" xfId="1" applyFont="1" applyFill="1" applyBorder="1" applyAlignment="1">
      <alignment horizontal="center" vertical="center"/>
    </xf>
    <xf numFmtId="177" fontId="93" fillId="4" borderId="42" xfId="1" applyFont="1" applyFill="1" applyBorder="1" applyAlignment="1">
      <alignment horizontal="center" vertical="center" wrapText="1"/>
    </xf>
    <xf numFmtId="177" fontId="93" fillId="4" borderId="43" xfId="1" applyFont="1" applyFill="1" applyBorder="1" applyAlignment="1">
      <alignment horizontal="center" vertical="center" wrapText="1"/>
    </xf>
    <xf numFmtId="177" fontId="65" fillId="29" borderId="46" xfId="0" applyFont="1" applyFill="1" applyBorder="1" applyAlignment="1">
      <alignment horizontal="center" vertical="center"/>
    </xf>
    <xf numFmtId="177" fontId="65" fillId="29" borderId="47" xfId="0" applyFont="1" applyFill="1" applyBorder="1" applyAlignment="1">
      <alignment horizontal="center" vertical="center"/>
    </xf>
    <xf numFmtId="177" fontId="65" fillId="29" borderId="48" xfId="0" applyFont="1" applyFill="1" applyBorder="1" applyAlignment="1">
      <alignment horizontal="center" vertical="center"/>
    </xf>
    <xf numFmtId="177" fontId="54" fillId="29" borderId="46" xfId="0" applyFont="1" applyFill="1" applyBorder="1" applyAlignment="1">
      <alignment horizontal="center"/>
    </xf>
    <xf numFmtId="177" fontId="54" fillId="29" borderId="48" xfId="0" applyFont="1" applyFill="1" applyBorder="1" applyAlignment="1">
      <alignment horizontal="center"/>
    </xf>
    <xf numFmtId="177" fontId="1" fillId="0" borderId="2" xfId="1" applyFont="1" applyFill="1" applyBorder="1" applyAlignment="1">
      <alignment horizontal="center" vertical="center"/>
    </xf>
    <xf numFmtId="177" fontId="1" fillId="0" borderId="5" xfId="1" applyFont="1" applyFill="1" applyBorder="1" applyAlignment="1">
      <alignment horizontal="center" vertical="center"/>
    </xf>
    <xf numFmtId="177" fontId="1" fillId="0" borderId="3" xfId="1" applyFont="1" applyFill="1" applyBorder="1" applyAlignment="1">
      <alignment horizontal="center" vertical="center"/>
    </xf>
    <xf numFmtId="177" fontId="1" fillId="0" borderId="0" xfId="1" applyFont="1" applyFill="1" applyAlignment="1">
      <alignment horizontal="center"/>
    </xf>
    <xf numFmtId="177" fontId="4" fillId="0" borderId="52" xfId="3" applyFont="1" applyBorder="1" applyAlignment="1">
      <alignment horizontal="center" vertical="center"/>
    </xf>
    <xf numFmtId="177" fontId="4" fillId="0" borderId="0" xfId="3" applyFont="1" applyAlignment="1">
      <alignment horizontal="center" vertical="center"/>
    </xf>
    <xf numFmtId="177" fontId="4" fillId="0" borderId="29" xfId="3" applyFont="1" applyFill="1" applyBorder="1" applyAlignment="1">
      <alignment horizontal="center" vertical="center"/>
    </xf>
    <xf numFmtId="177" fontId="4" fillId="0" borderId="1" xfId="3" applyFont="1" applyFill="1" applyBorder="1" applyAlignment="1">
      <alignment horizontal="center" vertical="center"/>
    </xf>
    <xf numFmtId="177" fontId="4" fillId="0" borderId="23" xfId="3" applyFont="1" applyFill="1" applyBorder="1" applyAlignment="1">
      <alignment horizontal="center" vertical="center" wrapText="1"/>
    </xf>
    <xf numFmtId="177" fontId="4" fillId="0" borderId="28" xfId="3" applyFont="1" applyFill="1" applyBorder="1" applyAlignment="1">
      <alignment horizontal="center" vertical="center" wrapText="1"/>
    </xf>
    <xf numFmtId="177" fontId="4" fillId="0" borderId="27" xfId="3" applyFont="1" applyFill="1" applyBorder="1" applyAlignment="1">
      <alignment horizontal="center" vertical="center" wrapText="1"/>
    </xf>
    <xf numFmtId="177" fontId="4" fillId="4" borderId="1" xfId="3" applyFont="1" applyFill="1" applyBorder="1" applyAlignment="1">
      <alignment horizontal="center" vertical="center" wrapText="1"/>
    </xf>
    <xf numFmtId="177" fontId="2" fillId="0" borderId="1" xfId="3" applyFont="1" applyFill="1" applyBorder="1" applyAlignment="1">
      <alignment horizontal="center" vertical="center"/>
    </xf>
    <xf numFmtId="177" fontId="2" fillId="0" borderId="18" xfId="3" applyFont="1" applyFill="1" applyBorder="1" applyAlignment="1">
      <alignment horizontal="center" vertical="center"/>
    </xf>
    <xf numFmtId="177" fontId="4" fillId="0" borderId="54" xfId="3" applyFont="1" applyFill="1" applyBorder="1" applyAlignment="1">
      <alignment horizontal="center" vertical="center"/>
    </xf>
    <xf numFmtId="177" fontId="4" fillId="0" borderId="15" xfId="3" applyFont="1" applyFill="1" applyBorder="1" applyAlignment="1">
      <alignment horizontal="center" vertical="center"/>
    </xf>
    <xf numFmtId="177" fontId="4" fillId="0" borderId="29" xfId="3" applyFont="1" applyFill="1" applyBorder="1" applyAlignment="1">
      <alignment horizontal="center" vertical="center" wrapText="1"/>
    </xf>
    <xf numFmtId="177" fontId="4" fillId="0" borderId="1" xfId="3" applyFont="1" applyFill="1" applyBorder="1" applyAlignment="1">
      <alignment horizontal="center" vertical="center" wrapText="1"/>
    </xf>
    <xf numFmtId="177" fontId="4" fillId="0" borderId="18" xfId="3" applyFont="1" applyFill="1" applyBorder="1" applyAlignment="1">
      <alignment horizontal="center" vertical="center"/>
    </xf>
    <xf numFmtId="177" fontId="4" fillId="0" borderId="17" xfId="3" applyFont="1" applyFill="1" applyBorder="1" applyAlignment="1">
      <alignment horizontal="center" vertical="center"/>
    </xf>
    <xf numFmtId="22" fontId="4" fillId="0" borderId="29" xfId="3" applyNumberFormat="1" applyFont="1" applyFill="1" applyBorder="1" applyAlignment="1">
      <alignment horizontal="center" vertical="center"/>
    </xf>
    <xf numFmtId="177" fontId="68" fillId="31" borderId="46" xfId="3" applyFont="1" applyFill="1" applyBorder="1" applyAlignment="1">
      <alignment horizontal="center" vertical="center"/>
    </xf>
    <xf numFmtId="177" fontId="68" fillId="31" borderId="47" xfId="3" applyFont="1" applyFill="1" applyBorder="1" applyAlignment="1">
      <alignment horizontal="center" vertical="center"/>
    </xf>
    <xf numFmtId="177" fontId="68" fillId="31" borderId="48" xfId="3" applyFont="1" applyFill="1" applyBorder="1" applyAlignment="1">
      <alignment horizontal="center" vertical="center"/>
    </xf>
    <xf numFmtId="177" fontId="23" fillId="4" borderId="1" xfId="3" applyFont="1" applyFill="1" applyBorder="1" applyAlignment="1">
      <alignment horizontal="center" vertical="center"/>
    </xf>
    <xf numFmtId="177" fontId="1" fillId="0" borderId="1" xfId="3" applyBorder="1" applyAlignment="1">
      <alignment horizontal="center" vertical="center"/>
    </xf>
    <xf numFmtId="177" fontId="4" fillId="2" borderId="1" xfId="3" applyFont="1" applyFill="1" applyBorder="1" applyAlignment="1">
      <alignment horizontal="center" vertical="center"/>
    </xf>
    <xf numFmtId="22" fontId="4" fillId="0" borderId="2" xfId="3" applyNumberFormat="1" applyFont="1" applyFill="1" applyBorder="1" applyAlignment="1">
      <alignment horizontal="center" vertical="center"/>
    </xf>
    <xf numFmtId="22" fontId="4" fillId="0" borderId="3" xfId="3" applyNumberFormat="1" applyFont="1" applyFill="1" applyBorder="1" applyAlignment="1">
      <alignment horizontal="center" vertical="center"/>
    </xf>
    <xf numFmtId="177" fontId="3" fillId="0" borderId="0" xfId="3" applyFont="1" applyFill="1" applyAlignment="1">
      <alignment horizontal="center" vertical="center"/>
    </xf>
    <xf numFmtId="177" fontId="3" fillId="0" borderId="53" xfId="3" applyFont="1" applyFill="1" applyBorder="1" applyAlignment="1">
      <alignment horizontal="center" vertical="center"/>
    </xf>
    <xf numFmtId="177" fontId="52" fillId="0" borderId="46" xfId="0" applyFont="1" applyBorder="1" applyAlignment="1">
      <alignment horizontal="center" vertical="center"/>
    </xf>
    <xf numFmtId="177" fontId="52" fillId="0" borderId="47" xfId="0" applyFont="1" applyBorder="1" applyAlignment="1">
      <alignment horizontal="center" vertical="center"/>
    </xf>
    <xf numFmtId="177" fontId="3" fillId="0" borderId="46" xfId="3" applyFont="1" applyFill="1" applyBorder="1" applyAlignment="1">
      <alignment horizontal="center" vertical="center" wrapText="1"/>
    </xf>
    <xf numFmtId="177" fontId="3" fillId="0" borderId="47" xfId="3" applyFont="1" applyFill="1" applyBorder="1" applyAlignment="1">
      <alignment horizontal="center" vertical="center" wrapText="1"/>
    </xf>
    <xf numFmtId="177" fontId="3" fillId="0" borderId="48" xfId="3" applyFont="1" applyFill="1" applyBorder="1" applyAlignment="1">
      <alignment horizontal="center" vertical="center" wrapText="1"/>
    </xf>
    <xf numFmtId="177" fontId="4" fillId="0" borderId="58" xfId="3" applyFont="1" applyBorder="1" applyAlignment="1">
      <alignment horizontal="center" vertical="justify"/>
    </xf>
    <xf numFmtId="177" fontId="4" fillId="0" borderId="59" xfId="3" applyFont="1" applyBorder="1" applyAlignment="1">
      <alignment horizontal="center" vertical="justify"/>
    </xf>
    <xf numFmtId="177" fontId="3" fillId="0" borderId="46" xfId="3" applyFont="1" applyFill="1" applyBorder="1" applyAlignment="1">
      <alignment horizontal="center" vertical="center"/>
    </xf>
    <xf numFmtId="177" fontId="3" fillId="0" borderId="48" xfId="3" applyFont="1" applyFill="1" applyBorder="1" applyAlignment="1">
      <alignment horizontal="center" vertical="center"/>
    </xf>
    <xf numFmtId="177" fontId="4" fillId="0" borderId="46" xfId="3" applyFont="1" applyBorder="1" applyAlignment="1">
      <alignment horizontal="center" wrapText="1"/>
    </xf>
    <xf numFmtId="177" fontId="4" fillId="0" borderId="47" xfId="3" applyFont="1" applyBorder="1" applyAlignment="1">
      <alignment horizontal="center" wrapText="1"/>
    </xf>
    <xf numFmtId="177" fontId="4" fillId="0" borderId="48" xfId="3" applyFont="1" applyBorder="1" applyAlignment="1">
      <alignment horizontal="center" wrapText="1"/>
    </xf>
    <xf numFmtId="177" fontId="16" fillId="4" borderId="46" xfId="0" applyFont="1" applyFill="1" applyBorder="1" applyAlignment="1" applyProtection="1">
      <alignment horizontal="center"/>
    </xf>
    <xf numFmtId="177" fontId="16" fillId="4" borderId="47" xfId="0" applyFont="1" applyFill="1" applyBorder="1" applyAlignment="1" applyProtection="1">
      <alignment horizontal="center"/>
    </xf>
    <xf numFmtId="177" fontId="16" fillId="4" borderId="48" xfId="0" applyFont="1" applyFill="1" applyBorder="1" applyAlignment="1" applyProtection="1">
      <alignment horizontal="center"/>
    </xf>
    <xf numFmtId="177" fontId="17" fillId="0" borderId="61" xfId="0" applyFont="1" applyBorder="1" applyAlignment="1" applyProtection="1">
      <alignment horizontal="center"/>
    </xf>
    <xf numFmtId="177" fontId="17" fillId="0" borderId="45" xfId="0" applyFont="1" applyBorder="1" applyAlignment="1" applyProtection="1">
      <alignment horizontal="center"/>
    </xf>
    <xf numFmtId="177" fontId="17" fillId="0" borderId="62" xfId="0" applyFont="1" applyBorder="1" applyAlignment="1" applyProtection="1">
      <alignment horizontal="center"/>
    </xf>
    <xf numFmtId="177" fontId="17" fillId="0" borderId="1" xfId="0" applyFont="1" applyBorder="1" applyAlignment="1">
      <alignment horizontal="center"/>
    </xf>
    <xf numFmtId="49" fontId="17" fillId="0" borderId="2" xfId="0" applyNumberFormat="1" applyFont="1" applyBorder="1" applyAlignment="1">
      <alignment horizontal="center"/>
    </xf>
    <xf numFmtId="49" fontId="17" fillId="0" borderId="5" xfId="0" applyNumberFormat="1" applyFont="1" applyBorder="1" applyAlignment="1">
      <alignment horizontal="center"/>
    </xf>
    <xf numFmtId="49" fontId="17" fillId="0" borderId="3" xfId="0" applyNumberFormat="1" applyFont="1" applyBorder="1" applyAlignment="1">
      <alignment horizontal="center"/>
    </xf>
    <xf numFmtId="177" fontId="0" fillId="0" borderId="1" xfId="0" applyBorder="1" applyAlignment="1">
      <alignment horizontal="center"/>
    </xf>
    <xf numFmtId="177" fontId="10" fillId="0" borderId="1" xfId="0" applyFont="1" applyBorder="1" applyAlignment="1">
      <alignment horizontal="center"/>
    </xf>
  </cellXfs>
  <cellStyles count="3824">
    <cellStyle name="20% - Énfasis1 10" xfId="33" xr:uid="{00000000-0005-0000-0000-000000000000}"/>
    <cellStyle name="20% - Énfasis1 11" xfId="34" xr:uid="{00000000-0005-0000-0000-000001000000}"/>
    <cellStyle name="20% - Énfasis1 11 2" xfId="35" xr:uid="{00000000-0005-0000-0000-000002000000}"/>
    <cellStyle name="20% - Énfasis1 11 3" xfId="36" xr:uid="{00000000-0005-0000-0000-000003000000}"/>
    <cellStyle name="20% - Énfasis1 11 4" xfId="37" xr:uid="{00000000-0005-0000-0000-000004000000}"/>
    <cellStyle name="20% - Énfasis1 11 5" xfId="38" xr:uid="{00000000-0005-0000-0000-000005000000}"/>
    <cellStyle name="20% - Énfasis1 11 6" xfId="39" xr:uid="{00000000-0005-0000-0000-000006000000}"/>
    <cellStyle name="20% - Énfasis1 11 7" xfId="40" xr:uid="{00000000-0005-0000-0000-000007000000}"/>
    <cellStyle name="20% - Énfasis1 12" xfId="41" xr:uid="{00000000-0005-0000-0000-000008000000}"/>
    <cellStyle name="20% - Énfasis1 12 2" xfId="42" xr:uid="{00000000-0005-0000-0000-000009000000}"/>
    <cellStyle name="20% - Énfasis1 12 3" xfId="43" xr:uid="{00000000-0005-0000-0000-00000A000000}"/>
    <cellStyle name="20% - Énfasis1 12 4" xfId="44" xr:uid="{00000000-0005-0000-0000-00000B000000}"/>
    <cellStyle name="20% - Énfasis1 12 5" xfId="45" xr:uid="{00000000-0005-0000-0000-00000C000000}"/>
    <cellStyle name="20% - Énfasis1 12 6" xfId="46" xr:uid="{00000000-0005-0000-0000-00000D000000}"/>
    <cellStyle name="20% - Énfasis1 12 7" xfId="47" xr:uid="{00000000-0005-0000-0000-00000E000000}"/>
    <cellStyle name="20% - Énfasis1 13" xfId="48" xr:uid="{00000000-0005-0000-0000-00000F000000}"/>
    <cellStyle name="20% - Énfasis1 13 2" xfId="49" xr:uid="{00000000-0005-0000-0000-000010000000}"/>
    <cellStyle name="20% - Énfasis1 13 3" xfId="50" xr:uid="{00000000-0005-0000-0000-000011000000}"/>
    <cellStyle name="20% - Énfasis1 13 4" xfId="51" xr:uid="{00000000-0005-0000-0000-000012000000}"/>
    <cellStyle name="20% - Énfasis1 13 5" xfId="52" xr:uid="{00000000-0005-0000-0000-000013000000}"/>
    <cellStyle name="20% - Énfasis1 13 6" xfId="53" xr:uid="{00000000-0005-0000-0000-000014000000}"/>
    <cellStyle name="20% - Énfasis1 13 7" xfId="54" xr:uid="{00000000-0005-0000-0000-000015000000}"/>
    <cellStyle name="20% - Énfasis1 14" xfId="55" xr:uid="{00000000-0005-0000-0000-000016000000}"/>
    <cellStyle name="20% - Énfasis1 14 2" xfId="56" xr:uid="{00000000-0005-0000-0000-000017000000}"/>
    <cellStyle name="20% - Énfasis1 14 3" xfId="57" xr:uid="{00000000-0005-0000-0000-000018000000}"/>
    <cellStyle name="20% - Énfasis1 14 4" xfId="58" xr:uid="{00000000-0005-0000-0000-000019000000}"/>
    <cellStyle name="20% - Énfasis1 14 5" xfId="59" xr:uid="{00000000-0005-0000-0000-00001A000000}"/>
    <cellStyle name="20% - Énfasis1 14 6" xfId="60" xr:uid="{00000000-0005-0000-0000-00001B000000}"/>
    <cellStyle name="20% - Énfasis1 14 7" xfId="61" xr:uid="{00000000-0005-0000-0000-00001C000000}"/>
    <cellStyle name="20% - Énfasis1 15" xfId="62" xr:uid="{00000000-0005-0000-0000-00001D000000}"/>
    <cellStyle name="20% - Énfasis1 15 2" xfId="63" xr:uid="{00000000-0005-0000-0000-00001E000000}"/>
    <cellStyle name="20% - Énfasis1 15 3" xfId="64" xr:uid="{00000000-0005-0000-0000-00001F000000}"/>
    <cellStyle name="20% - Énfasis1 15 4" xfId="65" xr:uid="{00000000-0005-0000-0000-000020000000}"/>
    <cellStyle name="20% - Énfasis1 15 5" xfId="66" xr:uid="{00000000-0005-0000-0000-000021000000}"/>
    <cellStyle name="20% - Énfasis1 15 6" xfId="67" xr:uid="{00000000-0005-0000-0000-000022000000}"/>
    <cellStyle name="20% - Énfasis1 15 7" xfId="68" xr:uid="{00000000-0005-0000-0000-000023000000}"/>
    <cellStyle name="20% - Énfasis1 16" xfId="69" xr:uid="{00000000-0005-0000-0000-000024000000}"/>
    <cellStyle name="20% - Énfasis1 16 2" xfId="70" xr:uid="{00000000-0005-0000-0000-000025000000}"/>
    <cellStyle name="20% - Énfasis1 16 3" xfId="71" xr:uid="{00000000-0005-0000-0000-000026000000}"/>
    <cellStyle name="20% - Énfasis1 16 4" xfId="72" xr:uid="{00000000-0005-0000-0000-000027000000}"/>
    <cellStyle name="20% - Énfasis1 16 5" xfId="73" xr:uid="{00000000-0005-0000-0000-000028000000}"/>
    <cellStyle name="20% - Énfasis1 16 6" xfId="74" xr:uid="{00000000-0005-0000-0000-000029000000}"/>
    <cellStyle name="20% - Énfasis1 16 7" xfId="75" xr:uid="{00000000-0005-0000-0000-00002A000000}"/>
    <cellStyle name="20% - Énfasis1 17" xfId="76" xr:uid="{00000000-0005-0000-0000-00002B000000}"/>
    <cellStyle name="20% - Énfasis1 17 2" xfId="77" xr:uid="{00000000-0005-0000-0000-00002C000000}"/>
    <cellStyle name="20% - Énfasis1 17 3" xfId="78" xr:uid="{00000000-0005-0000-0000-00002D000000}"/>
    <cellStyle name="20% - Énfasis1 17 4" xfId="79" xr:uid="{00000000-0005-0000-0000-00002E000000}"/>
    <cellStyle name="20% - Énfasis1 17 5" xfId="80" xr:uid="{00000000-0005-0000-0000-00002F000000}"/>
    <cellStyle name="20% - Énfasis1 17 6" xfId="81" xr:uid="{00000000-0005-0000-0000-000030000000}"/>
    <cellStyle name="20% - Énfasis1 18" xfId="82" xr:uid="{00000000-0005-0000-0000-000031000000}"/>
    <cellStyle name="20% - Énfasis1 19" xfId="83" xr:uid="{00000000-0005-0000-0000-000032000000}"/>
    <cellStyle name="20% - Énfasis1 2" xfId="84" xr:uid="{00000000-0005-0000-0000-000033000000}"/>
    <cellStyle name="20% - Énfasis1 2 10" xfId="85" xr:uid="{00000000-0005-0000-0000-000034000000}"/>
    <cellStyle name="20% - Énfasis1 2 11" xfId="86" xr:uid="{00000000-0005-0000-0000-000035000000}"/>
    <cellStyle name="20% - Énfasis1 2 12" xfId="87" xr:uid="{00000000-0005-0000-0000-000036000000}"/>
    <cellStyle name="20% - Énfasis1 2 13" xfId="88" xr:uid="{00000000-0005-0000-0000-000037000000}"/>
    <cellStyle name="20% - Énfasis1 2 14" xfId="89" xr:uid="{00000000-0005-0000-0000-000038000000}"/>
    <cellStyle name="20% - Énfasis1 2 15" xfId="90" xr:uid="{00000000-0005-0000-0000-000039000000}"/>
    <cellStyle name="20% - Énfasis1 2 16" xfId="91" xr:uid="{00000000-0005-0000-0000-00003A000000}"/>
    <cellStyle name="20% - Énfasis1 2 17" xfId="92" xr:uid="{00000000-0005-0000-0000-00003B000000}"/>
    <cellStyle name="20% - Énfasis1 2 18" xfId="93" xr:uid="{00000000-0005-0000-0000-00003C000000}"/>
    <cellStyle name="20% - Énfasis1 2 19" xfId="94" xr:uid="{00000000-0005-0000-0000-00003D000000}"/>
    <cellStyle name="20% - Énfasis1 2 2" xfId="95" xr:uid="{00000000-0005-0000-0000-00003E000000}"/>
    <cellStyle name="20% - Énfasis1 2 20" xfId="3487" xr:uid="{00000000-0005-0000-0000-00003F000000}"/>
    <cellStyle name="20% - Énfasis1 2 3" xfId="96" xr:uid="{00000000-0005-0000-0000-000040000000}"/>
    <cellStyle name="20% - Énfasis1 2 4" xfId="97" xr:uid="{00000000-0005-0000-0000-000041000000}"/>
    <cellStyle name="20% - Énfasis1 2 5" xfId="98" xr:uid="{00000000-0005-0000-0000-000042000000}"/>
    <cellStyle name="20% - Énfasis1 2 6" xfId="99" xr:uid="{00000000-0005-0000-0000-000043000000}"/>
    <cellStyle name="20% - Énfasis1 2 7" xfId="100" xr:uid="{00000000-0005-0000-0000-000044000000}"/>
    <cellStyle name="20% - Énfasis1 2 8" xfId="101" xr:uid="{00000000-0005-0000-0000-000045000000}"/>
    <cellStyle name="20% - Énfasis1 2 9" xfId="102" xr:uid="{00000000-0005-0000-0000-000046000000}"/>
    <cellStyle name="20% - Énfasis1 20" xfId="103" xr:uid="{00000000-0005-0000-0000-000047000000}"/>
    <cellStyle name="20% - Énfasis1 21" xfId="104" xr:uid="{00000000-0005-0000-0000-000048000000}"/>
    <cellStyle name="20% - Énfasis1 22" xfId="105" xr:uid="{00000000-0005-0000-0000-000049000000}"/>
    <cellStyle name="20% - Énfasis1 23" xfId="106" xr:uid="{00000000-0005-0000-0000-00004A000000}"/>
    <cellStyle name="20% - Énfasis1 24" xfId="3486" xr:uid="{00000000-0005-0000-0000-00004B000000}"/>
    <cellStyle name="20% - Énfasis1 3" xfId="107" xr:uid="{00000000-0005-0000-0000-00004C000000}"/>
    <cellStyle name="20% - Énfasis1 4" xfId="108" xr:uid="{00000000-0005-0000-0000-00004D000000}"/>
    <cellStyle name="20% - Énfasis1 5" xfId="109" xr:uid="{00000000-0005-0000-0000-00004E000000}"/>
    <cellStyle name="20% - Énfasis1 6" xfId="110" xr:uid="{00000000-0005-0000-0000-00004F000000}"/>
    <cellStyle name="20% - Énfasis1 7" xfId="111" xr:uid="{00000000-0005-0000-0000-000050000000}"/>
    <cellStyle name="20% - Énfasis1 8" xfId="112" xr:uid="{00000000-0005-0000-0000-000051000000}"/>
    <cellStyle name="20% - Énfasis1 9" xfId="113" xr:uid="{00000000-0005-0000-0000-000052000000}"/>
    <cellStyle name="20% - Énfasis2 10" xfId="114" xr:uid="{00000000-0005-0000-0000-000053000000}"/>
    <cellStyle name="20% - Énfasis2 11" xfId="115" xr:uid="{00000000-0005-0000-0000-000054000000}"/>
    <cellStyle name="20% - Énfasis2 11 2" xfId="116" xr:uid="{00000000-0005-0000-0000-000055000000}"/>
    <cellStyle name="20% - Énfasis2 11 3" xfId="117" xr:uid="{00000000-0005-0000-0000-000056000000}"/>
    <cellStyle name="20% - Énfasis2 11 4" xfId="118" xr:uid="{00000000-0005-0000-0000-000057000000}"/>
    <cellStyle name="20% - Énfasis2 11 5" xfId="119" xr:uid="{00000000-0005-0000-0000-000058000000}"/>
    <cellStyle name="20% - Énfasis2 11 6" xfId="120" xr:uid="{00000000-0005-0000-0000-000059000000}"/>
    <cellStyle name="20% - Énfasis2 11 7" xfId="121" xr:uid="{00000000-0005-0000-0000-00005A000000}"/>
    <cellStyle name="20% - Énfasis2 12" xfId="122" xr:uid="{00000000-0005-0000-0000-00005B000000}"/>
    <cellStyle name="20% - Énfasis2 12 2" xfId="123" xr:uid="{00000000-0005-0000-0000-00005C000000}"/>
    <cellStyle name="20% - Énfasis2 12 3" xfId="124" xr:uid="{00000000-0005-0000-0000-00005D000000}"/>
    <cellStyle name="20% - Énfasis2 12 4" xfId="125" xr:uid="{00000000-0005-0000-0000-00005E000000}"/>
    <cellStyle name="20% - Énfasis2 12 5" xfId="126" xr:uid="{00000000-0005-0000-0000-00005F000000}"/>
    <cellStyle name="20% - Énfasis2 12 6" xfId="127" xr:uid="{00000000-0005-0000-0000-000060000000}"/>
    <cellStyle name="20% - Énfasis2 12 7" xfId="128" xr:uid="{00000000-0005-0000-0000-000061000000}"/>
    <cellStyle name="20% - Énfasis2 13" xfId="129" xr:uid="{00000000-0005-0000-0000-000062000000}"/>
    <cellStyle name="20% - Énfasis2 13 2" xfId="130" xr:uid="{00000000-0005-0000-0000-000063000000}"/>
    <cellStyle name="20% - Énfasis2 13 3" xfId="131" xr:uid="{00000000-0005-0000-0000-000064000000}"/>
    <cellStyle name="20% - Énfasis2 13 4" xfId="132" xr:uid="{00000000-0005-0000-0000-000065000000}"/>
    <cellStyle name="20% - Énfasis2 13 5" xfId="133" xr:uid="{00000000-0005-0000-0000-000066000000}"/>
    <cellStyle name="20% - Énfasis2 13 6" xfId="134" xr:uid="{00000000-0005-0000-0000-000067000000}"/>
    <cellStyle name="20% - Énfasis2 13 7" xfId="135" xr:uid="{00000000-0005-0000-0000-000068000000}"/>
    <cellStyle name="20% - Énfasis2 14" xfId="136" xr:uid="{00000000-0005-0000-0000-000069000000}"/>
    <cellStyle name="20% - Énfasis2 14 2" xfId="137" xr:uid="{00000000-0005-0000-0000-00006A000000}"/>
    <cellStyle name="20% - Énfasis2 14 3" xfId="138" xr:uid="{00000000-0005-0000-0000-00006B000000}"/>
    <cellStyle name="20% - Énfasis2 14 4" xfId="139" xr:uid="{00000000-0005-0000-0000-00006C000000}"/>
    <cellStyle name="20% - Énfasis2 14 5" xfId="140" xr:uid="{00000000-0005-0000-0000-00006D000000}"/>
    <cellStyle name="20% - Énfasis2 14 6" xfId="141" xr:uid="{00000000-0005-0000-0000-00006E000000}"/>
    <cellStyle name="20% - Énfasis2 14 7" xfId="142" xr:uid="{00000000-0005-0000-0000-00006F000000}"/>
    <cellStyle name="20% - Énfasis2 15" xfId="143" xr:uid="{00000000-0005-0000-0000-000070000000}"/>
    <cellStyle name="20% - Énfasis2 15 2" xfId="144" xr:uid="{00000000-0005-0000-0000-000071000000}"/>
    <cellStyle name="20% - Énfasis2 15 3" xfId="145" xr:uid="{00000000-0005-0000-0000-000072000000}"/>
    <cellStyle name="20% - Énfasis2 15 4" xfId="146" xr:uid="{00000000-0005-0000-0000-000073000000}"/>
    <cellStyle name="20% - Énfasis2 15 5" xfId="147" xr:uid="{00000000-0005-0000-0000-000074000000}"/>
    <cellStyle name="20% - Énfasis2 15 6" xfId="148" xr:uid="{00000000-0005-0000-0000-000075000000}"/>
    <cellStyle name="20% - Énfasis2 15 7" xfId="149" xr:uid="{00000000-0005-0000-0000-000076000000}"/>
    <cellStyle name="20% - Énfasis2 16" xfId="150" xr:uid="{00000000-0005-0000-0000-000077000000}"/>
    <cellStyle name="20% - Énfasis2 16 2" xfId="151" xr:uid="{00000000-0005-0000-0000-000078000000}"/>
    <cellStyle name="20% - Énfasis2 16 3" xfId="152" xr:uid="{00000000-0005-0000-0000-000079000000}"/>
    <cellStyle name="20% - Énfasis2 16 4" xfId="153" xr:uid="{00000000-0005-0000-0000-00007A000000}"/>
    <cellStyle name="20% - Énfasis2 16 5" xfId="154" xr:uid="{00000000-0005-0000-0000-00007B000000}"/>
    <cellStyle name="20% - Énfasis2 16 6" xfId="155" xr:uid="{00000000-0005-0000-0000-00007C000000}"/>
    <cellStyle name="20% - Énfasis2 16 7" xfId="156" xr:uid="{00000000-0005-0000-0000-00007D000000}"/>
    <cellStyle name="20% - Énfasis2 17" xfId="157" xr:uid="{00000000-0005-0000-0000-00007E000000}"/>
    <cellStyle name="20% - Énfasis2 17 2" xfId="158" xr:uid="{00000000-0005-0000-0000-00007F000000}"/>
    <cellStyle name="20% - Énfasis2 17 3" xfId="159" xr:uid="{00000000-0005-0000-0000-000080000000}"/>
    <cellStyle name="20% - Énfasis2 17 4" xfId="160" xr:uid="{00000000-0005-0000-0000-000081000000}"/>
    <cellStyle name="20% - Énfasis2 17 5" xfId="161" xr:uid="{00000000-0005-0000-0000-000082000000}"/>
    <cellStyle name="20% - Énfasis2 17 6" xfId="162" xr:uid="{00000000-0005-0000-0000-000083000000}"/>
    <cellStyle name="20% - Énfasis2 18" xfId="163" xr:uid="{00000000-0005-0000-0000-000084000000}"/>
    <cellStyle name="20% - Énfasis2 19" xfId="164" xr:uid="{00000000-0005-0000-0000-000085000000}"/>
    <cellStyle name="20% - Énfasis2 2" xfId="165" xr:uid="{00000000-0005-0000-0000-000086000000}"/>
    <cellStyle name="20% - Énfasis2 2 10" xfId="166" xr:uid="{00000000-0005-0000-0000-000087000000}"/>
    <cellStyle name="20% - Énfasis2 2 11" xfId="167" xr:uid="{00000000-0005-0000-0000-000088000000}"/>
    <cellStyle name="20% - Énfasis2 2 12" xfId="168" xr:uid="{00000000-0005-0000-0000-000089000000}"/>
    <cellStyle name="20% - Énfasis2 2 13" xfId="169" xr:uid="{00000000-0005-0000-0000-00008A000000}"/>
    <cellStyle name="20% - Énfasis2 2 14" xfId="170" xr:uid="{00000000-0005-0000-0000-00008B000000}"/>
    <cellStyle name="20% - Énfasis2 2 15" xfId="171" xr:uid="{00000000-0005-0000-0000-00008C000000}"/>
    <cellStyle name="20% - Énfasis2 2 16" xfId="172" xr:uid="{00000000-0005-0000-0000-00008D000000}"/>
    <cellStyle name="20% - Énfasis2 2 17" xfId="173" xr:uid="{00000000-0005-0000-0000-00008E000000}"/>
    <cellStyle name="20% - Énfasis2 2 18" xfId="174" xr:uid="{00000000-0005-0000-0000-00008F000000}"/>
    <cellStyle name="20% - Énfasis2 2 19" xfId="175" xr:uid="{00000000-0005-0000-0000-000090000000}"/>
    <cellStyle name="20% - Énfasis2 2 2" xfId="176" xr:uid="{00000000-0005-0000-0000-000091000000}"/>
    <cellStyle name="20% - Énfasis2 2 20" xfId="3489" xr:uid="{00000000-0005-0000-0000-000092000000}"/>
    <cellStyle name="20% - Énfasis2 2 3" xfId="177" xr:uid="{00000000-0005-0000-0000-000093000000}"/>
    <cellStyle name="20% - Énfasis2 2 4" xfId="178" xr:uid="{00000000-0005-0000-0000-000094000000}"/>
    <cellStyle name="20% - Énfasis2 2 5" xfId="179" xr:uid="{00000000-0005-0000-0000-000095000000}"/>
    <cellStyle name="20% - Énfasis2 2 6" xfId="180" xr:uid="{00000000-0005-0000-0000-000096000000}"/>
    <cellStyle name="20% - Énfasis2 2 7" xfId="181" xr:uid="{00000000-0005-0000-0000-000097000000}"/>
    <cellStyle name="20% - Énfasis2 2 8" xfId="182" xr:uid="{00000000-0005-0000-0000-000098000000}"/>
    <cellStyle name="20% - Énfasis2 2 9" xfId="183" xr:uid="{00000000-0005-0000-0000-000099000000}"/>
    <cellStyle name="20% - Énfasis2 20" xfId="184" xr:uid="{00000000-0005-0000-0000-00009A000000}"/>
    <cellStyle name="20% - Énfasis2 21" xfId="185" xr:uid="{00000000-0005-0000-0000-00009B000000}"/>
    <cellStyle name="20% - Énfasis2 22" xfId="186" xr:uid="{00000000-0005-0000-0000-00009C000000}"/>
    <cellStyle name="20% - Énfasis2 23" xfId="187" xr:uid="{00000000-0005-0000-0000-00009D000000}"/>
    <cellStyle name="20% - Énfasis2 24" xfId="3488" xr:uid="{00000000-0005-0000-0000-00009E000000}"/>
    <cellStyle name="20% - Énfasis2 3" xfId="188" xr:uid="{00000000-0005-0000-0000-00009F000000}"/>
    <cellStyle name="20% - Énfasis2 4" xfId="189" xr:uid="{00000000-0005-0000-0000-0000A0000000}"/>
    <cellStyle name="20% - Énfasis2 5" xfId="190" xr:uid="{00000000-0005-0000-0000-0000A1000000}"/>
    <cellStyle name="20% - Énfasis2 6" xfId="191" xr:uid="{00000000-0005-0000-0000-0000A2000000}"/>
    <cellStyle name="20% - Énfasis2 7" xfId="192" xr:uid="{00000000-0005-0000-0000-0000A3000000}"/>
    <cellStyle name="20% - Énfasis2 8" xfId="193" xr:uid="{00000000-0005-0000-0000-0000A4000000}"/>
    <cellStyle name="20% - Énfasis2 9" xfId="194" xr:uid="{00000000-0005-0000-0000-0000A5000000}"/>
    <cellStyle name="20% - Énfasis3 10" xfId="195" xr:uid="{00000000-0005-0000-0000-0000A6000000}"/>
    <cellStyle name="20% - Énfasis3 11" xfId="196" xr:uid="{00000000-0005-0000-0000-0000A7000000}"/>
    <cellStyle name="20% - Énfasis3 11 2" xfId="197" xr:uid="{00000000-0005-0000-0000-0000A8000000}"/>
    <cellStyle name="20% - Énfasis3 11 3" xfId="198" xr:uid="{00000000-0005-0000-0000-0000A9000000}"/>
    <cellStyle name="20% - Énfasis3 11 4" xfId="199" xr:uid="{00000000-0005-0000-0000-0000AA000000}"/>
    <cellStyle name="20% - Énfasis3 11 5" xfId="200" xr:uid="{00000000-0005-0000-0000-0000AB000000}"/>
    <cellStyle name="20% - Énfasis3 11 6" xfId="201" xr:uid="{00000000-0005-0000-0000-0000AC000000}"/>
    <cellStyle name="20% - Énfasis3 11 7" xfId="202" xr:uid="{00000000-0005-0000-0000-0000AD000000}"/>
    <cellStyle name="20% - Énfasis3 12" xfId="203" xr:uid="{00000000-0005-0000-0000-0000AE000000}"/>
    <cellStyle name="20% - Énfasis3 12 2" xfId="204" xr:uid="{00000000-0005-0000-0000-0000AF000000}"/>
    <cellStyle name="20% - Énfasis3 12 3" xfId="205" xr:uid="{00000000-0005-0000-0000-0000B0000000}"/>
    <cellStyle name="20% - Énfasis3 12 4" xfId="206" xr:uid="{00000000-0005-0000-0000-0000B1000000}"/>
    <cellStyle name="20% - Énfasis3 12 5" xfId="207" xr:uid="{00000000-0005-0000-0000-0000B2000000}"/>
    <cellStyle name="20% - Énfasis3 12 6" xfId="208" xr:uid="{00000000-0005-0000-0000-0000B3000000}"/>
    <cellStyle name="20% - Énfasis3 12 7" xfId="209" xr:uid="{00000000-0005-0000-0000-0000B4000000}"/>
    <cellStyle name="20% - Énfasis3 13" xfId="210" xr:uid="{00000000-0005-0000-0000-0000B5000000}"/>
    <cellStyle name="20% - Énfasis3 13 2" xfId="211" xr:uid="{00000000-0005-0000-0000-0000B6000000}"/>
    <cellStyle name="20% - Énfasis3 13 3" xfId="212" xr:uid="{00000000-0005-0000-0000-0000B7000000}"/>
    <cellStyle name="20% - Énfasis3 13 4" xfId="213" xr:uid="{00000000-0005-0000-0000-0000B8000000}"/>
    <cellStyle name="20% - Énfasis3 13 5" xfId="214" xr:uid="{00000000-0005-0000-0000-0000B9000000}"/>
    <cellStyle name="20% - Énfasis3 13 6" xfId="215" xr:uid="{00000000-0005-0000-0000-0000BA000000}"/>
    <cellStyle name="20% - Énfasis3 13 7" xfId="216" xr:uid="{00000000-0005-0000-0000-0000BB000000}"/>
    <cellStyle name="20% - Énfasis3 14" xfId="217" xr:uid="{00000000-0005-0000-0000-0000BC000000}"/>
    <cellStyle name="20% - Énfasis3 14 2" xfId="218" xr:uid="{00000000-0005-0000-0000-0000BD000000}"/>
    <cellStyle name="20% - Énfasis3 14 3" xfId="219" xr:uid="{00000000-0005-0000-0000-0000BE000000}"/>
    <cellStyle name="20% - Énfasis3 14 4" xfId="220" xr:uid="{00000000-0005-0000-0000-0000BF000000}"/>
    <cellStyle name="20% - Énfasis3 14 5" xfId="221" xr:uid="{00000000-0005-0000-0000-0000C0000000}"/>
    <cellStyle name="20% - Énfasis3 14 6" xfId="222" xr:uid="{00000000-0005-0000-0000-0000C1000000}"/>
    <cellStyle name="20% - Énfasis3 14 7" xfId="223" xr:uid="{00000000-0005-0000-0000-0000C2000000}"/>
    <cellStyle name="20% - Énfasis3 15" xfId="224" xr:uid="{00000000-0005-0000-0000-0000C3000000}"/>
    <cellStyle name="20% - Énfasis3 15 2" xfId="225" xr:uid="{00000000-0005-0000-0000-0000C4000000}"/>
    <cellStyle name="20% - Énfasis3 15 3" xfId="226" xr:uid="{00000000-0005-0000-0000-0000C5000000}"/>
    <cellStyle name="20% - Énfasis3 15 4" xfId="227" xr:uid="{00000000-0005-0000-0000-0000C6000000}"/>
    <cellStyle name="20% - Énfasis3 15 5" xfId="228" xr:uid="{00000000-0005-0000-0000-0000C7000000}"/>
    <cellStyle name="20% - Énfasis3 15 6" xfId="229" xr:uid="{00000000-0005-0000-0000-0000C8000000}"/>
    <cellStyle name="20% - Énfasis3 15 7" xfId="230" xr:uid="{00000000-0005-0000-0000-0000C9000000}"/>
    <cellStyle name="20% - Énfasis3 16" xfId="231" xr:uid="{00000000-0005-0000-0000-0000CA000000}"/>
    <cellStyle name="20% - Énfasis3 16 2" xfId="232" xr:uid="{00000000-0005-0000-0000-0000CB000000}"/>
    <cellStyle name="20% - Énfasis3 16 3" xfId="233" xr:uid="{00000000-0005-0000-0000-0000CC000000}"/>
    <cellStyle name="20% - Énfasis3 16 4" xfId="234" xr:uid="{00000000-0005-0000-0000-0000CD000000}"/>
    <cellStyle name="20% - Énfasis3 16 5" xfId="235" xr:uid="{00000000-0005-0000-0000-0000CE000000}"/>
    <cellStyle name="20% - Énfasis3 16 6" xfId="236" xr:uid="{00000000-0005-0000-0000-0000CF000000}"/>
    <cellStyle name="20% - Énfasis3 16 7" xfId="237" xr:uid="{00000000-0005-0000-0000-0000D0000000}"/>
    <cellStyle name="20% - Énfasis3 17" xfId="238" xr:uid="{00000000-0005-0000-0000-0000D1000000}"/>
    <cellStyle name="20% - Énfasis3 17 2" xfId="239" xr:uid="{00000000-0005-0000-0000-0000D2000000}"/>
    <cellStyle name="20% - Énfasis3 17 3" xfId="240" xr:uid="{00000000-0005-0000-0000-0000D3000000}"/>
    <cellStyle name="20% - Énfasis3 17 4" xfId="241" xr:uid="{00000000-0005-0000-0000-0000D4000000}"/>
    <cellStyle name="20% - Énfasis3 17 5" xfId="242" xr:uid="{00000000-0005-0000-0000-0000D5000000}"/>
    <cellStyle name="20% - Énfasis3 17 6" xfId="243" xr:uid="{00000000-0005-0000-0000-0000D6000000}"/>
    <cellStyle name="20% - Énfasis3 18" xfId="244" xr:uid="{00000000-0005-0000-0000-0000D7000000}"/>
    <cellStyle name="20% - Énfasis3 19" xfId="245" xr:uid="{00000000-0005-0000-0000-0000D8000000}"/>
    <cellStyle name="20% - Énfasis3 2" xfId="246" xr:uid="{00000000-0005-0000-0000-0000D9000000}"/>
    <cellStyle name="20% - Énfasis3 2 10" xfId="247" xr:uid="{00000000-0005-0000-0000-0000DA000000}"/>
    <cellStyle name="20% - Énfasis3 2 11" xfId="248" xr:uid="{00000000-0005-0000-0000-0000DB000000}"/>
    <cellStyle name="20% - Énfasis3 2 12" xfId="249" xr:uid="{00000000-0005-0000-0000-0000DC000000}"/>
    <cellStyle name="20% - Énfasis3 2 13" xfId="250" xr:uid="{00000000-0005-0000-0000-0000DD000000}"/>
    <cellStyle name="20% - Énfasis3 2 14" xfId="251" xr:uid="{00000000-0005-0000-0000-0000DE000000}"/>
    <cellStyle name="20% - Énfasis3 2 15" xfId="252" xr:uid="{00000000-0005-0000-0000-0000DF000000}"/>
    <cellStyle name="20% - Énfasis3 2 16" xfId="253" xr:uid="{00000000-0005-0000-0000-0000E0000000}"/>
    <cellStyle name="20% - Énfasis3 2 17" xfId="254" xr:uid="{00000000-0005-0000-0000-0000E1000000}"/>
    <cellStyle name="20% - Énfasis3 2 18" xfId="255" xr:uid="{00000000-0005-0000-0000-0000E2000000}"/>
    <cellStyle name="20% - Énfasis3 2 19" xfId="256" xr:uid="{00000000-0005-0000-0000-0000E3000000}"/>
    <cellStyle name="20% - Énfasis3 2 2" xfId="257" xr:uid="{00000000-0005-0000-0000-0000E4000000}"/>
    <cellStyle name="20% - Énfasis3 2 20" xfId="3491" xr:uid="{00000000-0005-0000-0000-0000E5000000}"/>
    <cellStyle name="20% - Énfasis3 2 3" xfId="258" xr:uid="{00000000-0005-0000-0000-0000E6000000}"/>
    <cellStyle name="20% - Énfasis3 2 4" xfId="259" xr:uid="{00000000-0005-0000-0000-0000E7000000}"/>
    <cellStyle name="20% - Énfasis3 2 5" xfId="260" xr:uid="{00000000-0005-0000-0000-0000E8000000}"/>
    <cellStyle name="20% - Énfasis3 2 6" xfId="261" xr:uid="{00000000-0005-0000-0000-0000E9000000}"/>
    <cellStyle name="20% - Énfasis3 2 7" xfId="262" xr:uid="{00000000-0005-0000-0000-0000EA000000}"/>
    <cellStyle name="20% - Énfasis3 2 8" xfId="263" xr:uid="{00000000-0005-0000-0000-0000EB000000}"/>
    <cellStyle name="20% - Énfasis3 2 9" xfId="264" xr:uid="{00000000-0005-0000-0000-0000EC000000}"/>
    <cellStyle name="20% - Énfasis3 20" xfId="265" xr:uid="{00000000-0005-0000-0000-0000ED000000}"/>
    <cellStyle name="20% - Énfasis3 21" xfId="266" xr:uid="{00000000-0005-0000-0000-0000EE000000}"/>
    <cellStyle name="20% - Énfasis3 22" xfId="267" xr:uid="{00000000-0005-0000-0000-0000EF000000}"/>
    <cellStyle name="20% - Énfasis3 23" xfId="268" xr:uid="{00000000-0005-0000-0000-0000F0000000}"/>
    <cellStyle name="20% - Énfasis3 24" xfId="3490" xr:uid="{00000000-0005-0000-0000-0000F1000000}"/>
    <cellStyle name="20% - Énfasis3 3" xfId="269" xr:uid="{00000000-0005-0000-0000-0000F2000000}"/>
    <cellStyle name="20% - Énfasis3 4" xfId="270" xr:uid="{00000000-0005-0000-0000-0000F3000000}"/>
    <cellStyle name="20% - Énfasis3 5" xfId="271" xr:uid="{00000000-0005-0000-0000-0000F4000000}"/>
    <cellStyle name="20% - Énfasis3 6" xfId="272" xr:uid="{00000000-0005-0000-0000-0000F5000000}"/>
    <cellStyle name="20% - Énfasis3 7" xfId="273" xr:uid="{00000000-0005-0000-0000-0000F6000000}"/>
    <cellStyle name="20% - Énfasis3 8" xfId="274" xr:uid="{00000000-0005-0000-0000-0000F7000000}"/>
    <cellStyle name="20% - Énfasis3 9" xfId="275" xr:uid="{00000000-0005-0000-0000-0000F8000000}"/>
    <cellStyle name="20% - Énfasis4 10" xfId="276" xr:uid="{00000000-0005-0000-0000-0000F9000000}"/>
    <cellStyle name="20% - Énfasis4 11" xfId="277" xr:uid="{00000000-0005-0000-0000-0000FA000000}"/>
    <cellStyle name="20% - Énfasis4 11 2" xfId="278" xr:uid="{00000000-0005-0000-0000-0000FB000000}"/>
    <cellStyle name="20% - Énfasis4 11 3" xfId="279" xr:uid="{00000000-0005-0000-0000-0000FC000000}"/>
    <cellStyle name="20% - Énfasis4 11 4" xfId="280" xr:uid="{00000000-0005-0000-0000-0000FD000000}"/>
    <cellStyle name="20% - Énfasis4 11 5" xfId="281" xr:uid="{00000000-0005-0000-0000-0000FE000000}"/>
    <cellStyle name="20% - Énfasis4 11 6" xfId="282" xr:uid="{00000000-0005-0000-0000-0000FF000000}"/>
    <cellStyle name="20% - Énfasis4 11 7" xfId="283" xr:uid="{00000000-0005-0000-0000-000000010000}"/>
    <cellStyle name="20% - Énfasis4 12" xfId="284" xr:uid="{00000000-0005-0000-0000-000001010000}"/>
    <cellStyle name="20% - Énfasis4 12 2" xfId="285" xr:uid="{00000000-0005-0000-0000-000002010000}"/>
    <cellStyle name="20% - Énfasis4 12 3" xfId="286" xr:uid="{00000000-0005-0000-0000-000003010000}"/>
    <cellStyle name="20% - Énfasis4 12 4" xfId="287" xr:uid="{00000000-0005-0000-0000-000004010000}"/>
    <cellStyle name="20% - Énfasis4 12 5" xfId="288" xr:uid="{00000000-0005-0000-0000-000005010000}"/>
    <cellStyle name="20% - Énfasis4 12 6" xfId="289" xr:uid="{00000000-0005-0000-0000-000006010000}"/>
    <cellStyle name="20% - Énfasis4 12 7" xfId="290" xr:uid="{00000000-0005-0000-0000-000007010000}"/>
    <cellStyle name="20% - Énfasis4 13" xfId="291" xr:uid="{00000000-0005-0000-0000-000008010000}"/>
    <cellStyle name="20% - Énfasis4 13 2" xfId="292" xr:uid="{00000000-0005-0000-0000-000009010000}"/>
    <cellStyle name="20% - Énfasis4 13 3" xfId="293" xr:uid="{00000000-0005-0000-0000-00000A010000}"/>
    <cellStyle name="20% - Énfasis4 13 4" xfId="294" xr:uid="{00000000-0005-0000-0000-00000B010000}"/>
    <cellStyle name="20% - Énfasis4 13 5" xfId="295" xr:uid="{00000000-0005-0000-0000-00000C010000}"/>
    <cellStyle name="20% - Énfasis4 13 6" xfId="296" xr:uid="{00000000-0005-0000-0000-00000D010000}"/>
    <cellStyle name="20% - Énfasis4 13 7" xfId="297" xr:uid="{00000000-0005-0000-0000-00000E010000}"/>
    <cellStyle name="20% - Énfasis4 14" xfId="298" xr:uid="{00000000-0005-0000-0000-00000F010000}"/>
    <cellStyle name="20% - Énfasis4 14 2" xfId="299" xr:uid="{00000000-0005-0000-0000-000010010000}"/>
    <cellStyle name="20% - Énfasis4 14 3" xfId="300" xr:uid="{00000000-0005-0000-0000-000011010000}"/>
    <cellStyle name="20% - Énfasis4 14 4" xfId="301" xr:uid="{00000000-0005-0000-0000-000012010000}"/>
    <cellStyle name="20% - Énfasis4 14 5" xfId="302" xr:uid="{00000000-0005-0000-0000-000013010000}"/>
    <cellStyle name="20% - Énfasis4 14 6" xfId="303" xr:uid="{00000000-0005-0000-0000-000014010000}"/>
    <cellStyle name="20% - Énfasis4 14 7" xfId="304" xr:uid="{00000000-0005-0000-0000-000015010000}"/>
    <cellStyle name="20% - Énfasis4 15" xfId="305" xr:uid="{00000000-0005-0000-0000-000016010000}"/>
    <cellStyle name="20% - Énfasis4 15 2" xfId="306" xr:uid="{00000000-0005-0000-0000-000017010000}"/>
    <cellStyle name="20% - Énfasis4 15 3" xfId="307" xr:uid="{00000000-0005-0000-0000-000018010000}"/>
    <cellStyle name="20% - Énfasis4 15 4" xfId="308" xr:uid="{00000000-0005-0000-0000-000019010000}"/>
    <cellStyle name="20% - Énfasis4 15 5" xfId="309" xr:uid="{00000000-0005-0000-0000-00001A010000}"/>
    <cellStyle name="20% - Énfasis4 15 6" xfId="310" xr:uid="{00000000-0005-0000-0000-00001B010000}"/>
    <cellStyle name="20% - Énfasis4 15 7" xfId="311" xr:uid="{00000000-0005-0000-0000-00001C010000}"/>
    <cellStyle name="20% - Énfasis4 16" xfId="312" xr:uid="{00000000-0005-0000-0000-00001D010000}"/>
    <cellStyle name="20% - Énfasis4 16 2" xfId="313" xr:uid="{00000000-0005-0000-0000-00001E010000}"/>
    <cellStyle name="20% - Énfasis4 16 3" xfId="314" xr:uid="{00000000-0005-0000-0000-00001F010000}"/>
    <cellStyle name="20% - Énfasis4 16 4" xfId="315" xr:uid="{00000000-0005-0000-0000-000020010000}"/>
    <cellStyle name="20% - Énfasis4 16 5" xfId="316" xr:uid="{00000000-0005-0000-0000-000021010000}"/>
    <cellStyle name="20% - Énfasis4 16 6" xfId="317" xr:uid="{00000000-0005-0000-0000-000022010000}"/>
    <cellStyle name="20% - Énfasis4 16 7" xfId="318" xr:uid="{00000000-0005-0000-0000-000023010000}"/>
    <cellStyle name="20% - Énfasis4 17" xfId="319" xr:uid="{00000000-0005-0000-0000-000024010000}"/>
    <cellStyle name="20% - Énfasis4 17 2" xfId="320" xr:uid="{00000000-0005-0000-0000-000025010000}"/>
    <cellStyle name="20% - Énfasis4 17 3" xfId="321" xr:uid="{00000000-0005-0000-0000-000026010000}"/>
    <cellStyle name="20% - Énfasis4 17 4" xfId="322" xr:uid="{00000000-0005-0000-0000-000027010000}"/>
    <cellStyle name="20% - Énfasis4 17 5" xfId="323" xr:uid="{00000000-0005-0000-0000-000028010000}"/>
    <cellStyle name="20% - Énfasis4 17 6" xfId="324" xr:uid="{00000000-0005-0000-0000-000029010000}"/>
    <cellStyle name="20% - Énfasis4 18" xfId="325" xr:uid="{00000000-0005-0000-0000-00002A010000}"/>
    <cellStyle name="20% - Énfasis4 19" xfId="326" xr:uid="{00000000-0005-0000-0000-00002B010000}"/>
    <cellStyle name="20% - Énfasis4 2" xfId="327" xr:uid="{00000000-0005-0000-0000-00002C010000}"/>
    <cellStyle name="20% - Énfasis4 2 10" xfId="328" xr:uid="{00000000-0005-0000-0000-00002D010000}"/>
    <cellStyle name="20% - Énfasis4 2 11" xfId="329" xr:uid="{00000000-0005-0000-0000-00002E010000}"/>
    <cellStyle name="20% - Énfasis4 2 12" xfId="330" xr:uid="{00000000-0005-0000-0000-00002F010000}"/>
    <cellStyle name="20% - Énfasis4 2 13" xfId="331" xr:uid="{00000000-0005-0000-0000-000030010000}"/>
    <cellStyle name="20% - Énfasis4 2 14" xfId="332" xr:uid="{00000000-0005-0000-0000-000031010000}"/>
    <cellStyle name="20% - Énfasis4 2 15" xfId="333" xr:uid="{00000000-0005-0000-0000-000032010000}"/>
    <cellStyle name="20% - Énfasis4 2 16" xfId="334" xr:uid="{00000000-0005-0000-0000-000033010000}"/>
    <cellStyle name="20% - Énfasis4 2 17" xfId="335" xr:uid="{00000000-0005-0000-0000-000034010000}"/>
    <cellStyle name="20% - Énfasis4 2 18" xfId="336" xr:uid="{00000000-0005-0000-0000-000035010000}"/>
    <cellStyle name="20% - Énfasis4 2 19" xfId="337" xr:uid="{00000000-0005-0000-0000-000036010000}"/>
    <cellStyle name="20% - Énfasis4 2 2" xfId="338" xr:uid="{00000000-0005-0000-0000-000037010000}"/>
    <cellStyle name="20% - Énfasis4 2 20" xfId="3493" xr:uid="{00000000-0005-0000-0000-000038010000}"/>
    <cellStyle name="20% - Énfasis4 2 3" xfId="339" xr:uid="{00000000-0005-0000-0000-000039010000}"/>
    <cellStyle name="20% - Énfasis4 2 4" xfId="340" xr:uid="{00000000-0005-0000-0000-00003A010000}"/>
    <cellStyle name="20% - Énfasis4 2 5" xfId="341" xr:uid="{00000000-0005-0000-0000-00003B010000}"/>
    <cellStyle name="20% - Énfasis4 2 6" xfId="342" xr:uid="{00000000-0005-0000-0000-00003C010000}"/>
    <cellStyle name="20% - Énfasis4 2 7" xfId="343" xr:uid="{00000000-0005-0000-0000-00003D010000}"/>
    <cellStyle name="20% - Énfasis4 2 8" xfId="344" xr:uid="{00000000-0005-0000-0000-00003E010000}"/>
    <cellStyle name="20% - Énfasis4 2 9" xfId="345" xr:uid="{00000000-0005-0000-0000-00003F010000}"/>
    <cellStyle name="20% - Énfasis4 20" xfId="346" xr:uid="{00000000-0005-0000-0000-000040010000}"/>
    <cellStyle name="20% - Énfasis4 21" xfId="347" xr:uid="{00000000-0005-0000-0000-000041010000}"/>
    <cellStyle name="20% - Énfasis4 22" xfId="348" xr:uid="{00000000-0005-0000-0000-000042010000}"/>
    <cellStyle name="20% - Énfasis4 23" xfId="349" xr:uid="{00000000-0005-0000-0000-000043010000}"/>
    <cellStyle name="20% - Énfasis4 24" xfId="3492" xr:uid="{00000000-0005-0000-0000-000044010000}"/>
    <cellStyle name="20% - Énfasis4 3" xfId="350" xr:uid="{00000000-0005-0000-0000-000045010000}"/>
    <cellStyle name="20% - Énfasis4 4" xfId="351" xr:uid="{00000000-0005-0000-0000-000046010000}"/>
    <cellStyle name="20% - Énfasis4 5" xfId="352" xr:uid="{00000000-0005-0000-0000-000047010000}"/>
    <cellStyle name="20% - Énfasis4 6" xfId="353" xr:uid="{00000000-0005-0000-0000-000048010000}"/>
    <cellStyle name="20% - Énfasis4 7" xfId="354" xr:uid="{00000000-0005-0000-0000-000049010000}"/>
    <cellStyle name="20% - Énfasis4 8" xfId="355" xr:uid="{00000000-0005-0000-0000-00004A010000}"/>
    <cellStyle name="20% - Énfasis4 9" xfId="356" xr:uid="{00000000-0005-0000-0000-00004B010000}"/>
    <cellStyle name="20% - Énfasis5 10" xfId="357" xr:uid="{00000000-0005-0000-0000-00004C010000}"/>
    <cellStyle name="20% - Énfasis5 11" xfId="358" xr:uid="{00000000-0005-0000-0000-00004D010000}"/>
    <cellStyle name="20% - Énfasis5 11 2" xfId="359" xr:uid="{00000000-0005-0000-0000-00004E010000}"/>
    <cellStyle name="20% - Énfasis5 11 3" xfId="360" xr:uid="{00000000-0005-0000-0000-00004F010000}"/>
    <cellStyle name="20% - Énfasis5 11 4" xfId="361" xr:uid="{00000000-0005-0000-0000-000050010000}"/>
    <cellStyle name="20% - Énfasis5 11 5" xfId="362" xr:uid="{00000000-0005-0000-0000-000051010000}"/>
    <cellStyle name="20% - Énfasis5 11 6" xfId="363" xr:uid="{00000000-0005-0000-0000-000052010000}"/>
    <cellStyle name="20% - Énfasis5 11 7" xfId="364" xr:uid="{00000000-0005-0000-0000-000053010000}"/>
    <cellStyle name="20% - Énfasis5 12" xfId="365" xr:uid="{00000000-0005-0000-0000-000054010000}"/>
    <cellStyle name="20% - Énfasis5 12 2" xfId="366" xr:uid="{00000000-0005-0000-0000-000055010000}"/>
    <cellStyle name="20% - Énfasis5 12 3" xfId="367" xr:uid="{00000000-0005-0000-0000-000056010000}"/>
    <cellStyle name="20% - Énfasis5 12 4" xfId="368" xr:uid="{00000000-0005-0000-0000-000057010000}"/>
    <cellStyle name="20% - Énfasis5 12 5" xfId="369" xr:uid="{00000000-0005-0000-0000-000058010000}"/>
    <cellStyle name="20% - Énfasis5 12 6" xfId="370" xr:uid="{00000000-0005-0000-0000-000059010000}"/>
    <cellStyle name="20% - Énfasis5 12 7" xfId="371" xr:uid="{00000000-0005-0000-0000-00005A010000}"/>
    <cellStyle name="20% - Énfasis5 13" xfId="372" xr:uid="{00000000-0005-0000-0000-00005B010000}"/>
    <cellStyle name="20% - Énfasis5 13 2" xfId="373" xr:uid="{00000000-0005-0000-0000-00005C010000}"/>
    <cellStyle name="20% - Énfasis5 13 3" xfId="374" xr:uid="{00000000-0005-0000-0000-00005D010000}"/>
    <cellStyle name="20% - Énfasis5 13 4" xfId="375" xr:uid="{00000000-0005-0000-0000-00005E010000}"/>
    <cellStyle name="20% - Énfasis5 13 5" xfId="376" xr:uid="{00000000-0005-0000-0000-00005F010000}"/>
    <cellStyle name="20% - Énfasis5 13 6" xfId="377" xr:uid="{00000000-0005-0000-0000-000060010000}"/>
    <cellStyle name="20% - Énfasis5 13 7" xfId="378" xr:uid="{00000000-0005-0000-0000-000061010000}"/>
    <cellStyle name="20% - Énfasis5 14" xfId="379" xr:uid="{00000000-0005-0000-0000-000062010000}"/>
    <cellStyle name="20% - Énfasis5 14 2" xfId="380" xr:uid="{00000000-0005-0000-0000-000063010000}"/>
    <cellStyle name="20% - Énfasis5 14 3" xfId="381" xr:uid="{00000000-0005-0000-0000-000064010000}"/>
    <cellStyle name="20% - Énfasis5 14 4" xfId="382" xr:uid="{00000000-0005-0000-0000-000065010000}"/>
    <cellStyle name="20% - Énfasis5 14 5" xfId="383" xr:uid="{00000000-0005-0000-0000-000066010000}"/>
    <cellStyle name="20% - Énfasis5 14 6" xfId="384" xr:uid="{00000000-0005-0000-0000-000067010000}"/>
    <cellStyle name="20% - Énfasis5 14 7" xfId="385" xr:uid="{00000000-0005-0000-0000-000068010000}"/>
    <cellStyle name="20% - Énfasis5 15" xfId="386" xr:uid="{00000000-0005-0000-0000-000069010000}"/>
    <cellStyle name="20% - Énfasis5 15 2" xfId="387" xr:uid="{00000000-0005-0000-0000-00006A010000}"/>
    <cellStyle name="20% - Énfasis5 15 3" xfId="388" xr:uid="{00000000-0005-0000-0000-00006B010000}"/>
    <cellStyle name="20% - Énfasis5 15 4" xfId="389" xr:uid="{00000000-0005-0000-0000-00006C010000}"/>
    <cellStyle name="20% - Énfasis5 15 5" xfId="390" xr:uid="{00000000-0005-0000-0000-00006D010000}"/>
    <cellStyle name="20% - Énfasis5 15 6" xfId="391" xr:uid="{00000000-0005-0000-0000-00006E010000}"/>
    <cellStyle name="20% - Énfasis5 15 7" xfId="392" xr:uid="{00000000-0005-0000-0000-00006F010000}"/>
    <cellStyle name="20% - Énfasis5 16" xfId="393" xr:uid="{00000000-0005-0000-0000-000070010000}"/>
    <cellStyle name="20% - Énfasis5 16 2" xfId="394" xr:uid="{00000000-0005-0000-0000-000071010000}"/>
    <cellStyle name="20% - Énfasis5 16 3" xfId="395" xr:uid="{00000000-0005-0000-0000-000072010000}"/>
    <cellStyle name="20% - Énfasis5 16 4" xfId="396" xr:uid="{00000000-0005-0000-0000-000073010000}"/>
    <cellStyle name="20% - Énfasis5 16 5" xfId="397" xr:uid="{00000000-0005-0000-0000-000074010000}"/>
    <cellStyle name="20% - Énfasis5 16 6" xfId="398" xr:uid="{00000000-0005-0000-0000-000075010000}"/>
    <cellStyle name="20% - Énfasis5 16 7" xfId="399" xr:uid="{00000000-0005-0000-0000-000076010000}"/>
    <cellStyle name="20% - Énfasis5 17" xfId="400" xr:uid="{00000000-0005-0000-0000-000077010000}"/>
    <cellStyle name="20% - Énfasis5 17 2" xfId="401" xr:uid="{00000000-0005-0000-0000-000078010000}"/>
    <cellStyle name="20% - Énfasis5 17 3" xfId="402" xr:uid="{00000000-0005-0000-0000-000079010000}"/>
    <cellStyle name="20% - Énfasis5 17 4" xfId="403" xr:uid="{00000000-0005-0000-0000-00007A010000}"/>
    <cellStyle name="20% - Énfasis5 17 5" xfId="404" xr:uid="{00000000-0005-0000-0000-00007B010000}"/>
    <cellStyle name="20% - Énfasis5 17 6" xfId="405" xr:uid="{00000000-0005-0000-0000-00007C010000}"/>
    <cellStyle name="20% - Énfasis5 18" xfId="406" xr:uid="{00000000-0005-0000-0000-00007D010000}"/>
    <cellStyle name="20% - Énfasis5 19" xfId="407" xr:uid="{00000000-0005-0000-0000-00007E010000}"/>
    <cellStyle name="20% - Énfasis5 2" xfId="408" xr:uid="{00000000-0005-0000-0000-00007F010000}"/>
    <cellStyle name="20% - Énfasis5 2 10" xfId="409" xr:uid="{00000000-0005-0000-0000-000080010000}"/>
    <cellStyle name="20% - Énfasis5 2 11" xfId="410" xr:uid="{00000000-0005-0000-0000-000081010000}"/>
    <cellStyle name="20% - Énfasis5 2 12" xfId="411" xr:uid="{00000000-0005-0000-0000-000082010000}"/>
    <cellStyle name="20% - Énfasis5 2 13" xfId="412" xr:uid="{00000000-0005-0000-0000-000083010000}"/>
    <cellStyle name="20% - Énfasis5 2 14" xfId="413" xr:uid="{00000000-0005-0000-0000-000084010000}"/>
    <cellStyle name="20% - Énfasis5 2 15" xfId="414" xr:uid="{00000000-0005-0000-0000-000085010000}"/>
    <cellStyle name="20% - Énfasis5 2 16" xfId="415" xr:uid="{00000000-0005-0000-0000-000086010000}"/>
    <cellStyle name="20% - Énfasis5 2 17" xfId="416" xr:uid="{00000000-0005-0000-0000-000087010000}"/>
    <cellStyle name="20% - Énfasis5 2 18" xfId="417" xr:uid="{00000000-0005-0000-0000-000088010000}"/>
    <cellStyle name="20% - Énfasis5 2 19" xfId="418" xr:uid="{00000000-0005-0000-0000-000089010000}"/>
    <cellStyle name="20% - Énfasis5 2 2" xfId="419" xr:uid="{00000000-0005-0000-0000-00008A010000}"/>
    <cellStyle name="20% - Énfasis5 2 20" xfId="3495" xr:uid="{00000000-0005-0000-0000-00008B010000}"/>
    <cellStyle name="20% - Énfasis5 2 3" xfId="420" xr:uid="{00000000-0005-0000-0000-00008C010000}"/>
    <cellStyle name="20% - Énfasis5 2 4" xfId="421" xr:uid="{00000000-0005-0000-0000-00008D010000}"/>
    <cellStyle name="20% - Énfasis5 2 5" xfId="422" xr:uid="{00000000-0005-0000-0000-00008E010000}"/>
    <cellStyle name="20% - Énfasis5 2 6" xfId="423" xr:uid="{00000000-0005-0000-0000-00008F010000}"/>
    <cellStyle name="20% - Énfasis5 2 7" xfId="424" xr:uid="{00000000-0005-0000-0000-000090010000}"/>
    <cellStyle name="20% - Énfasis5 2 8" xfId="425" xr:uid="{00000000-0005-0000-0000-000091010000}"/>
    <cellStyle name="20% - Énfasis5 2 9" xfId="426" xr:uid="{00000000-0005-0000-0000-000092010000}"/>
    <cellStyle name="20% - Énfasis5 20" xfId="427" xr:uid="{00000000-0005-0000-0000-000093010000}"/>
    <cellStyle name="20% - Énfasis5 21" xfId="428" xr:uid="{00000000-0005-0000-0000-000094010000}"/>
    <cellStyle name="20% - Énfasis5 22" xfId="429" xr:uid="{00000000-0005-0000-0000-000095010000}"/>
    <cellStyle name="20% - Énfasis5 23" xfId="430" xr:uid="{00000000-0005-0000-0000-000096010000}"/>
    <cellStyle name="20% - Énfasis5 24" xfId="3494" xr:uid="{00000000-0005-0000-0000-000097010000}"/>
    <cellStyle name="20% - Énfasis5 3" xfId="431" xr:uid="{00000000-0005-0000-0000-000098010000}"/>
    <cellStyle name="20% - Énfasis5 4" xfId="432" xr:uid="{00000000-0005-0000-0000-000099010000}"/>
    <cellStyle name="20% - Énfasis5 5" xfId="433" xr:uid="{00000000-0005-0000-0000-00009A010000}"/>
    <cellStyle name="20% - Énfasis5 6" xfId="434" xr:uid="{00000000-0005-0000-0000-00009B010000}"/>
    <cellStyle name="20% - Énfasis5 7" xfId="435" xr:uid="{00000000-0005-0000-0000-00009C010000}"/>
    <cellStyle name="20% - Énfasis5 8" xfId="436" xr:uid="{00000000-0005-0000-0000-00009D010000}"/>
    <cellStyle name="20% - Énfasis5 9" xfId="437" xr:uid="{00000000-0005-0000-0000-00009E010000}"/>
    <cellStyle name="20% - Énfasis6 10" xfId="438" xr:uid="{00000000-0005-0000-0000-00009F010000}"/>
    <cellStyle name="20% - Énfasis6 11" xfId="439" xr:uid="{00000000-0005-0000-0000-0000A0010000}"/>
    <cellStyle name="20% - Énfasis6 11 2" xfId="440" xr:uid="{00000000-0005-0000-0000-0000A1010000}"/>
    <cellStyle name="20% - Énfasis6 11 3" xfId="441" xr:uid="{00000000-0005-0000-0000-0000A2010000}"/>
    <cellStyle name="20% - Énfasis6 11 4" xfId="442" xr:uid="{00000000-0005-0000-0000-0000A3010000}"/>
    <cellStyle name="20% - Énfasis6 11 5" xfId="443" xr:uid="{00000000-0005-0000-0000-0000A4010000}"/>
    <cellStyle name="20% - Énfasis6 11 6" xfId="444" xr:uid="{00000000-0005-0000-0000-0000A5010000}"/>
    <cellStyle name="20% - Énfasis6 11 7" xfId="445" xr:uid="{00000000-0005-0000-0000-0000A6010000}"/>
    <cellStyle name="20% - Énfasis6 12" xfId="446" xr:uid="{00000000-0005-0000-0000-0000A7010000}"/>
    <cellStyle name="20% - Énfasis6 12 2" xfId="447" xr:uid="{00000000-0005-0000-0000-0000A8010000}"/>
    <cellStyle name="20% - Énfasis6 12 3" xfId="448" xr:uid="{00000000-0005-0000-0000-0000A9010000}"/>
    <cellStyle name="20% - Énfasis6 12 4" xfId="449" xr:uid="{00000000-0005-0000-0000-0000AA010000}"/>
    <cellStyle name="20% - Énfasis6 12 5" xfId="450" xr:uid="{00000000-0005-0000-0000-0000AB010000}"/>
    <cellStyle name="20% - Énfasis6 12 6" xfId="451" xr:uid="{00000000-0005-0000-0000-0000AC010000}"/>
    <cellStyle name="20% - Énfasis6 12 7" xfId="452" xr:uid="{00000000-0005-0000-0000-0000AD010000}"/>
    <cellStyle name="20% - Énfasis6 13" xfId="453" xr:uid="{00000000-0005-0000-0000-0000AE010000}"/>
    <cellStyle name="20% - Énfasis6 13 2" xfId="454" xr:uid="{00000000-0005-0000-0000-0000AF010000}"/>
    <cellStyle name="20% - Énfasis6 13 3" xfId="455" xr:uid="{00000000-0005-0000-0000-0000B0010000}"/>
    <cellStyle name="20% - Énfasis6 13 4" xfId="456" xr:uid="{00000000-0005-0000-0000-0000B1010000}"/>
    <cellStyle name="20% - Énfasis6 13 5" xfId="457" xr:uid="{00000000-0005-0000-0000-0000B2010000}"/>
    <cellStyle name="20% - Énfasis6 13 6" xfId="458" xr:uid="{00000000-0005-0000-0000-0000B3010000}"/>
    <cellStyle name="20% - Énfasis6 13 7" xfId="459" xr:uid="{00000000-0005-0000-0000-0000B4010000}"/>
    <cellStyle name="20% - Énfasis6 14" xfId="460" xr:uid="{00000000-0005-0000-0000-0000B5010000}"/>
    <cellStyle name="20% - Énfasis6 14 2" xfId="461" xr:uid="{00000000-0005-0000-0000-0000B6010000}"/>
    <cellStyle name="20% - Énfasis6 14 3" xfId="462" xr:uid="{00000000-0005-0000-0000-0000B7010000}"/>
    <cellStyle name="20% - Énfasis6 14 4" xfId="463" xr:uid="{00000000-0005-0000-0000-0000B8010000}"/>
    <cellStyle name="20% - Énfasis6 14 5" xfId="464" xr:uid="{00000000-0005-0000-0000-0000B9010000}"/>
    <cellStyle name="20% - Énfasis6 14 6" xfId="465" xr:uid="{00000000-0005-0000-0000-0000BA010000}"/>
    <cellStyle name="20% - Énfasis6 14 7" xfId="466" xr:uid="{00000000-0005-0000-0000-0000BB010000}"/>
    <cellStyle name="20% - Énfasis6 15" xfId="467" xr:uid="{00000000-0005-0000-0000-0000BC010000}"/>
    <cellStyle name="20% - Énfasis6 15 2" xfId="468" xr:uid="{00000000-0005-0000-0000-0000BD010000}"/>
    <cellStyle name="20% - Énfasis6 15 3" xfId="469" xr:uid="{00000000-0005-0000-0000-0000BE010000}"/>
    <cellStyle name="20% - Énfasis6 15 4" xfId="470" xr:uid="{00000000-0005-0000-0000-0000BF010000}"/>
    <cellStyle name="20% - Énfasis6 15 5" xfId="471" xr:uid="{00000000-0005-0000-0000-0000C0010000}"/>
    <cellStyle name="20% - Énfasis6 15 6" xfId="472" xr:uid="{00000000-0005-0000-0000-0000C1010000}"/>
    <cellStyle name="20% - Énfasis6 15 7" xfId="473" xr:uid="{00000000-0005-0000-0000-0000C2010000}"/>
    <cellStyle name="20% - Énfasis6 16" xfId="474" xr:uid="{00000000-0005-0000-0000-0000C3010000}"/>
    <cellStyle name="20% - Énfasis6 16 2" xfId="475" xr:uid="{00000000-0005-0000-0000-0000C4010000}"/>
    <cellStyle name="20% - Énfasis6 16 3" xfId="476" xr:uid="{00000000-0005-0000-0000-0000C5010000}"/>
    <cellStyle name="20% - Énfasis6 16 4" xfId="477" xr:uid="{00000000-0005-0000-0000-0000C6010000}"/>
    <cellStyle name="20% - Énfasis6 16 5" xfId="478" xr:uid="{00000000-0005-0000-0000-0000C7010000}"/>
    <cellStyle name="20% - Énfasis6 16 6" xfId="479" xr:uid="{00000000-0005-0000-0000-0000C8010000}"/>
    <cellStyle name="20% - Énfasis6 16 7" xfId="480" xr:uid="{00000000-0005-0000-0000-0000C9010000}"/>
    <cellStyle name="20% - Énfasis6 17" xfId="481" xr:uid="{00000000-0005-0000-0000-0000CA010000}"/>
    <cellStyle name="20% - Énfasis6 17 2" xfId="482" xr:uid="{00000000-0005-0000-0000-0000CB010000}"/>
    <cellStyle name="20% - Énfasis6 17 3" xfId="483" xr:uid="{00000000-0005-0000-0000-0000CC010000}"/>
    <cellStyle name="20% - Énfasis6 17 4" xfId="484" xr:uid="{00000000-0005-0000-0000-0000CD010000}"/>
    <cellStyle name="20% - Énfasis6 17 5" xfId="485" xr:uid="{00000000-0005-0000-0000-0000CE010000}"/>
    <cellStyle name="20% - Énfasis6 17 6" xfId="486" xr:uid="{00000000-0005-0000-0000-0000CF010000}"/>
    <cellStyle name="20% - Énfasis6 18" xfId="487" xr:uid="{00000000-0005-0000-0000-0000D0010000}"/>
    <cellStyle name="20% - Énfasis6 19" xfId="488" xr:uid="{00000000-0005-0000-0000-0000D1010000}"/>
    <cellStyle name="20% - Énfasis6 2" xfId="489" xr:uid="{00000000-0005-0000-0000-0000D2010000}"/>
    <cellStyle name="20% - Énfasis6 2 10" xfId="490" xr:uid="{00000000-0005-0000-0000-0000D3010000}"/>
    <cellStyle name="20% - Énfasis6 2 11" xfId="491" xr:uid="{00000000-0005-0000-0000-0000D4010000}"/>
    <cellStyle name="20% - Énfasis6 2 12" xfId="492" xr:uid="{00000000-0005-0000-0000-0000D5010000}"/>
    <cellStyle name="20% - Énfasis6 2 13" xfId="493" xr:uid="{00000000-0005-0000-0000-0000D6010000}"/>
    <cellStyle name="20% - Énfasis6 2 14" xfId="494" xr:uid="{00000000-0005-0000-0000-0000D7010000}"/>
    <cellStyle name="20% - Énfasis6 2 15" xfId="495" xr:uid="{00000000-0005-0000-0000-0000D8010000}"/>
    <cellStyle name="20% - Énfasis6 2 16" xfId="496" xr:uid="{00000000-0005-0000-0000-0000D9010000}"/>
    <cellStyle name="20% - Énfasis6 2 17" xfId="497" xr:uid="{00000000-0005-0000-0000-0000DA010000}"/>
    <cellStyle name="20% - Énfasis6 2 18" xfId="498" xr:uid="{00000000-0005-0000-0000-0000DB010000}"/>
    <cellStyle name="20% - Énfasis6 2 19" xfId="499" xr:uid="{00000000-0005-0000-0000-0000DC010000}"/>
    <cellStyle name="20% - Énfasis6 2 2" xfId="500" xr:uid="{00000000-0005-0000-0000-0000DD010000}"/>
    <cellStyle name="20% - Énfasis6 2 20" xfId="3497" xr:uid="{00000000-0005-0000-0000-0000DE010000}"/>
    <cellStyle name="20% - Énfasis6 2 3" xfId="501" xr:uid="{00000000-0005-0000-0000-0000DF010000}"/>
    <cellStyle name="20% - Énfasis6 2 4" xfId="502" xr:uid="{00000000-0005-0000-0000-0000E0010000}"/>
    <cellStyle name="20% - Énfasis6 2 5" xfId="503" xr:uid="{00000000-0005-0000-0000-0000E1010000}"/>
    <cellStyle name="20% - Énfasis6 2 6" xfId="504" xr:uid="{00000000-0005-0000-0000-0000E2010000}"/>
    <cellStyle name="20% - Énfasis6 2 7" xfId="505" xr:uid="{00000000-0005-0000-0000-0000E3010000}"/>
    <cellStyle name="20% - Énfasis6 2 8" xfId="506" xr:uid="{00000000-0005-0000-0000-0000E4010000}"/>
    <cellStyle name="20% - Énfasis6 2 9" xfId="507" xr:uid="{00000000-0005-0000-0000-0000E5010000}"/>
    <cellStyle name="20% - Énfasis6 20" xfId="508" xr:uid="{00000000-0005-0000-0000-0000E6010000}"/>
    <cellStyle name="20% - Énfasis6 21" xfId="509" xr:uid="{00000000-0005-0000-0000-0000E7010000}"/>
    <cellStyle name="20% - Énfasis6 22" xfId="510" xr:uid="{00000000-0005-0000-0000-0000E8010000}"/>
    <cellStyle name="20% - Énfasis6 23" xfId="511" xr:uid="{00000000-0005-0000-0000-0000E9010000}"/>
    <cellStyle name="20% - Énfasis6 24" xfId="3496" xr:uid="{00000000-0005-0000-0000-0000EA010000}"/>
    <cellStyle name="20% - Énfasis6 3" xfId="512" xr:uid="{00000000-0005-0000-0000-0000EB010000}"/>
    <cellStyle name="20% - Énfasis6 4" xfId="513" xr:uid="{00000000-0005-0000-0000-0000EC010000}"/>
    <cellStyle name="20% - Énfasis6 5" xfId="514" xr:uid="{00000000-0005-0000-0000-0000ED010000}"/>
    <cellStyle name="20% - Énfasis6 6" xfId="515" xr:uid="{00000000-0005-0000-0000-0000EE010000}"/>
    <cellStyle name="20% - Énfasis6 7" xfId="516" xr:uid="{00000000-0005-0000-0000-0000EF010000}"/>
    <cellStyle name="20% - Énfasis6 8" xfId="517" xr:uid="{00000000-0005-0000-0000-0000F0010000}"/>
    <cellStyle name="20% - Énfasis6 9" xfId="518" xr:uid="{00000000-0005-0000-0000-0000F1010000}"/>
    <cellStyle name="40% - Énfasis1 10" xfId="519" xr:uid="{00000000-0005-0000-0000-0000F2010000}"/>
    <cellStyle name="40% - Énfasis1 11" xfId="520" xr:uid="{00000000-0005-0000-0000-0000F3010000}"/>
    <cellStyle name="40% - Énfasis1 11 2" xfId="521" xr:uid="{00000000-0005-0000-0000-0000F4010000}"/>
    <cellStyle name="40% - Énfasis1 11 3" xfId="522" xr:uid="{00000000-0005-0000-0000-0000F5010000}"/>
    <cellStyle name="40% - Énfasis1 11 4" xfId="523" xr:uid="{00000000-0005-0000-0000-0000F6010000}"/>
    <cellStyle name="40% - Énfasis1 11 5" xfId="524" xr:uid="{00000000-0005-0000-0000-0000F7010000}"/>
    <cellStyle name="40% - Énfasis1 11 6" xfId="525" xr:uid="{00000000-0005-0000-0000-0000F8010000}"/>
    <cellStyle name="40% - Énfasis1 11 7" xfId="526" xr:uid="{00000000-0005-0000-0000-0000F9010000}"/>
    <cellStyle name="40% - Énfasis1 12" xfId="527" xr:uid="{00000000-0005-0000-0000-0000FA010000}"/>
    <cellStyle name="40% - Énfasis1 12 2" xfId="528" xr:uid="{00000000-0005-0000-0000-0000FB010000}"/>
    <cellStyle name="40% - Énfasis1 12 3" xfId="529" xr:uid="{00000000-0005-0000-0000-0000FC010000}"/>
    <cellStyle name="40% - Énfasis1 12 4" xfId="530" xr:uid="{00000000-0005-0000-0000-0000FD010000}"/>
    <cellStyle name="40% - Énfasis1 12 5" xfId="531" xr:uid="{00000000-0005-0000-0000-0000FE010000}"/>
    <cellStyle name="40% - Énfasis1 12 6" xfId="532" xr:uid="{00000000-0005-0000-0000-0000FF010000}"/>
    <cellStyle name="40% - Énfasis1 12 7" xfId="533" xr:uid="{00000000-0005-0000-0000-000000020000}"/>
    <cellStyle name="40% - Énfasis1 13" xfId="534" xr:uid="{00000000-0005-0000-0000-000001020000}"/>
    <cellStyle name="40% - Énfasis1 13 2" xfId="535" xr:uid="{00000000-0005-0000-0000-000002020000}"/>
    <cellStyle name="40% - Énfasis1 13 3" xfId="536" xr:uid="{00000000-0005-0000-0000-000003020000}"/>
    <cellStyle name="40% - Énfasis1 13 4" xfId="537" xr:uid="{00000000-0005-0000-0000-000004020000}"/>
    <cellStyle name="40% - Énfasis1 13 5" xfId="538" xr:uid="{00000000-0005-0000-0000-000005020000}"/>
    <cellStyle name="40% - Énfasis1 13 6" xfId="539" xr:uid="{00000000-0005-0000-0000-000006020000}"/>
    <cellStyle name="40% - Énfasis1 13 7" xfId="540" xr:uid="{00000000-0005-0000-0000-000007020000}"/>
    <cellStyle name="40% - Énfasis1 14" xfId="541" xr:uid="{00000000-0005-0000-0000-000008020000}"/>
    <cellStyle name="40% - Énfasis1 14 2" xfId="542" xr:uid="{00000000-0005-0000-0000-000009020000}"/>
    <cellStyle name="40% - Énfasis1 14 3" xfId="543" xr:uid="{00000000-0005-0000-0000-00000A020000}"/>
    <cellStyle name="40% - Énfasis1 14 4" xfId="544" xr:uid="{00000000-0005-0000-0000-00000B020000}"/>
    <cellStyle name="40% - Énfasis1 14 5" xfId="545" xr:uid="{00000000-0005-0000-0000-00000C020000}"/>
    <cellStyle name="40% - Énfasis1 14 6" xfId="546" xr:uid="{00000000-0005-0000-0000-00000D020000}"/>
    <cellStyle name="40% - Énfasis1 14 7" xfId="547" xr:uid="{00000000-0005-0000-0000-00000E020000}"/>
    <cellStyle name="40% - Énfasis1 15" xfId="548" xr:uid="{00000000-0005-0000-0000-00000F020000}"/>
    <cellStyle name="40% - Énfasis1 15 2" xfId="549" xr:uid="{00000000-0005-0000-0000-000010020000}"/>
    <cellStyle name="40% - Énfasis1 15 3" xfId="550" xr:uid="{00000000-0005-0000-0000-000011020000}"/>
    <cellStyle name="40% - Énfasis1 15 4" xfId="551" xr:uid="{00000000-0005-0000-0000-000012020000}"/>
    <cellStyle name="40% - Énfasis1 15 5" xfId="552" xr:uid="{00000000-0005-0000-0000-000013020000}"/>
    <cellStyle name="40% - Énfasis1 15 6" xfId="553" xr:uid="{00000000-0005-0000-0000-000014020000}"/>
    <cellStyle name="40% - Énfasis1 15 7" xfId="554" xr:uid="{00000000-0005-0000-0000-000015020000}"/>
    <cellStyle name="40% - Énfasis1 16" xfId="555" xr:uid="{00000000-0005-0000-0000-000016020000}"/>
    <cellStyle name="40% - Énfasis1 16 2" xfId="556" xr:uid="{00000000-0005-0000-0000-000017020000}"/>
    <cellStyle name="40% - Énfasis1 16 3" xfId="557" xr:uid="{00000000-0005-0000-0000-000018020000}"/>
    <cellStyle name="40% - Énfasis1 16 4" xfId="558" xr:uid="{00000000-0005-0000-0000-000019020000}"/>
    <cellStyle name="40% - Énfasis1 16 5" xfId="559" xr:uid="{00000000-0005-0000-0000-00001A020000}"/>
    <cellStyle name="40% - Énfasis1 16 6" xfId="560" xr:uid="{00000000-0005-0000-0000-00001B020000}"/>
    <cellStyle name="40% - Énfasis1 16 7" xfId="561" xr:uid="{00000000-0005-0000-0000-00001C020000}"/>
    <cellStyle name="40% - Énfasis1 17" xfId="562" xr:uid="{00000000-0005-0000-0000-00001D020000}"/>
    <cellStyle name="40% - Énfasis1 17 2" xfId="563" xr:uid="{00000000-0005-0000-0000-00001E020000}"/>
    <cellStyle name="40% - Énfasis1 17 3" xfId="564" xr:uid="{00000000-0005-0000-0000-00001F020000}"/>
    <cellStyle name="40% - Énfasis1 17 4" xfId="565" xr:uid="{00000000-0005-0000-0000-000020020000}"/>
    <cellStyle name="40% - Énfasis1 17 5" xfId="566" xr:uid="{00000000-0005-0000-0000-000021020000}"/>
    <cellStyle name="40% - Énfasis1 17 6" xfId="567" xr:uid="{00000000-0005-0000-0000-000022020000}"/>
    <cellStyle name="40% - Énfasis1 18" xfId="568" xr:uid="{00000000-0005-0000-0000-000023020000}"/>
    <cellStyle name="40% - Énfasis1 19" xfId="569" xr:uid="{00000000-0005-0000-0000-000024020000}"/>
    <cellStyle name="40% - Énfasis1 2" xfId="570" xr:uid="{00000000-0005-0000-0000-000025020000}"/>
    <cellStyle name="40% - Énfasis1 2 10" xfId="571" xr:uid="{00000000-0005-0000-0000-000026020000}"/>
    <cellStyle name="40% - Énfasis1 2 11" xfId="572" xr:uid="{00000000-0005-0000-0000-000027020000}"/>
    <cellStyle name="40% - Énfasis1 2 12" xfId="573" xr:uid="{00000000-0005-0000-0000-000028020000}"/>
    <cellStyle name="40% - Énfasis1 2 13" xfId="574" xr:uid="{00000000-0005-0000-0000-000029020000}"/>
    <cellStyle name="40% - Énfasis1 2 14" xfId="575" xr:uid="{00000000-0005-0000-0000-00002A020000}"/>
    <cellStyle name="40% - Énfasis1 2 15" xfId="576" xr:uid="{00000000-0005-0000-0000-00002B020000}"/>
    <cellStyle name="40% - Énfasis1 2 16" xfId="577" xr:uid="{00000000-0005-0000-0000-00002C020000}"/>
    <cellStyle name="40% - Énfasis1 2 17" xfId="578" xr:uid="{00000000-0005-0000-0000-00002D020000}"/>
    <cellStyle name="40% - Énfasis1 2 18" xfId="579" xr:uid="{00000000-0005-0000-0000-00002E020000}"/>
    <cellStyle name="40% - Énfasis1 2 19" xfId="580" xr:uid="{00000000-0005-0000-0000-00002F020000}"/>
    <cellStyle name="40% - Énfasis1 2 2" xfId="581" xr:uid="{00000000-0005-0000-0000-000030020000}"/>
    <cellStyle name="40% - Énfasis1 2 20" xfId="3499" xr:uid="{00000000-0005-0000-0000-000031020000}"/>
    <cellStyle name="40% - Énfasis1 2 3" xfId="582" xr:uid="{00000000-0005-0000-0000-000032020000}"/>
    <cellStyle name="40% - Énfasis1 2 4" xfId="583" xr:uid="{00000000-0005-0000-0000-000033020000}"/>
    <cellStyle name="40% - Énfasis1 2 5" xfId="584" xr:uid="{00000000-0005-0000-0000-000034020000}"/>
    <cellStyle name="40% - Énfasis1 2 6" xfId="585" xr:uid="{00000000-0005-0000-0000-000035020000}"/>
    <cellStyle name="40% - Énfasis1 2 7" xfId="586" xr:uid="{00000000-0005-0000-0000-000036020000}"/>
    <cellStyle name="40% - Énfasis1 2 8" xfId="587" xr:uid="{00000000-0005-0000-0000-000037020000}"/>
    <cellStyle name="40% - Énfasis1 2 9" xfId="588" xr:uid="{00000000-0005-0000-0000-000038020000}"/>
    <cellStyle name="40% - Énfasis1 20" xfId="589" xr:uid="{00000000-0005-0000-0000-000039020000}"/>
    <cellStyle name="40% - Énfasis1 21" xfId="590" xr:uid="{00000000-0005-0000-0000-00003A020000}"/>
    <cellStyle name="40% - Énfasis1 22" xfId="591" xr:uid="{00000000-0005-0000-0000-00003B020000}"/>
    <cellStyle name="40% - Énfasis1 23" xfId="592" xr:uid="{00000000-0005-0000-0000-00003C020000}"/>
    <cellStyle name="40% - Énfasis1 24" xfId="3498" xr:uid="{00000000-0005-0000-0000-00003D020000}"/>
    <cellStyle name="40% - Énfasis1 3" xfId="593" xr:uid="{00000000-0005-0000-0000-00003E020000}"/>
    <cellStyle name="40% - Énfasis1 4" xfId="594" xr:uid="{00000000-0005-0000-0000-00003F020000}"/>
    <cellStyle name="40% - Énfasis1 5" xfId="595" xr:uid="{00000000-0005-0000-0000-000040020000}"/>
    <cellStyle name="40% - Énfasis1 6" xfId="596" xr:uid="{00000000-0005-0000-0000-000041020000}"/>
    <cellStyle name="40% - Énfasis1 7" xfId="597" xr:uid="{00000000-0005-0000-0000-000042020000}"/>
    <cellStyle name="40% - Énfasis1 8" xfId="598" xr:uid="{00000000-0005-0000-0000-000043020000}"/>
    <cellStyle name="40% - Énfasis1 9" xfId="599" xr:uid="{00000000-0005-0000-0000-000044020000}"/>
    <cellStyle name="40% - Énfasis2 10" xfId="600" xr:uid="{00000000-0005-0000-0000-000045020000}"/>
    <cellStyle name="40% - Énfasis2 11" xfId="601" xr:uid="{00000000-0005-0000-0000-000046020000}"/>
    <cellStyle name="40% - Énfasis2 11 2" xfId="602" xr:uid="{00000000-0005-0000-0000-000047020000}"/>
    <cellStyle name="40% - Énfasis2 11 3" xfId="603" xr:uid="{00000000-0005-0000-0000-000048020000}"/>
    <cellStyle name="40% - Énfasis2 11 4" xfId="604" xr:uid="{00000000-0005-0000-0000-000049020000}"/>
    <cellStyle name="40% - Énfasis2 11 5" xfId="605" xr:uid="{00000000-0005-0000-0000-00004A020000}"/>
    <cellStyle name="40% - Énfasis2 11 6" xfId="606" xr:uid="{00000000-0005-0000-0000-00004B020000}"/>
    <cellStyle name="40% - Énfasis2 11 7" xfId="607" xr:uid="{00000000-0005-0000-0000-00004C020000}"/>
    <cellStyle name="40% - Énfasis2 12" xfId="608" xr:uid="{00000000-0005-0000-0000-00004D020000}"/>
    <cellStyle name="40% - Énfasis2 12 2" xfId="609" xr:uid="{00000000-0005-0000-0000-00004E020000}"/>
    <cellStyle name="40% - Énfasis2 12 3" xfId="610" xr:uid="{00000000-0005-0000-0000-00004F020000}"/>
    <cellStyle name="40% - Énfasis2 12 4" xfId="611" xr:uid="{00000000-0005-0000-0000-000050020000}"/>
    <cellStyle name="40% - Énfasis2 12 5" xfId="612" xr:uid="{00000000-0005-0000-0000-000051020000}"/>
    <cellStyle name="40% - Énfasis2 12 6" xfId="613" xr:uid="{00000000-0005-0000-0000-000052020000}"/>
    <cellStyle name="40% - Énfasis2 12 7" xfId="614" xr:uid="{00000000-0005-0000-0000-000053020000}"/>
    <cellStyle name="40% - Énfasis2 13" xfId="615" xr:uid="{00000000-0005-0000-0000-000054020000}"/>
    <cellStyle name="40% - Énfasis2 13 2" xfId="616" xr:uid="{00000000-0005-0000-0000-000055020000}"/>
    <cellStyle name="40% - Énfasis2 13 3" xfId="617" xr:uid="{00000000-0005-0000-0000-000056020000}"/>
    <cellStyle name="40% - Énfasis2 13 4" xfId="618" xr:uid="{00000000-0005-0000-0000-000057020000}"/>
    <cellStyle name="40% - Énfasis2 13 5" xfId="619" xr:uid="{00000000-0005-0000-0000-000058020000}"/>
    <cellStyle name="40% - Énfasis2 13 6" xfId="620" xr:uid="{00000000-0005-0000-0000-000059020000}"/>
    <cellStyle name="40% - Énfasis2 13 7" xfId="621" xr:uid="{00000000-0005-0000-0000-00005A020000}"/>
    <cellStyle name="40% - Énfasis2 14" xfId="622" xr:uid="{00000000-0005-0000-0000-00005B020000}"/>
    <cellStyle name="40% - Énfasis2 14 2" xfId="623" xr:uid="{00000000-0005-0000-0000-00005C020000}"/>
    <cellStyle name="40% - Énfasis2 14 3" xfId="624" xr:uid="{00000000-0005-0000-0000-00005D020000}"/>
    <cellStyle name="40% - Énfasis2 14 4" xfId="625" xr:uid="{00000000-0005-0000-0000-00005E020000}"/>
    <cellStyle name="40% - Énfasis2 14 5" xfId="626" xr:uid="{00000000-0005-0000-0000-00005F020000}"/>
    <cellStyle name="40% - Énfasis2 14 6" xfId="627" xr:uid="{00000000-0005-0000-0000-000060020000}"/>
    <cellStyle name="40% - Énfasis2 14 7" xfId="628" xr:uid="{00000000-0005-0000-0000-000061020000}"/>
    <cellStyle name="40% - Énfasis2 15" xfId="629" xr:uid="{00000000-0005-0000-0000-000062020000}"/>
    <cellStyle name="40% - Énfasis2 15 2" xfId="630" xr:uid="{00000000-0005-0000-0000-000063020000}"/>
    <cellStyle name="40% - Énfasis2 15 3" xfId="631" xr:uid="{00000000-0005-0000-0000-000064020000}"/>
    <cellStyle name="40% - Énfasis2 15 4" xfId="632" xr:uid="{00000000-0005-0000-0000-000065020000}"/>
    <cellStyle name="40% - Énfasis2 15 5" xfId="633" xr:uid="{00000000-0005-0000-0000-000066020000}"/>
    <cellStyle name="40% - Énfasis2 15 6" xfId="634" xr:uid="{00000000-0005-0000-0000-000067020000}"/>
    <cellStyle name="40% - Énfasis2 15 7" xfId="635" xr:uid="{00000000-0005-0000-0000-000068020000}"/>
    <cellStyle name="40% - Énfasis2 16" xfId="636" xr:uid="{00000000-0005-0000-0000-000069020000}"/>
    <cellStyle name="40% - Énfasis2 16 2" xfId="637" xr:uid="{00000000-0005-0000-0000-00006A020000}"/>
    <cellStyle name="40% - Énfasis2 16 3" xfId="638" xr:uid="{00000000-0005-0000-0000-00006B020000}"/>
    <cellStyle name="40% - Énfasis2 16 4" xfId="639" xr:uid="{00000000-0005-0000-0000-00006C020000}"/>
    <cellStyle name="40% - Énfasis2 16 5" xfId="640" xr:uid="{00000000-0005-0000-0000-00006D020000}"/>
    <cellStyle name="40% - Énfasis2 16 6" xfId="641" xr:uid="{00000000-0005-0000-0000-00006E020000}"/>
    <cellStyle name="40% - Énfasis2 16 7" xfId="642" xr:uid="{00000000-0005-0000-0000-00006F020000}"/>
    <cellStyle name="40% - Énfasis2 17" xfId="643" xr:uid="{00000000-0005-0000-0000-000070020000}"/>
    <cellStyle name="40% - Énfasis2 17 2" xfId="644" xr:uid="{00000000-0005-0000-0000-000071020000}"/>
    <cellStyle name="40% - Énfasis2 17 3" xfId="645" xr:uid="{00000000-0005-0000-0000-000072020000}"/>
    <cellStyle name="40% - Énfasis2 17 4" xfId="646" xr:uid="{00000000-0005-0000-0000-000073020000}"/>
    <cellStyle name="40% - Énfasis2 17 5" xfId="647" xr:uid="{00000000-0005-0000-0000-000074020000}"/>
    <cellStyle name="40% - Énfasis2 17 6" xfId="648" xr:uid="{00000000-0005-0000-0000-000075020000}"/>
    <cellStyle name="40% - Énfasis2 18" xfId="649" xr:uid="{00000000-0005-0000-0000-000076020000}"/>
    <cellStyle name="40% - Énfasis2 19" xfId="650" xr:uid="{00000000-0005-0000-0000-000077020000}"/>
    <cellStyle name="40% - Énfasis2 2" xfId="651" xr:uid="{00000000-0005-0000-0000-000078020000}"/>
    <cellStyle name="40% - Énfasis2 2 10" xfId="652" xr:uid="{00000000-0005-0000-0000-000079020000}"/>
    <cellStyle name="40% - Énfasis2 2 11" xfId="653" xr:uid="{00000000-0005-0000-0000-00007A020000}"/>
    <cellStyle name="40% - Énfasis2 2 12" xfId="654" xr:uid="{00000000-0005-0000-0000-00007B020000}"/>
    <cellStyle name="40% - Énfasis2 2 13" xfId="655" xr:uid="{00000000-0005-0000-0000-00007C020000}"/>
    <cellStyle name="40% - Énfasis2 2 14" xfId="656" xr:uid="{00000000-0005-0000-0000-00007D020000}"/>
    <cellStyle name="40% - Énfasis2 2 15" xfId="657" xr:uid="{00000000-0005-0000-0000-00007E020000}"/>
    <cellStyle name="40% - Énfasis2 2 16" xfId="658" xr:uid="{00000000-0005-0000-0000-00007F020000}"/>
    <cellStyle name="40% - Énfasis2 2 17" xfId="659" xr:uid="{00000000-0005-0000-0000-000080020000}"/>
    <cellStyle name="40% - Énfasis2 2 18" xfId="660" xr:uid="{00000000-0005-0000-0000-000081020000}"/>
    <cellStyle name="40% - Énfasis2 2 19" xfId="661" xr:uid="{00000000-0005-0000-0000-000082020000}"/>
    <cellStyle name="40% - Énfasis2 2 2" xfId="662" xr:uid="{00000000-0005-0000-0000-000083020000}"/>
    <cellStyle name="40% - Énfasis2 2 20" xfId="3501" xr:uid="{00000000-0005-0000-0000-000084020000}"/>
    <cellStyle name="40% - Énfasis2 2 3" xfId="663" xr:uid="{00000000-0005-0000-0000-000085020000}"/>
    <cellStyle name="40% - Énfasis2 2 4" xfId="664" xr:uid="{00000000-0005-0000-0000-000086020000}"/>
    <cellStyle name="40% - Énfasis2 2 5" xfId="665" xr:uid="{00000000-0005-0000-0000-000087020000}"/>
    <cellStyle name="40% - Énfasis2 2 6" xfId="666" xr:uid="{00000000-0005-0000-0000-000088020000}"/>
    <cellStyle name="40% - Énfasis2 2 7" xfId="667" xr:uid="{00000000-0005-0000-0000-000089020000}"/>
    <cellStyle name="40% - Énfasis2 2 8" xfId="668" xr:uid="{00000000-0005-0000-0000-00008A020000}"/>
    <cellStyle name="40% - Énfasis2 2 9" xfId="669" xr:uid="{00000000-0005-0000-0000-00008B020000}"/>
    <cellStyle name="40% - Énfasis2 20" xfId="670" xr:uid="{00000000-0005-0000-0000-00008C020000}"/>
    <cellStyle name="40% - Énfasis2 21" xfId="671" xr:uid="{00000000-0005-0000-0000-00008D020000}"/>
    <cellStyle name="40% - Énfasis2 22" xfId="672" xr:uid="{00000000-0005-0000-0000-00008E020000}"/>
    <cellStyle name="40% - Énfasis2 23" xfId="673" xr:uid="{00000000-0005-0000-0000-00008F020000}"/>
    <cellStyle name="40% - Énfasis2 24" xfId="3500" xr:uid="{00000000-0005-0000-0000-000090020000}"/>
    <cellStyle name="40% - Énfasis2 3" xfId="674" xr:uid="{00000000-0005-0000-0000-000091020000}"/>
    <cellStyle name="40% - Énfasis2 4" xfId="675" xr:uid="{00000000-0005-0000-0000-000092020000}"/>
    <cellStyle name="40% - Énfasis2 5" xfId="676" xr:uid="{00000000-0005-0000-0000-000093020000}"/>
    <cellStyle name="40% - Énfasis2 6" xfId="677" xr:uid="{00000000-0005-0000-0000-000094020000}"/>
    <cellStyle name="40% - Énfasis2 7" xfId="678" xr:uid="{00000000-0005-0000-0000-000095020000}"/>
    <cellStyle name="40% - Énfasis2 8" xfId="679" xr:uid="{00000000-0005-0000-0000-000096020000}"/>
    <cellStyle name="40% - Énfasis2 9" xfId="680" xr:uid="{00000000-0005-0000-0000-000097020000}"/>
    <cellStyle name="40% - Énfasis3 10" xfId="681" xr:uid="{00000000-0005-0000-0000-000098020000}"/>
    <cellStyle name="40% - Énfasis3 11" xfId="682" xr:uid="{00000000-0005-0000-0000-000099020000}"/>
    <cellStyle name="40% - Énfasis3 11 2" xfId="683" xr:uid="{00000000-0005-0000-0000-00009A020000}"/>
    <cellStyle name="40% - Énfasis3 11 3" xfId="684" xr:uid="{00000000-0005-0000-0000-00009B020000}"/>
    <cellStyle name="40% - Énfasis3 11 4" xfId="685" xr:uid="{00000000-0005-0000-0000-00009C020000}"/>
    <cellStyle name="40% - Énfasis3 11 5" xfId="686" xr:uid="{00000000-0005-0000-0000-00009D020000}"/>
    <cellStyle name="40% - Énfasis3 11 6" xfId="687" xr:uid="{00000000-0005-0000-0000-00009E020000}"/>
    <cellStyle name="40% - Énfasis3 11 7" xfId="688" xr:uid="{00000000-0005-0000-0000-00009F020000}"/>
    <cellStyle name="40% - Énfasis3 12" xfId="689" xr:uid="{00000000-0005-0000-0000-0000A0020000}"/>
    <cellStyle name="40% - Énfasis3 12 2" xfId="690" xr:uid="{00000000-0005-0000-0000-0000A1020000}"/>
    <cellStyle name="40% - Énfasis3 12 3" xfId="691" xr:uid="{00000000-0005-0000-0000-0000A2020000}"/>
    <cellStyle name="40% - Énfasis3 12 4" xfId="692" xr:uid="{00000000-0005-0000-0000-0000A3020000}"/>
    <cellStyle name="40% - Énfasis3 12 5" xfId="693" xr:uid="{00000000-0005-0000-0000-0000A4020000}"/>
    <cellStyle name="40% - Énfasis3 12 6" xfId="694" xr:uid="{00000000-0005-0000-0000-0000A5020000}"/>
    <cellStyle name="40% - Énfasis3 12 7" xfId="695" xr:uid="{00000000-0005-0000-0000-0000A6020000}"/>
    <cellStyle name="40% - Énfasis3 13" xfId="696" xr:uid="{00000000-0005-0000-0000-0000A7020000}"/>
    <cellStyle name="40% - Énfasis3 13 2" xfId="697" xr:uid="{00000000-0005-0000-0000-0000A8020000}"/>
    <cellStyle name="40% - Énfasis3 13 3" xfId="698" xr:uid="{00000000-0005-0000-0000-0000A9020000}"/>
    <cellStyle name="40% - Énfasis3 13 4" xfId="699" xr:uid="{00000000-0005-0000-0000-0000AA020000}"/>
    <cellStyle name="40% - Énfasis3 13 5" xfId="700" xr:uid="{00000000-0005-0000-0000-0000AB020000}"/>
    <cellStyle name="40% - Énfasis3 13 6" xfId="701" xr:uid="{00000000-0005-0000-0000-0000AC020000}"/>
    <cellStyle name="40% - Énfasis3 13 7" xfId="702" xr:uid="{00000000-0005-0000-0000-0000AD020000}"/>
    <cellStyle name="40% - Énfasis3 14" xfId="703" xr:uid="{00000000-0005-0000-0000-0000AE020000}"/>
    <cellStyle name="40% - Énfasis3 14 2" xfId="704" xr:uid="{00000000-0005-0000-0000-0000AF020000}"/>
    <cellStyle name="40% - Énfasis3 14 3" xfId="705" xr:uid="{00000000-0005-0000-0000-0000B0020000}"/>
    <cellStyle name="40% - Énfasis3 14 4" xfId="706" xr:uid="{00000000-0005-0000-0000-0000B1020000}"/>
    <cellStyle name="40% - Énfasis3 14 5" xfId="707" xr:uid="{00000000-0005-0000-0000-0000B2020000}"/>
    <cellStyle name="40% - Énfasis3 14 6" xfId="708" xr:uid="{00000000-0005-0000-0000-0000B3020000}"/>
    <cellStyle name="40% - Énfasis3 14 7" xfId="709" xr:uid="{00000000-0005-0000-0000-0000B4020000}"/>
    <cellStyle name="40% - Énfasis3 15" xfId="710" xr:uid="{00000000-0005-0000-0000-0000B5020000}"/>
    <cellStyle name="40% - Énfasis3 15 2" xfId="711" xr:uid="{00000000-0005-0000-0000-0000B6020000}"/>
    <cellStyle name="40% - Énfasis3 15 3" xfId="712" xr:uid="{00000000-0005-0000-0000-0000B7020000}"/>
    <cellStyle name="40% - Énfasis3 15 4" xfId="713" xr:uid="{00000000-0005-0000-0000-0000B8020000}"/>
    <cellStyle name="40% - Énfasis3 15 5" xfId="714" xr:uid="{00000000-0005-0000-0000-0000B9020000}"/>
    <cellStyle name="40% - Énfasis3 15 6" xfId="715" xr:uid="{00000000-0005-0000-0000-0000BA020000}"/>
    <cellStyle name="40% - Énfasis3 15 7" xfId="716" xr:uid="{00000000-0005-0000-0000-0000BB020000}"/>
    <cellStyle name="40% - Énfasis3 16" xfId="717" xr:uid="{00000000-0005-0000-0000-0000BC020000}"/>
    <cellStyle name="40% - Énfasis3 16 2" xfId="718" xr:uid="{00000000-0005-0000-0000-0000BD020000}"/>
    <cellStyle name="40% - Énfasis3 16 3" xfId="719" xr:uid="{00000000-0005-0000-0000-0000BE020000}"/>
    <cellStyle name="40% - Énfasis3 16 4" xfId="720" xr:uid="{00000000-0005-0000-0000-0000BF020000}"/>
    <cellStyle name="40% - Énfasis3 16 5" xfId="721" xr:uid="{00000000-0005-0000-0000-0000C0020000}"/>
    <cellStyle name="40% - Énfasis3 16 6" xfId="722" xr:uid="{00000000-0005-0000-0000-0000C1020000}"/>
    <cellStyle name="40% - Énfasis3 16 7" xfId="723" xr:uid="{00000000-0005-0000-0000-0000C2020000}"/>
    <cellStyle name="40% - Énfasis3 17" xfId="724" xr:uid="{00000000-0005-0000-0000-0000C3020000}"/>
    <cellStyle name="40% - Énfasis3 17 2" xfId="725" xr:uid="{00000000-0005-0000-0000-0000C4020000}"/>
    <cellStyle name="40% - Énfasis3 17 3" xfId="726" xr:uid="{00000000-0005-0000-0000-0000C5020000}"/>
    <cellStyle name="40% - Énfasis3 17 4" xfId="727" xr:uid="{00000000-0005-0000-0000-0000C6020000}"/>
    <cellStyle name="40% - Énfasis3 17 5" xfId="728" xr:uid="{00000000-0005-0000-0000-0000C7020000}"/>
    <cellStyle name="40% - Énfasis3 17 6" xfId="729" xr:uid="{00000000-0005-0000-0000-0000C8020000}"/>
    <cellStyle name="40% - Énfasis3 18" xfId="730" xr:uid="{00000000-0005-0000-0000-0000C9020000}"/>
    <cellStyle name="40% - Énfasis3 19" xfId="731" xr:uid="{00000000-0005-0000-0000-0000CA020000}"/>
    <cellStyle name="40% - Énfasis3 2" xfId="732" xr:uid="{00000000-0005-0000-0000-0000CB020000}"/>
    <cellStyle name="40% - Énfasis3 2 10" xfId="733" xr:uid="{00000000-0005-0000-0000-0000CC020000}"/>
    <cellStyle name="40% - Énfasis3 2 11" xfId="734" xr:uid="{00000000-0005-0000-0000-0000CD020000}"/>
    <cellStyle name="40% - Énfasis3 2 12" xfId="735" xr:uid="{00000000-0005-0000-0000-0000CE020000}"/>
    <cellStyle name="40% - Énfasis3 2 13" xfId="736" xr:uid="{00000000-0005-0000-0000-0000CF020000}"/>
    <cellStyle name="40% - Énfasis3 2 14" xfId="737" xr:uid="{00000000-0005-0000-0000-0000D0020000}"/>
    <cellStyle name="40% - Énfasis3 2 15" xfId="738" xr:uid="{00000000-0005-0000-0000-0000D1020000}"/>
    <cellStyle name="40% - Énfasis3 2 16" xfId="739" xr:uid="{00000000-0005-0000-0000-0000D2020000}"/>
    <cellStyle name="40% - Énfasis3 2 17" xfId="740" xr:uid="{00000000-0005-0000-0000-0000D3020000}"/>
    <cellStyle name="40% - Énfasis3 2 18" xfId="741" xr:uid="{00000000-0005-0000-0000-0000D4020000}"/>
    <cellStyle name="40% - Énfasis3 2 19" xfId="742" xr:uid="{00000000-0005-0000-0000-0000D5020000}"/>
    <cellStyle name="40% - Énfasis3 2 2" xfId="743" xr:uid="{00000000-0005-0000-0000-0000D6020000}"/>
    <cellStyle name="40% - Énfasis3 2 20" xfId="3503" xr:uid="{00000000-0005-0000-0000-0000D7020000}"/>
    <cellStyle name="40% - Énfasis3 2 3" xfId="744" xr:uid="{00000000-0005-0000-0000-0000D8020000}"/>
    <cellStyle name="40% - Énfasis3 2 4" xfId="745" xr:uid="{00000000-0005-0000-0000-0000D9020000}"/>
    <cellStyle name="40% - Énfasis3 2 5" xfId="746" xr:uid="{00000000-0005-0000-0000-0000DA020000}"/>
    <cellStyle name="40% - Énfasis3 2 6" xfId="747" xr:uid="{00000000-0005-0000-0000-0000DB020000}"/>
    <cellStyle name="40% - Énfasis3 2 7" xfId="748" xr:uid="{00000000-0005-0000-0000-0000DC020000}"/>
    <cellStyle name="40% - Énfasis3 2 8" xfId="749" xr:uid="{00000000-0005-0000-0000-0000DD020000}"/>
    <cellStyle name="40% - Énfasis3 2 9" xfId="750" xr:uid="{00000000-0005-0000-0000-0000DE020000}"/>
    <cellStyle name="40% - Énfasis3 20" xfId="751" xr:uid="{00000000-0005-0000-0000-0000DF020000}"/>
    <cellStyle name="40% - Énfasis3 21" xfId="752" xr:uid="{00000000-0005-0000-0000-0000E0020000}"/>
    <cellStyle name="40% - Énfasis3 22" xfId="753" xr:uid="{00000000-0005-0000-0000-0000E1020000}"/>
    <cellStyle name="40% - Énfasis3 23" xfId="754" xr:uid="{00000000-0005-0000-0000-0000E2020000}"/>
    <cellStyle name="40% - Énfasis3 24" xfId="3502" xr:uid="{00000000-0005-0000-0000-0000E3020000}"/>
    <cellStyle name="40% - Énfasis3 3" xfId="755" xr:uid="{00000000-0005-0000-0000-0000E4020000}"/>
    <cellStyle name="40% - Énfasis3 4" xfId="756" xr:uid="{00000000-0005-0000-0000-0000E5020000}"/>
    <cellStyle name="40% - Énfasis3 5" xfId="757" xr:uid="{00000000-0005-0000-0000-0000E6020000}"/>
    <cellStyle name="40% - Énfasis3 6" xfId="758" xr:uid="{00000000-0005-0000-0000-0000E7020000}"/>
    <cellStyle name="40% - Énfasis3 7" xfId="759" xr:uid="{00000000-0005-0000-0000-0000E8020000}"/>
    <cellStyle name="40% - Énfasis3 8" xfId="760" xr:uid="{00000000-0005-0000-0000-0000E9020000}"/>
    <cellStyle name="40% - Énfasis3 9" xfId="761" xr:uid="{00000000-0005-0000-0000-0000EA020000}"/>
    <cellStyle name="40% - Énfasis4 10" xfId="762" xr:uid="{00000000-0005-0000-0000-0000EB020000}"/>
    <cellStyle name="40% - Énfasis4 11" xfId="763" xr:uid="{00000000-0005-0000-0000-0000EC020000}"/>
    <cellStyle name="40% - Énfasis4 11 2" xfId="764" xr:uid="{00000000-0005-0000-0000-0000ED020000}"/>
    <cellStyle name="40% - Énfasis4 11 3" xfId="765" xr:uid="{00000000-0005-0000-0000-0000EE020000}"/>
    <cellStyle name="40% - Énfasis4 11 4" xfId="766" xr:uid="{00000000-0005-0000-0000-0000EF020000}"/>
    <cellStyle name="40% - Énfasis4 11 5" xfId="767" xr:uid="{00000000-0005-0000-0000-0000F0020000}"/>
    <cellStyle name="40% - Énfasis4 11 6" xfId="768" xr:uid="{00000000-0005-0000-0000-0000F1020000}"/>
    <cellStyle name="40% - Énfasis4 11 7" xfId="769" xr:uid="{00000000-0005-0000-0000-0000F2020000}"/>
    <cellStyle name="40% - Énfasis4 12" xfId="770" xr:uid="{00000000-0005-0000-0000-0000F3020000}"/>
    <cellStyle name="40% - Énfasis4 12 2" xfId="771" xr:uid="{00000000-0005-0000-0000-0000F4020000}"/>
    <cellStyle name="40% - Énfasis4 12 3" xfId="772" xr:uid="{00000000-0005-0000-0000-0000F5020000}"/>
    <cellStyle name="40% - Énfasis4 12 4" xfId="773" xr:uid="{00000000-0005-0000-0000-0000F6020000}"/>
    <cellStyle name="40% - Énfasis4 12 5" xfId="774" xr:uid="{00000000-0005-0000-0000-0000F7020000}"/>
    <cellStyle name="40% - Énfasis4 12 6" xfId="775" xr:uid="{00000000-0005-0000-0000-0000F8020000}"/>
    <cellStyle name="40% - Énfasis4 12 7" xfId="776" xr:uid="{00000000-0005-0000-0000-0000F9020000}"/>
    <cellStyle name="40% - Énfasis4 13" xfId="777" xr:uid="{00000000-0005-0000-0000-0000FA020000}"/>
    <cellStyle name="40% - Énfasis4 13 2" xfId="778" xr:uid="{00000000-0005-0000-0000-0000FB020000}"/>
    <cellStyle name="40% - Énfasis4 13 3" xfId="779" xr:uid="{00000000-0005-0000-0000-0000FC020000}"/>
    <cellStyle name="40% - Énfasis4 13 4" xfId="780" xr:uid="{00000000-0005-0000-0000-0000FD020000}"/>
    <cellStyle name="40% - Énfasis4 13 5" xfId="781" xr:uid="{00000000-0005-0000-0000-0000FE020000}"/>
    <cellStyle name="40% - Énfasis4 13 6" xfId="782" xr:uid="{00000000-0005-0000-0000-0000FF020000}"/>
    <cellStyle name="40% - Énfasis4 13 7" xfId="783" xr:uid="{00000000-0005-0000-0000-000000030000}"/>
    <cellStyle name="40% - Énfasis4 14" xfId="784" xr:uid="{00000000-0005-0000-0000-000001030000}"/>
    <cellStyle name="40% - Énfasis4 14 2" xfId="785" xr:uid="{00000000-0005-0000-0000-000002030000}"/>
    <cellStyle name="40% - Énfasis4 14 3" xfId="786" xr:uid="{00000000-0005-0000-0000-000003030000}"/>
    <cellStyle name="40% - Énfasis4 14 4" xfId="787" xr:uid="{00000000-0005-0000-0000-000004030000}"/>
    <cellStyle name="40% - Énfasis4 14 5" xfId="788" xr:uid="{00000000-0005-0000-0000-000005030000}"/>
    <cellStyle name="40% - Énfasis4 14 6" xfId="789" xr:uid="{00000000-0005-0000-0000-000006030000}"/>
    <cellStyle name="40% - Énfasis4 14 7" xfId="790" xr:uid="{00000000-0005-0000-0000-000007030000}"/>
    <cellStyle name="40% - Énfasis4 15" xfId="791" xr:uid="{00000000-0005-0000-0000-000008030000}"/>
    <cellStyle name="40% - Énfasis4 15 2" xfId="792" xr:uid="{00000000-0005-0000-0000-000009030000}"/>
    <cellStyle name="40% - Énfasis4 15 3" xfId="793" xr:uid="{00000000-0005-0000-0000-00000A030000}"/>
    <cellStyle name="40% - Énfasis4 15 4" xfId="794" xr:uid="{00000000-0005-0000-0000-00000B030000}"/>
    <cellStyle name="40% - Énfasis4 15 5" xfId="795" xr:uid="{00000000-0005-0000-0000-00000C030000}"/>
    <cellStyle name="40% - Énfasis4 15 6" xfId="796" xr:uid="{00000000-0005-0000-0000-00000D030000}"/>
    <cellStyle name="40% - Énfasis4 15 7" xfId="797" xr:uid="{00000000-0005-0000-0000-00000E030000}"/>
    <cellStyle name="40% - Énfasis4 16" xfId="798" xr:uid="{00000000-0005-0000-0000-00000F030000}"/>
    <cellStyle name="40% - Énfasis4 16 2" xfId="799" xr:uid="{00000000-0005-0000-0000-000010030000}"/>
    <cellStyle name="40% - Énfasis4 16 3" xfId="800" xr:uid="{00000000-0005-0000-0000-000011030000}"/>
    <cellStyle name="40% - Énfasis4 16 4" xfId="801" xr:uid="{00000000-0005-0000-0000-000012030000}"/>
    <cellStyle name="40% - Énfasis4 16 5" xfId="802" xr:uid="{00000000-0005-0000-0000-000013030000}"/>
    <cellStyle name="40% - Énfasis4 16 6" xfId="803" xr:uid="{00000000-0005-0000-0000-000014030000}"/>
    <cellStyle name="40% - Énfasis4 16 7" xfId="804" xr:uid="{00000000-0005-0000-0000-000015030000}"/>
    <cellStyle name="40% - Énfasis4 17" xfId="805" xr:uid="{00000000-0005-0000-0000-000016030000}"/>
    <cellStyle name="40% - Énfasis4 17 2" xfId="806" xr:uid="{00000000-0005-0000-0000-000017030000}"/>
    <cellStyle name="40% - Énfasis4 17 3" xfId="807" xr:uid="{00000000-0005-0000-0000-000018030000}"/>
    <cellStyle name="40% - Énfasis4 17 4" xfId="808" xr:uid="{00000000-0005-0000-0000-000019030000}"/>
    <cellStyle name="40% - Énfasis4 17 5" xfId="809" xr:uid="{00000000-0005-0000-0000-00001A030000}"/>
    <cellStyle name="40% - Énfasis4 17 6" xfId="810" xr:uid="{00000000-0005-0000-0000-00001B030000}"/>
    <cellStyle name="40% - Énfasis4 18" xfId="811" xr:uid="{00000000-0005-0000-0000-00001C030000}"/>
    <cellStyle name="40% - Énfasis4 19" xfId="812" xr:uid="{00000000-0005-0000-0000-00001D030000}"/>
    <cellStyle name="40% - Énfasis4 2" xfId="813" xr:uid="{00000000-0005-0000-0000-00001E030000}"/>
    <cellStyle name="40% - Énfasis4 2 10" xfId="814" xr:uid="{00000000-0005-0000-0000-00001F030000}"/>
    <cellStyle name="40% - Énfasis4 2 11" xfId="815" xr:uid="{00000000-0005-0000-0000-000020030000}"/>
    <cellStyle name="40% - Énfasis4 2 12" xfId="816" xr:uid="{00000000-0005-0000-0000-000021030000}"/>
    <cellStyle name="40% - Énfasis4 2 13" xfId="817" xr:uid="{00000000-0005-0000-0000-000022030000}"/>
    <cellStyle name="40% - Énfasis4 2 14" xfId="818" xr:uid="{00000000-0005-0000-0000-000023030000}"/>
    <cellStyle name="40% - Énfasis4 2 15" xfId="819" xr:uid="{00000000-0005-0000-0000-000024030000}"/>
    <cellStyle name="40% - Énfasis4 2 16" xfId="820" xr:uid="{00000000-0005-0000-0000-000025030000}"/>
    <cellStyle name="40% - Énfasis4 2 17" xfId="821" xr:uid="{00000000-0005-0000-0000-000026030000}"/>
    <cellStyle name="40% - Énfasis4 2 18" xfId="822" xr:uid="{00000000-0005-0000-0000-000027030000}"/>
    <cellStyle name="40% - Énfasis4 2 19" xfId="823" xr:uid="{00000000-0005-0000-0000-000028030000}"/>
    <cellStyle name="40% - Énfasis4 2 2" xfId="824" xr:uid="{00000000-0005-0000-0000-000029030000}"/>
    <cellStyle name="40% - Énfasis4 2 20" xfId="3505" xr:uid="{00000000-0005-0000-0000-00002A030000}"/>
    <cellStyle name="40% - Énfasis4 2 3" xfId="825" xr:uid="{00000000-0005-0000-0000-00002B030000}"/>
    <cellStyle name="40% - Énfasis4 2 4" xfId="826" xr:uid="{00000000-0005-0000-0000-00002C030000}"/>
    <cellStyle name="40% - Énfasis4 2 5" xfId="827" xr:uid="{00000000-0005-0000-0000-00002D030000}"/>
    <cellStyle name="40% - Énfasis4 2 6" xfId="828" xr:uid="{00000000-0005-0000-0000-00002E030000}"/>
    <cellStyle name="40% - Énfasis4 2 7" xfId="829" xr:uid="{00000000-0005-0000-0000-00002F030000}"/>
    <cellStyle name="40% - Énfasis4 2 8" xfId="830" xr:uid="{00000000-0005-0000-0000-000030030000}"/>
    <cellStyle name="40% - Énfasis4 2 9" xfId="831" xr:uid="{00000000-0005-0000-0000-000031030000}"/>
    <cellStyle name="40% - Énfasis4 20" xfId="832" xr:uid="{00000000-0005-0000-0000-000032030000}"/>
    <cellStyle name="40% - Énfasis4 21" xfId="833" xr:uid="{00000000-0005-0000-0000-000033030000}"/>
    <cellStyle name="40% - Énfasis4 22" xfId="834" xr:uid="{00000000-0005-0000-0000-000034030000}"/>
    <cellStyle name="40% - Énfasis4 23" xfId="835" xr:uid="{00000000-0005-0000-0000-000035030000}"/>
    <cellStyle name="40% - Énfasis4 24" xfId="3504" xr:uid="{00000000-0005-0000-0000-000036030000}"/>
    <cellStyle name="40% - Énfasis4 3" xfId="836" xr:uid="{00000000-0005-0000-0000-000037030000}"/>
    <cellStyle name="40% - Énfasis4 4" xfId="837" xr:uid="{00000000-0005-0000-0000-000038030000}"/>
    <cellStyle name="40% - Énfasis4 5" xfId="838" xr:uid="{00000000-0005-0000-0000-000039030000}"/>
    <cellStyle name="40% - Énfasis4 6" xfId="839" xr:uid="{00000000-0005-0000-0000-00003A030000}"/>
    <cellStyle name="40% - Énfasis4 7" xfId="840" xr:uid="{00000000-0005-0000-0000-00003B030000}"/>
    <cellStyle name="40% - Énfasis4 8" xfId="841" xr:uid="{00000000-0005-0000-0000-00003C030000}"/>
    <cellStyle name="40% - Énfasis4 9" xfId="842" xr:uid="{00000000-0005-0000-0000-00003D030000}"/>
    <cellStyle name="40% - Énfasis5 10" xfId="843" xr:uid="{00000000-0005-0000-0000-00003E030000}"/>
    <cellStyle name="40% - Énfasis5 11" xfId="844" xr:uid="{00000000-0005-0000-0000-00003F030000}"/>
    <cellStyle name="40% - Énfasis5 11 2" xfId="845" xr:uid="{00000000-0005-0000-0000-000040030000}"/>
    <cellStyle name="40% - Énfasis5 11 3" xfId="846" xr:uid="{00000000-0005-0000-0000-000041030000}"/>
    <cellStyle name="40% - Énfasis5 11 4" xfId="847" xr:uid="{00000000-0005-0000-0000-000042030000}"/>
    <cellStyle name="40% - Énfasis5 11 5" xfId="848" xr:uid="{00000000-0005-0000-0000-000043030000}"/>
    <cellStyle name="40% - Énfasis5 11 6" xfId="849" xr:uid="{00000000-0005-0000-0000-000044030000}"/>
    <cellStyle name="40% - Énfasis5 11 7" xfId="850" xr:uid="{00000000-0005-0000-0000-000045030000}"/>
    <cellStyle name="40% - Énfasis5 12" xfId="851" xr:uid="{00000000-0005-0000-0000-000046030000}"/>
    <cellStyle name="40% - Énfasis5 12 2" xfId="852" xr:uid="{00000000-0005-0000-0000-000047030000}"/>
    <cellStyle name="40% - Énfasis5 12 3" xfId="853" xr:uid="{00000000-0005-0000-0000-000048030000}"/>
    <cellStyle name="40% - Énfasis5 12 4" xfId="854" xr:uid="{00000000-0005-0000-0000-000049030000}"/>
    <cellStyle name="40% - Énfasis5 12 5" xfId="855" xr:uid="{00000000-0005-0000-0000-00004A030000}"/>
    <cellStyle name="40% - Énfasis5 12 6" xfId="856" xr:uid="{00000000-0005-0000-0000-00004B030000}"/>
    <cellStyle name="40% - Énfasis5 12 7" xfId="857" xr:uid="{00000000-0005-0000-0000-00004C030000}"/>
    <cellStyle name="40% - Énfasis5 13" xfId="858" xr:uid="{00000000-0005-0000-0000-00004D030000}"/>
    <cellStyle name="40% - Énfasis5 13 2" xfId="859" xr:uid="{00000000-0005-0000-0000-00004E030000}"/>
    <cellStyle name="40% - Énfasis5 13 3" xfId="860" xr:uid="{00000000-0005-0000-0000-00004F030000}"/>
    <cellStyle name="40% - Énfasis5 13 4" xfId="861" xr:uid="{00000000-0005-0000-0000-000050030000}"/>
    <cellStyle name="40% - Énfasis5 13 5" xfId="862" xr:uid="{00000000-0005-0000-0000-000051030000}"/>
    <cellStyle name="40% - Énfasis5 13 6" xfId="863" xr:uid="{00000000-0005-0000-0000-000052030000}"/>
    <cellStyle name="40% - Énfasis5 13 7" xfId="864" xr:uid="{00000000-0005-0000-0000-000053030000}"/>
    <cellStyle name="40% - Énfasis5 14" xfId="865" xr:uid="{00000000-0005-0000-0000-000054030000}"/>
    <cellStyle name="40% - Énfasis5 14 2" xfId="866" xr:uid="{00000000-0005-0000-0000-000055030000}"/>
    <cellStyle name="40% - Énfasis5 14 3" xfId="867" xr:uid="{00000000-0005-0000-0000-000056030000}"/>
    <cellStyle name="40% - Énfasis5 14 4" xfId="868" xr:uid="{00000000-0005-0000-0000-000057030000}"/>
    <cellStyle name="40% - Énfasis5 14 5" xfId="869" xr:uid="{00000000-0005-0000-0000-000058030000}"/>
    <cellStyle name="40% - Énfasis5 14 6" xfId="870" xr:uid="{00000000-0005-0000-0000-000059030000}"/>
    <cellStyle name="40% - Énfasis5 14 7" xfId="871" xr:uid="{00000000-0005-0000-0000-00005A030000}"/>
    <cellStyle name="40% - Énfasis5 15" xfId="872" xr:uid="{00000000-0005-0000-0000-00005B030000}"/>
    <cellStyle name="40% - Énfasis5 15 2" xfId="873" xr:uid="{00000000-0005-0000-0000-00005C030000}"/>
    <cellStyle name="40% - Énfasis5 15 3" xfId="874" xr:uid="{00000000-0005-0000-0000-00005D030000}"/>
    <cellStyle name="40% - Énfasis5 15 4" xfId="875" xr:uid="{00000000-0005-0000-0000-00005E030000}"/>
    <cellStyle name="40% - Énfasis5 15 5" xfId="876" xr:uid="{00000000-0005-0000-0000-00005F030000}"/>
    <cellStyle name="40% - Énfasis5 15 6" xfId="877" xr:uid="{00000000-0005-0000-0000-000060030000}"/>
    <cellStyle name="40% - Énfasis5 15 7" xfId="878" xr:uid="{00000000-0005-0000-0000-000061030000}"/>
    <cellStyle name="40% - Énfasis5 16" xfId="879" xr:uid="{00000000-0005-0000-0000-000062030000}"/>
    <cellStyle name="40% - Énfasis5 16 2" xfId="880" xr:uid="{00000000-0005-0000-0000-000063030000}"/>
    <cellStyle name="40% - Énfasis5 16 3" xfId="881" xr:uid="{00000000-0005-0000-0000-000064030000}"/>
    <cellStyle name="40% - Énfasis5 16 4" xfId="882" xr:uid="{00000000-0005-0000-0000-000065030000}"/>
    <cellStyle name="40% - Énfasis5 16 5" xfId="883" xr:uid="{00000000-0005-0000-0000-000066030000}"/>
    <cellStyle name="40% - Énfasis5 16 6" xfId="884" xr:uid="{00000000-0005-0000-0000-000067030000}"/>
    <cellStyle name="40% - Énfasis5 16 7" xfId="885" xr:uid="{00000000-0005-0000-0000-000068030000}"/>
    <cellStyle name="40% - Énfasis5 17" xfId="886" xr:uid="{00000000-0005-0000-0000-000069030000}"/>
    <cellStyle name="40% - Énfasis5 17 2" xfId="887" xr:uid="{00000000-0005-0000-0000-00006A030000}"/>
    <cellStyle name="40% - Énfasis5 17 3" xfId="888" xr:uid="{00000000-0005-0000-0000-00006B030000}"/>
    <cellStyle name="40% - Énfasis5 17 4" xfId="889" xr:uid="{00000000-0005-0000-0000-00006C030000}"/>
    <cellStyle name="40% - Énfasis5 17 5" xfId="890" xr:uid="{00000000-0005-0000-0000-00006D030000}"/>
    <cellStyle name="40% - Énfasis5 17 6" xfId="891" xr:uid="{00000000-0005-0000-0000-00006E030000}"/>
    <cellStyle name="40% - Énfasis5 18" xfId="892" xr:uid="{00000000-0005-0000-0000-00006F030000}"/>
    <cellStyle name="40% - Énfasis5 19" xfId="893" xr:uid="{00000000-0005-0000-0000-000070030000}"/>
    <cellStyle name="40% - Énfasis5 2" xfId="894" xr:uid="{00000000-0005-0000-0000-000071030000}"/>
    <cellStyle name="40% - Énfasis5 2 10" xfId="895" xr:uid="{00000000-0005-0000-0000-000072030000}"/>
    <cellStyle name="40% - Énfasis5 2 11" xfId="896" xr:uid="{00000000-0005-0000-0000-000073030000}"/>
    <cellStyle name="40% - Énfasis5 2 12" xfId="897" xr:uid="{00000000-0005-0000-0000-000074030000}"/>
    <cellStyle name="40% - Énfasis5 2 13" xfId="898" xr:uid="{00000000-0005-0000-0000-000075030000}"/>
    <cellStyle name="40% - Énfasis5 2 14" xfId="899" xr:uid="{00000000-0005-0000-0000-000076030000}"/>
    <cellStyle name="40% - Énfasis5 2 15" xfId="900" xr:uid="{00000000-0005-0000-0000-000077030000}"/>
    <cellStyle name="40% - Énfasis5 2 16" xfId="901" xr:uid="{00000000-0005-0000-0000-000078030000}"/>
    <cellStyle name="40% - Énfasis5 2 17" xfId="902" xr:uid="{00000000-0005-0000-0000-000079030000}"/>
    <cellStyle name="40% - Énfasis5 2 18" xfId="903" xr:uid="{00000000-0005-0000-0000-00007A030000}"/>
    <cellStyle name="40% - Énfasis5 2 19" xfId="904" xr:uid="{00000000-0005-0000-0000-00007B030000}"/>
    <cellStyle name="40% - Énfasis5 2 2" xfId="905" xr:uid="{00000000-0005-0000-0000-00007C030000}"/>
    <cellStyle name="40% - Énfasis5 2 20" xfId="3507" xr:uid="{00000000-0005-0000-0000-00007D030000}"/>
    <cellStyle name="40% - Énfasis5 2 3" xfId="906" xr:uid="{00000000-0005-0000-0000-00007E030000}"/>
    <cellStyle name="40% - Énfasis5 2 4" xfId="907" xr:uid="{00000000-0005-0000-0000-00007F030000}"/>
    <cellStyle name="40% - Énfasis5 2 5" xfId="908" xr:uid="{00000000-0005-0000-0000-000080030000}"/>
    <cellStyle name="40% - Énfasis5 2 6" xfId="909" xr:uid="{00000000-0005-0000-0000-000081030000}"/>
    <cellStyle name="40% - Énfasis5 2 7" xfId="910" xr:uid="{00000000-0005-0000-0000-000082030000}"/>
    <cellStyle name="40% - Énfasis5 2 8" xfId="911" xr:uid="{00000000-0005-0000-0000-000083030000}"/>
    <cellStyle name="40% - Énfasis5 2 9" xfId="912" xr:uid="{00000000-0005-0000-0000-000084030000}"/>
    <cellStyle name="40% - Énfasis5 20" xfId="913" xr:uid="{00000000-0005-0000-0000-000085030000}"/>
    <cellStyle name="40% - Énfasis5 21" xfId="914" xr:uid="{00000000-0005-0000-0000-000086030000}"/>
    <cellStyle name="40% - Énfasis5 22" xfId="915" xr:uid="{00000000-0005-0000-0000-000087030000}"/>
    <cellStyle name="40% - Énfasis5 23" xfId="916" xr:uid="{00000000-0005-0000-0000-000088030000}"/>
    <cellStyle name="40% - Énfasis5 24" xfId="3506" xr:uid="{00000000-0005-0000-0000-000089030000}"/>
    <cellStyle name="40% - Énfasis5 3" xfId="917" xr:uid="{00000000-0005-0000-0000-00008A030000}"/>
    <cellStyle name="40% - Énfasis5 4" xfId="918" xr:uid="{00000000-0005-0000-0000-00008B030000}"/>
    <cellStyle name="40% - Énfasis5 5" xfId="919" xr:uid="{00000000-0005-0000-0000-00008C030000}"/>
    <cellStyle name="40% - Énfasis5 6" xfId="920" xr:uid="{00000000-0005-0000-0000-00008D030000}"/>
    <cellStyle name="40% - Énfasis5 7" xfId="921" xr:uid="{00000000-0005-0000-0000-00008E030000}"/>
    <cellStyle name="40% - Énfasis5 8" xfId="922" xr:uid="{00000000-0005-0000-0000-00008F030000}"/>
    <cellStyle name="40% - Énfasis5 9" xfId="923" xr:uid="{00000000-0005-0000-0000-000090030000}"/>
    <cellStyle name="40% - Énfasis6 10" xfId="924" xr:uid="{00000000-0005-0000-0000-000091030000}"/>
    <cellStyle name="40% - Énfasis6 11" xfId="925" xr:uid="{00000000-0005-0000-0000-000092030000}"/>
    <cellStyle name="40% - Énfasis6 11 2" xfId="926" xr:uid="{00000000-0005-0000-0000-000093030000}"/>
    <cellStyle name="40% - Énfasis6 11 3" xfId="927" xr:uid="{00000000-0005-0000-0000-000094030000}"/>
    <cellStyle name="40% - Énfasis6 11 4" xfId="928" xr:uid="{00000000-0005-0000-0000-000095030000}"/>
    <cellStyle name="40% - Énfasis6 11 5" xfId="929" xr:uid="{00000000-0005-0000-0000-000096030000}"/>
    <cellStyle name="40% - Énfasis6 11 6" xfId="930" xr:uid="{00000000-0005-0000-0000-000097030000}"/>
    <cellStyle name="40% - Énfasis6 11 7" xfId="931" xr:uid="{00000000-0005-0000-0000-000098030000}"/>
    <cellStyle name="40% - Énfasis6 12" xfId="932" xr:uid="{00000000-0005-0000-0000-000099030000}"/>
    <cellStyle name="40% - Énfasis6 12 2" xfId="933" xr:uid="{00000000-0005-0000-0000-00009A030000}"/>
    <cellStyle name="40% - Énfasis6 12 3" xfId="934" xr:uid="{00000000-0005-0000-0000-00009B030000}"/>
    <cellStyle name="40% - Énfasis6 12 4" xfId="935" xr:uid="{00000000-0005-0000-0000-00009C030000}"/>
    <cellStyle name="40% - Énfasis6 12 5" xfId="936" xr:uid="{00000000-0005-0000-0000-00009D030000}"/>
    <cellStyle name="40% - Énfasis6 12 6" xfId="937" xr:uid="{00000000-0005-0000-0000-00009E030000}"/>
    <cellStyle name="40% - Énfasis6 12 7" xfId="938" xr:uid="{00000000-0005-0000-0000-00009F030000}"/>
    <cellStyle name="40% - Énfasis6 13" xfId="939" xr:uid="{00000000-0005-0000-0000-0000A0030000}"/>
    <cellStyle name="40% - Énfasis6 13 2" xfId="940" xr:uid="{00000000-0005-0000-0000-0000A1030000}"/>
    <cellStyle name="40% - Énfasis6 13 3" xfId="941" xr:uid="{00000000-0005-0000-0000-0000A2030000}"/>
    <cellStyle name="40% - Énfasis6 13 4" xfId="942" xr:uid="{00000000-0005-0000-0000-0000A3030000}"/>
    <cellStyle name="40% - Énfasis6 13 5" xfId="943" xr:uid="{00000000-0005-0000-0000-0000A4030000}"/>
    <cellStyle name="40% - Énfasis6 13 6" xfId="944" xr:uid="{00000000-0005-0000-0000-0000A5030000}"/>
    <cellStyle name="40% - Énfasis6 13 7" xfId="945" xr:uid="{00000000-0005-0000-0000-0000A6030000}"/>
    <cellStyle name="40% - Énfasis6 14" xfId="946" xr:uid="{00000000-0005-0000-0000-0000A7030000}"/>
    <cellStyle name="40% - Énfasis6 14 2" xfId="947" xr:uid="{00000000-0005-0000-0000-0000A8030000}"/>
    <cellStyle name="40% - Énfasis6 14 3" xfId="948" xr:uid="{00000000-0005-0000-0000-0000A9030000}"/>
    <cellStyle name="40% - Énfasis6 14 4" xfId="949" xr:uid="{00000000-0005-0000-0000-0000AA030000}"/>
    <cellStyle name="40% - Énfasis6 14 5" xfId="950" xr:uid="{00000000-0005-0000-0000-0000AB030000}"/>
    <cellStyle name="40% - Énfasis6 14 6" xfId="951" xr:uid="{00000000-0005-0000-0000-0000AC030000}"/>
    <cellStyle name="40% - Énfasis6 14 7" xfId="952" xr:uid="{00000000-0005-0000-0000-0000AD030000}"/>
    <cellStyle name="40% - Énfasis6 15" xfId="953" xr:uid="{00000000-0005-0000-0000-0000AE030000}"/>
    <cellStyle name="40% - Énfasis6 15 2" xfId="954" xr:uid="{00000000-0005-0000-0000-0000AF030000}"/>
    <cellStyle name="40% - Énfasis6 15 3" xfId="955" xr:uid="{00000000-0005-0000-0000-0000B0030000}"/>
    <cellStyle name="40% - Énfasis6 15 4" xfId="956" xr:uid="{00000000-0005-0000-0000-0000B1030000}"/>
    <cellStyle name="40% - Énfasis6 15 5" xfId="957" xr:uid="{00000000-0005-0000-0000-0000B2030000}"/>
    <cellStyle name="40% - Énfasis6 15 6" xfId="958" xr:uid="{00000000-0005-0000-0000-0000B3030000}"/>
    <cellStyle name="40% - Énfasis6 15 7" xfId="959" xr:uid="{00000000-0005-0000-0000-0000B4030000}"/>
    <cellStyle name="40% - Énfasis6 16" xfId="960" xr:uid="{00000000-0005-0000-0000-0000B5030000}"/>
    <cellStyle name="40% - Énfasis6 16 2" xfId="961" xr:uid="{00000000-0005-0000-0000-0000B6030000}"/>
    <cellStyle name="40% - Énfasis6 16 3" xfId="962" xr:uid="{00000000-0005-0000-0000-0000B7030000}"/>
    <cellStyle name="40% - Énfasis6 16 4" xfId="963" xr:uid="{00000000-0005-0000-0000-0000B8030000}"/>
    <cellStyle name="40% - Énfasis6 16 5" xfId="964" xr:uid="{00000000-0005-0000-0000-0000B9030000}"/>
    <cellStyle name="40% - Énfasis6 16 6" xfId="965" xr:uid="{00000000-0005-0000-0000-0000BA030000}"/>
    <cellStyle name="40% - Énfasis6 16 7" xfId="966" xr:uid="{00000000-0005-0000-0000-0000BB030000}"/>
    <cellStyle name="40% - Énfasis6 17" xfId="967" xr:uid="{00000000-0005-0000-0000-0000BC030000}"/>
    <cellStyle name="40% - Énfasis6 17 2" xfId="968" xr:uid="{00000000-0005-0000-0000-0000BD030000}"/>
    <cellStyle name="40% - Énfasis6 17 3" xfId="969" xr:uid="{00000000-0005-0000-0000-0000BE030000}"/>
    <cellStyle name="40% - Énfasis6 17 4" xfId="970" xr:uid="{00000000-0005-0000-0000-0000BF030000}"/>
    <cellStyle name="40% - Énfasis6 17 5" xfId="971" xr:uid="{00000000-0005-0000-0000-0000C0030000}"/>
    <cellStyle name="40% - Énfasis6 17 6" xfId="972" xr:uid="{00000000-0005-0000-0000-0000C1030000}"/>
    <cellStyle name="40% - Énfasis6 18" xfId="973" xr:uid="{00000000-0005-0000-0000-0000C2030000}"/>
    <cellStyle name="40% - Énfasis6 19" xfId="974" xr:uid="{00000000-0005-0000-0000-0000C3030000}"/>
    <cellStyle name="40% - Énfasis6 2" xfId="975" xr:uid="{00000000-0005-0000-0000-0000C4030000}"/>
    <cellStyle name="40% - Énfasis6 2 10" xfId="976" xr:uid="{00000000-0005-0000-0000-0000C5030000}"/>
    <cellStyle name="40% - Énfasis6 2 11" xfId="977" xr:uid="{00000000-0005-0000-0000-0000C6030000}"/>
    <cellStyle name="40% - Énfasis6 2 12" xfId="978" xr:uid="{00000000-0005-0000-0000-0000C7030000}"/>
    <cellStyle name="40% - Énfasis6 2 13" xfId="979" xr:uid="{00000000-0005-0000-0000-0000C8030000}"/>
    <cellStyle name="40% - Énfasis6 2 14" xfId="980" xr:uid="{00000000-0005-0000-0000-0000C9030000}"/>
    <cellStyle name="40% - Énfasis6 2 15" xfId="981" xr:uid="{00000000-0005-0000-0000-0000CA030000}"/>
    <cellStyle name="40% - Énfasis6 2 16" xfId="982" xr:uid="{00000000-0005-0000-0000-0000CB030000}"/>
    <cellStyle name="40% - Énfasis6 2 17" xfId="983" xr:uid="{00000000-0005-0000-0000-0000CC030000}"/>
    <cellStyle name="40% - Énfasis6 2 18" xfId="984" xr:uid="{00000000-0005-0000-0000-0000CD030000}"/>
    <cellStyle name="40% - Énfasis6 2 19" xfId="985" xr:uid="{00000000-0005-0000-0000-0000CE030000}"/>
    <cellStyle name="40% - Énfasis6 2 2" xfId="986" xr:uid="{00000000-0005-0000-0000-0000CF030000}"/>
    <cellStyle name="40% - Énfasis6 2 20" xfId="3509" xr:uid="{00000000-0005-0000-0000-0000D0030000}"/>
    <cellStyle name="40% - Énfasis6 2 3" xfId="987" xr:uid="{00000000-0005-0000-0000-0000D1030000}"/>
    <cellStyle name="40% - Énfasis6 2 4" xfId="988" xr:uid="{00000000-0005-0000-0000-0000D2030000}"/>
    <cellStyle name="40% - Énfasis6 2 5" xfId="989" xr:uid="{00000000-0005-0000-0000-0000D3030000}"/>
    <cellStyle name="40% - Énfasis6 2 6" xfId="990" xr:uid="{00000000-0005-0000-0000-0000D4030000}"/>
    <cellStyle name="40% - Énfasis6 2 7" xfId="991" xr:uid="{00000000-0005-0000-0000-0000D5030000}"/>
    <cellStyle name="40% - Énfasis6 2 8" xfId="992" xr:uid="{00000000-0005-0000-0000-0000D6030000}"/>
    <cellStyle name="40% - Énfasis6 2 9" xfId="993" xr:uid="{00000000-0005-0000-0000-0000D7030000}"/>
    <cellStyle name="40% - Énfasis6 20" xfId="994" xr:uid="{00000000-0005-0000-0000-0000D8030000}"/>
    <cellStyle name="40% - Énfasis6 21" xfId="995" xr:uid="{00000000-0005-0000-0000-0000D9030000}"/>
    <cellStyle name="40% - Énfasis6 22" xfId="996" xr:uid="{00000000-0005-0000-0000-0000DA030000}"/>
    <cellStyle name="40% - Énfasis6 23" xfId="997" xr:uid="{00000000-0005-0000-0000-0000DB030000}"/>
    <cellStyle name="40% - Énfasis6 24" xfId="3508" xr:uid="{00000000-0005-0000-0000-0000DC030000}"/>
    <cellStyle name="40% - Énfasis6 3" xfId="998" xr:uid="{00000000-0005-0000-0000-0000DD030000}"/>
    <cellStyle name="40% - Énfasis6 4" xfId="999" xr:uid="{00000000-0005-0000-0000-0000DE030000}"/>
    <cellStyle name="40% - Énfasis6 5" xfId="1000" xr:uid="{00000000-0005-0000-0000-0000DF030000}"/>
    <cellStyle name="40% - Énfasis6 6" xfId="1001" xr:uid="{00000000-0005-0000-0000-0000E0030000}"/>
    <cellStyle name="40% - Énfasis6 7" xfId="1002" xr:uid="{00000000-0005-0000-0000-0000E1030000}"/>
    <cellStyle name="40% - Énfasis6 8" xfId="1003" xr:uid="{00000000-0005-0000-0000-0000E2030000}"/>
    <cellStyle name="40% - Énfasis6 9" xfId="1004" xr:uid="{00000000-0005-0000-0000-0000E3030000}"/>
    <cellStyle name="60% - Énfasis1 10" xfId="1005" xr:uid="{00000000-0005-0000-0000-0000E4030000}"/>
    <cellStyle name="60% - Énfasis1 11" xfId="1006" xr:uid="{00000000-0005-0000-0000-0000E5030000}"/>
    <cellStyle name="60% - Énfasis1 11 2" xfId="1007" xr:uid="{00000000-0005-0000-0000-0000E6030000}"/>
    <cellStyle name="60% - Énfasis1 11 3" xfId="1008" xr:uid="{00000000-0005-0000-0000-0000E7030000}"/>
    <cellStyle name="60% - Énfasis1 11 4" xfId="1009" xr:uid="{00000000-0005-0000-0000-0000E8030000}"/>
    <cellStyle name="60% - Énfasis1 11 5" xfId="1010" xr:uid="{00000000-0005-0000-0000-0000E9030000}"/>
    <cellStyle name="60% - Énfasis1 11 6" xfId="1011" xr:uid="{00000000-0005-0000-0000-0000EA030000}"/>
    <cellStyle name="60% - Énfasis1 11 7" xfId="1012" xr:uid="{00000000-0005-0000-0000-0000EB030000}"/>
    <cellStyle name="60% - Énfasis1 12" xfId="1013" xr:uid="{00000000-0005-0000-0000-0000EC030000}"/>
    <cellStyle name="60% - Énfasis1 12 2" xfId="1014" xr:uid="{00000000-0005-0000-0000-0000ED030000}"/>
    <cellStyle name="60% - Énfasis1 12 3" xfId="1015" xr:uid="{00000000-0005-0000-0000-0000EE030000}"/>
    <cellStyle name="60% - Énfasis1 12 4" xfId="1016" xr:uid="{00000000-0005-0000-0000-0000EF030000}"/>
    <cellStyle name="60% - Énfasis1 12 5" xfId="1017" xr:uid="{00000000-0005-0000-0000-0000F0030000}"/>
    <cellStyle name="60% - Énfasis1 12 6" xfId="1018" xr:uid="{00000000-0005-0000-0000-0000F1030000}"/>
    <cellStyle name="60% - Énfasis1 12 7" xfId="1019" xr:uid="{00000000-0005-0000-0000-0000F2030000}"/>
    <cellStyle name="60% - Énfasis1 13" xfId="1020" xr:uid="{00000000-0005-0000-0000-0000F3030000}"/>
    <cellStyle name="60% - Énfasis1 13 2" xfId="1021" xr:uid="{00000000-0005-0000-0000-0000F4030000}"/>
    <cellStyle name="60% - Énfasis1 13 3" xfId="1022" xr:uid="{00000000-0005-0000-0000-0000F5030000}"/>
    <cellStyle name="60% - Énfasis1 13 4" xfId="1023" xr:uid="{00000000-0005-0000-0000-0000F6030000}"/>
    <cellStyle name="60% - Énfasis1 13 5" xfId="1024" xr:uid="{00000000-0005-0000-0000-0000F7030000}"/>
    <cellStyle name="60% - Énfasis1 13 6" xfId="1025" xr:uid="{00000000-0005-0000-0000-0000F8030000}"/>
    <cellStyle name="60% - Énfasis1 13 7" xfId="1026" xr:uid="{00000000-0005-0000-0000-0000F9030000}"/>
    <cellStyle name="60% - Énfasis1 14" xfId="1027" xr:uid="{00000000-0005-0000-0000-0000FA030000}"/>
    <cellStyle name="60% - Énfasis1 14 2" xfId="1028" xr:uid="{00000000-0005-0000-0000-0000FB030000}"/>
    <cellStyle name="60% - Énfasis1 14 3" xfId="1029" xr:uid="{00000000-0005-0000-0000-0000FC030000}"/>
    <cellStyle name="60% - Énfasis1 14 4" xfId="1030" xr:uid="{00000000-0005-0000-0000-0000FD030000}"/>
    <cellStyle name="60% - Énfasis1 14 5" xfId="1031" xr:uid="{00000000-0005-0000-0000-0000FE030000}"/>
    <cellStyle name="60% - Énfasis1 14 6" xfId="1032" xr:uid="{00000000-0005-0000-0000-0000FF030000}"/>
    <cellStyle name="60% - Énfasis1 14 7" xfId="1033" xr:uid="{00000000-0005-0000-0000-000000040000}"/>
    <cellStyle name="60% - Énfasis1 15" xfId="1034" xr:uid="{00000000-0005-0000-0000-000001040000}"/>
    <cellStyle name="60% - Énfasis1 15 2" xfId="1035" xr:uid="{00000000-0005-0000-0000-000002040000}"/>
    <cellStyle name="60% - Énfasis1 15 3" xfId="1036" xr:uid="{00000000-0005-0000-0000-000003040000}"/>
    <cellStyle name="60% - Énfasis1 15 4" xfId="1037" xr:uid="{00000000-0005-0000-0000-000004040000}"/>
    <cellStyle name="60% - Énfasis1 15 5" xfId="1038" xr:uid="{00000000-0005-0000-0000-000005040000}"/>
    <cellStyle name="60% - Énfasis1 15 6" xfId="1039" xr:uid="{00000000-0005-0000-0000-000006040000}"/>
    <cellStyle name="60% - Énfasis1 15 7" xfId="1040" xr:uid="{00000000-0005-0000-0000-000007040000}"/>
    <cellStyle name="60% - Énfasis1 16" xfId="1041" xr:uid="{00000000-0005-0000-0000-000008040000}"/>
    <cellStyle name="60% - Énfasis1 16 2" xfId="1042" xr:uid="{00000000-0005-0000-0000-000009040000}"/>
    <cellStyle name="60% - Énfasis1 16 3" xfId="1043" xr:uid="{00000000-0005-0000-0000-00000A040000}"/>
    <cellStyle name="60% - Énfasis1 16 4" xfId="1044" xr:uid="{00000000-0005-0000-0000-00000B040000}"/>
    <cellStyle name="60% - Énfasis1 16 5" xfId="1045" xr:uid="{00000000-0005-0000-0000-00000C040000}"/>
    <cellStyle name="60% - Énfasis1 16 6" xfId="1046" xr:uid="{00000000-0005-0000-0000-00000D040000}"/>
    <cellStyle name="60% - Énfasis1 16 7" xfId="1047" xr:uid="{00000000-0005-0000-0000-00000E040000}"/>
    <cellStyle name="60% - Énfasis1 17" xfId="1048" xr:uid="{00000000-0005-0000-0000-00000F040000}"/>
    <cellStyle name="60% - Énfasis1 17 2" xfId="1049" xr:uid="{00000000-0005-0000-0000-000010040000}"/>
    <cellStyle name="60% - Énfasis1 17 3" xfId="1050" xr:uid="{00000000-0005-0000-0000-000011040000}"/>
    <cellStyle name="60% - Énfasis1 17 4" xfId="1051" xr:uid="{00000000-0005-0000-0000-000012040000}"/>
    <cellStyle name="60% - Énfasis1 17 5" xfId="1052" xr:uid="{00000000-0005-0000-0000-000013040000}"/>
    <cellStyle name="60% - Énfasis1 17 6" xfId="1053" xr:uid="{00000000-0005-0000-0000-000014040000}"/>
    <cellStyle name="60% - Énfasis1 18" xfId="1054" xr:uid="{00000000-0005-0000-0000-000015040000}"/>
    <cellStyle name="60% - Énfasis1 19" xfId="1055" xr:uid="{00000000-0005-0000-0000-000016040000}"/>
    <cellStyle name="60% - Énfasis1 2" xfId="1056" xr:uid="{00000000-0005-0000-0000-000017040000}"/>
    <cellStyle name="60% - Énfasis1 2 10" xfId="1057" xr:uid="{00000000-0005-0000-0000-000018040000}"/>
    <cellStyle name="60% - Énfasis1 2 11" xfId="1058" xr:uid="{00000000-0005-0000-0000-000019040000}"/>
    <cellStyle name="60% - Énfasis1 2 12" xfId="1059" xr:uid="{00000000-0005-0000-0000-00001A040000}"/>
    <cellStyle name="60% - Énfasis1 2 13" xfId="1060" xr:uid="{00000000-0005-0000-0000-00001B040000}"/>
    <cellStyle name="60% - Énfasis1 2 14" xfId="1061" xr:uid="{00000000-0005-0000-0000-00001C040000}"/>
    <cellStyle name="60% - Énfasis1 2 15" xfId="1062" xr:uid="{00000000-0005-0000-0000-00001D040000}"/>
    <cellStyle name="60% - Énfasis1 2 16" xfId="1063" xr:uid="{00000000-0005-0000-0000-00001E040000}"/>
    <cellStyle name="60% - Énfasis1 2 17" xfId="1064" xr:uid="{00000000-0005-0000-0000-00001F040000}"/>
    <cellStyle name="60% - Énfasis1 2 18" xfId="1065" xr:uid="{00000000-0005-0000-0000-000020040000}"/>
    <cellStyle name="60% - Énfasis1 2 19" xfId="1066" xr:uid="{00000000-0005-0000-0000-000021040000}"/>
    <cellStyle name="60% - Énfasis1 2 2" xfId="1067" xr:uid="{00000000-0005-0000-0000-000022040000}"/>
    <cellStyle name="60% - Énfasis1 2 20" xfId="3511" xr:uid="{00000000-0005-0000-0000-000023040000}"/>
    <cellStyle name="60% - Énfasis1 2 3" xfId="1068" xr:uid="{00000000-0005-0000-0000-000024040000}"/>
    <cellStyle name="60% - Énfasis1 2 4" xfId="1069" xr:uid="{00000000-0005-0000-0000-000025040000}"/>
    <cellStyle name="60% - Énfasis1 2 5" xfId="1070" xr:uid="{00000000-0005-0000-0000-000026040000}"/>
    <cellStyle name="60% - Énfasis1 2 6" xfId="1071" xr:uid="{00000000-0005-0000-0000-000027040000}"/>
    <cellStyle name="60% - Énfasis1 2 7" xfId="1072" xr:uid="{00000000-0005-0000-0000-000028040000}"/>
    <cellStyle name="60% - Énfasis1 2 8" xfId="1073" xr:uid="{00000000-0005-0000-0000-000029040000}"/>
    <cellStyle name="60% - Énfasis1 2 9" xfId="1074" xr:uid="{00000000-0005-0000-0000-00002A040000}"/>
    <cellStyle name="60% - Énfasis1 20" xfId="1075" xr:uid="{00000000-0005-0000-0000-00002B040000}"/>
    <cellStyle name="60% - Énfasis1 21" xfId="1076" xr:uid="{00000000-0005-0000-0000-00002C040000}"/>
    <cellStyle name="60% - Énfasis1 22" xfId="1077" xr:uid="{00000000-0005-0000-0000-00002D040000}"/>
    <cellStyle name="60% - Énfasis1 23" xfId="1078" xr:uid="{00000000-0005-0000-0000-00002E040000}"/>
    <cellStyle name="60% - Énfasis1 24" xfId="3510" xr:uid="{00000000-0005-0000-0000-00002F040000}"/>
    <cellStyle name="60% - Énfasis1 3" xfId="1079" xr:uid="{00000000-0005-0000-0000-000030040000}"/>
    <cellStyle name="60% - Énfasis1 3 2" xfId="3512" xr:uid="{00000000-0005-0000-0000-000031040000}"/>
    <cellStyle name="60% - Énfasis1 4" xfId="1080" xr:uid="{00000000-0005-0000-0000-000032040000}"/>
    <cellStyle name="60% - Énfasis1 5" xfId="1081" xr:uid="{00000000-0005-0000-0000-000033040000}"/>
    <cellStyle name="60% - Énfasis1 6" xfId="1082" xr:uid="{00000000-0005-0000-0000-000034040000}"/>
    <cellStyle name="60% - Énfasis1 7" xfId="1083" xr:uid="{00000000-0005-0000-0000-000035040000}"/>
    <cellStyle name="60% - Énfasis1 8" xfId="1084" xr:uid="{00000000-0005-0000-0000-000036040000}"/>
    <cellStyle name="60% - Énfasis1 9" xfId="1085" xr:uid="{00000000-0005-0000-0000-000037040000}"/>
    <cellStyle name="60% - Énfasis2 10" xfId="1086" xr:uid="{00000000-0005-0000-0000-000038040000}"/>
    <cellStyle name="60% - Énfasis2 11" xfId="1087" xr:uid="{00000000-0005-0000-0000-000039040000}"/>
    <cellStyle name="60% - Énfasis2 11 2" xfId="1088" xr:uid="{00000000-0005-0000-0000-00003A040000}"/>
    <cellStyle name="60% - Énfasis2 11 3" xfId="1089" xr:uid="{00000000-0005-0000-0000-00003B040000}"/>
    <cellStyle name="60% - Énfasis2 11 4" xfId="1090" xr:uid="{00000000-0005-0000-0000-00003C040000}"/>
    <cellStyle name="60% - Énfasis2 11 5" xfId="1091" xr:uid="{00000000-0005-0000-0000-00003D040000}"/>
    <cellStyle name="60% - Énfasis2 11 6" xfId="1092" xr:uid="{00000000-0005-0000-0000-00003E040000}"/>
    <cellStyle name="60% - Énfasis2 11 7" xfId="1093" xr:uid="{00000000-0005-0000-0000-00003F040000}"/>
    <cellStyle name="60% - Énfasis2 12" xfId="1094" xr:uid="{00000000-0005-0000-0000-000040040000}"/>
    <cellStyle name="60% - Énfasis2 12 2" xfId="1095" xr:uid="{00000000-0005-0000-0000-000041040000}"/>
    <cellStyle name="60% - Énfasis2 12 3" xfId="1096" xr:uid="{00000000-0005-0000-0000-000042040000}"/>
    <cellStyle name="60% - Énfasis2 12 4" xfId="1097" xr:uid="{00000000-0005-0000-0000-000043040000}"/>
    <cellStyle name="60% - Énfasis2 12 5" xfId="1098" xr:uid="{00000000-0005-0000-0000-000044040000}"/>
    <cellStyle name="60% - Énfasis2 12 6" xfId="1099" xr:uid="{00000000-0005-0000-0000-000045040000}"/>
    <cellStyle name="60% - Énfasis2 12 7" xfId="1100" xr:uid="{00000000-0005-0000-0000-000046040000}"/>
    <cellStyle name="60% - Énfasis2 13" xfId="1101" xr:uid="{00000000-0005-0000-0000-000047040000}"/>
    <cellStyle name="60% - Énfasis2 13 2" xfId="1102" xr:uid="{00000000-0005-0000-0000-000048040000}"/>
    <cellStyle name="60% - Énfasis2 13 3" xfId="1103" xr:uid="{00000000-0005-0000-0000-000049040000}"/>
    <cellStyle name="60% - Énfasis2 13 4" xfId="1104" xr:uid="{00000000-0005-0000-0000-00004A040000}"/>
    <cellStyle name="60% - Énfasis2 13 5" xfId="1105" xr:uid="{00000000-0005-0000-0000-00004B040000}"/>
    <cellStyle name="60% - Énfasis2 13 6" xfId="1106" xr:uid="{00000000-0005-0000-0000-00004C040000}"/>
    <cellStyle name="60% - Énfasis2 13 7" xfId="1107" xr:uid="{00000000-0005-0000-0000-00004D040000}"/>
    <cellStyle name="60% - Énfasis2 14" xfId="1108" xr:uid="{00000000-0005-0000-0000-00004E040000}"/>
    <cellStyle name="60% - Énfasis2 14 2" xfId="1109" xr:uid="{00000000-0005-0000-0000-00004F040000}"/>
    <cellStyle name="60% - Énfasis2 14 3" xfId="1110" xr:uid="{00000000-0005-0000-0000-000050040000}"/>
    <cellStyle name="60% - Énfasis2 14 4" xfId="1111" xr:uid="{00000000-0005-0000-0000-000051040000}"/>
    <cellStyle name="60% - Énfasis2 14 5" xfId="1112" xr:uid="{00000000-0005-0000-0000-000052040000}"/>
    <cellStyle name="60% - Énfasis2 14 6" xfId="1113" xr:uid="{00000000-0005-0000-0000-000053040000}"/>
    <cellStyle name="60% - Énfasis2 14 7" xfId="1114" xr:uid="{00000000-0005-0000-0000-000054040000}"/>
    <cellStyle name="60% - Énfasis2 15" xfId="1115" xr:uid="{00000000-0005-0000-0000-000055040000}"/>
    <cellStyle name="60% - Énfasis2 15 2" xfId="1116" xr:uid="{00000000-0005-0000-0000-000056040000}"/>
    <cellStyle name="60% - Énfasis2 15 3" xfId="1117" xr:uid="{00000000-0005-0000-0000-000057040000}"/>
    <cellStyle name="60% - Énfasis2 15 4" xfId="1118" xr:uid="{00000000-0005-0000-0000-000058040000}"/>
    <cellStyle name="60% - Énfasis2 15 5" xfId="1119" xr:uid="{00000000-0005-0000-0000-000059040000}"/>
    <cellStyle name="60% - Énfasis2 15 6" xfId="1120" xr:uid="{00000000-0005-0000-0000-00005A040000}"/>
    <cellStyle name="60% - Énfasis2 15 7" xfId="1121" xr:uid="{00000000-0005-0000-0000-00005B040000}"/>
    <cellStyle name="60% - Énfasis2 16" xfId="1122" xr:uid="{00000000-0005-0000-0000-00005C040000}"/>
    <cellStyle name="60% - Énfasis2 16 2" xfId="1123" xr:uid="{00000000-0005-0000-0000-00005D040000}"/>
    <cellStyle name="60% - Énfasis2 16 3" xfId="1124" xr:uid="{00000000-0005-0000-0000-00005E040000}"/>
    <cellStyle name="60% - Énfasis2 16 4" xfId="1125" xr:uid="{00000000-0005-0000-0000-00005F040000}"/>
    <cellStyle name="60% - Énfasis2 16 5" xfId="1126" xr:uid="{00000000-0005-0000-0000-000060040000}"/>
    <cellStyle name="60% - Énfasis2 16 6" xfId="1127" xr:uid="{00000000-0005-0000-0000-000061040000}"/>
    <cellStyle name="60% - Énfasis2 16 7" xfId="1128" xr:uid="{00000000-0005-0000-0000-000062040000}"/>
    <cellStyle name="60% - Énfasis2 17" xfId="1129" xr:uid="{00000000-0005-0000-0000-000063040000}"/>
    <cellStyle name="60% - Énfasis2 17 2" xfId="1130" xr:uid="{00000000-0005-0000-0000-000064040000}"/>
    <cellStyle name="60% - Énfasis2 17 3" xfId="1131" xr:uid="{00000000-0005-0000-0000-000065040000}"/>
    <cellStyle name="60% - Énfasis2 17 4" xfId="1132" xr:uid="{00000000-0005-0000-0000-000066040000}"/>
    <cellStyle name="60% - Énfasis2 17 5" xfId="1133" xr:uid="{00000000-0005-0000-0000-000067040000}"/>
    <cellStyle name="60% - Énfasis2 17 6" xfId="1134" xr:uid="{00000000-0005-0000-0000-000068040000}"/>
    <cellStyle name="60% - Énfasis2 18" xfId="1135" xr:uid="{00000000-0005-0000-0000-000069040000}"/>
    <cellStyle name="60% - Énfasis2 19" xfId="1136" xr:uid="{00000000-0005-0000-0000-00006A040000}"/>
    <cellStyle name="60% - Énfasis2 2" xfId="1137" xr:uid="{00000000-0005-0000-0000-00006B040000}"/>
    <cellStyle name="60% - Énfasis2 2 10" xfId="1138" xr:uid="{00000000-0005-0000-0000-00006C040000}"/>
    <cellStyle name="60% - Énfasis2 2 11" xfId="1139" xr:uid="{00000000-0005-0000-0000-00006D040000}"/>
    <cellStyle name="60% - Énfasis2 2 12" xfId="1140" xr:uid="{00000000-0005-0000-0000-00006E040000}"/>
    <cellStyle name="60% - Énfasis2 2 13" xfId="1141" xr:uid="{00000000-0005-0000-0000-00006F040000}"/>
    <cellStyle name="60% - Énfasis2 2 14" xfId="1142" xr:uid="{00000000-0005-0000-0000-000070040000}"/>
    <cellStyle name="60% - Énfasis2 2 15" xfId="1143" xr:uid="{00000000-0005-0000-0000-000071040000}"/>
    <cellStyle name="60% - Énfasis2 2 16" xfId="1144" xr:uid="{00000000-0005-0000-0000-000072040000}"/>
    <cellStyle name="60% - Énfasis2 2 17" xfId="1145" xr:uid="{00000000-0005-0000-0000-000073040000}"/>
    <cellStyle name="60% - Énfasis2 2 18" xfId="1146" xr:uid="{00000000-0005-0000-0000-000074040000}"/>
    <cellStyle name="60% - Énfasis2 2 19" xfId="1147" xr:uid="{00000000-0005-0000-0000-000075040000}"/>
    <cellStyle name="60% - Énfasis2 2 2" xfId="1148" xr:uid="{00000000-0005-0000-0000-000076040000}"/>
    <cellStyle name="60% - Énfasis2 2 20" xfId="3514" xr:uid="{00000000-0005-0000-0000-000077040000}"/>
    <cellStyle name="60% - Énfasis2 2 3" xfId="1149" xr:uid="{00000000-0005-0000-0000-000078040000}"/>
    <cellStyle name="60% - Énfasis2 2 4" xfId="1150" xr:uid="{00000000-0005-0000-0000-000079040000}"/>
    <cellStyle name="60% - Énfasis2 2 5" xfId="1151" xr:uid="{00000000-0005-0000-0000-00007A040000}"/>
    <cellStyle name="60% - Énfasis2 2 6" xfId="1152" xr:uid="{00000000-0005-0000-0000-00007B040000}"/>
    <cellStyle name="60% - Énfasis2 2 7" xfId="1153" xr:uid="{00000000-0005-0000-0000-00007C040000}"/>
    <cellStyle name="60% - Énfasis2 2 8" xfId="1154" xr:uid="{00000000-0005-0000-0000-00007D040000}"/>
    <cellStyle name="60% - Énfasis2 2 9" xfId="1155" xr:uid="{00000000-0005-0000-0000-00007E040000}"/>
    <cellStyle name="60% - Énfasis2 20" xfId="1156" xr:uid="{00000000-0005-0000-0000-00007F040000}"/>
    <cellStyle name="60% - Énfasis2 21" xfId="1157" xr:uid="{00000000-0005-0000-0000-000080040000}"/>
    <cellStyle name="60% - Énfasis2 22" xfId="1158" xr:uid="{00000000-0005-0000-0000-000081040000}"/>
    <cellStyle name="60% - Énfasis2 23" xfId="1159" xr:uid="{00000000-0005-0000-0000-000082040000}"/>
    <cellStyle name="60% - Énfasis2 24" xfId="3513" xr:uid="{00000000-0005-0000-0000-000083040000}"/>
    <cellStyle name="60% - Énfasis2 3" xfId="1160" xr:uid="{00000000-0005-0000-0000-000084040000}"/>
    <cellStyle name="60% - Énfasis2 3 2" xfId="3515" xr:uid="{00000000-0005-0000-0000-000085040000}"/>
    <cellStyle name="60% - Énfasis2 4" xfId="1161" xr:uid="{00000000-0005-0000-0000-000086040000}"/>
    <cellStyle name="60% - Énfasis2 5" xfId="1162" xr:uid="{00000000-0005-0000-0000-000087040000}"/>
    <cellStyle name="60% - Énfasis2 6" xfId="1163" xr:uid="{00000000-0005-0000-0000-000088040000}"/>
    <cellStyle name="60% - Énfasis2 7" xfId="1164" xr:uid="{00000000-0005-0000-0000-000089040000}"/>
    <cellStyle name="60% - Énfasis2 8" xfId="1165" xr:uid="{00000000-0005-0000-0000-00008A040000}"/>
    <cellStyle name="60% - Énfasis2 9" xfId="1166" xr:uid="{00000000-0005-0000-0000-00008B040000}"/>
    <cellStyle name="60% - Énfasis3 10" xfId="1167" xr:uid="{00000000-0005-0000-0000-00008C040000}"/>
    <cellStyle name="60% - Énfasis3 11" xfId="1168" xr:uid="{00000000-0005-0000-0000-00008D040000}"/>
    <cellStyle name="60% - Énfasis3 11 2" xfId="1169" xr:uid="{00000000-0005-0000-0000-00008E040000}"/>
    <cellStyle name="60% - Énfasis3 11 3" xfId="1170" xr:uid="{00000000-0005-0000-0000-00008F040000}"/>
    <cellStyle name="60% - Énfasis3 11 4" xfId="1171" xr:uid="{00000000-0005-0000-0000-000090040000}"/>
    <cellStyle name="60% - Énfasis3 11 5" xfId="1172" xr:uid="{00000000-0005-0000-0000-000091040000}"/>
    <cellStyle name="60% - Énfasis3 11 6" xfId="1173" xr:uid="{00000000-0005-0000-0000-000092040000}"/>
    <cellStyle name="60% - Énfasis3 11 7" xfId="1174" xr:uid="{00000000-0005-0000-0000-000093040000}"/>
    <cellStyle name="60% - Énfasis3 12" xfId="1175" xr:uid="{00000000-0005-0000-0000-000094040000}"/>
    <cellStyle name="60% - Énfasis3 12 2" xfId="1176" xr:uid="{00000000-0005-0000-0000-000095040000}"/>
    <cellStyle name="60% - Énfasis3 12 3" xfId="1177" xr:uid="{00000000-0005-0000-0000-000096040000}"/>
    <cellStyle name="60% - Énfasis3 12 4" xfId="1178" xr:uid="{00000000-0005-0000-0000-000097040000}"/>
    <cellStyle name="60% - Énfasis3 12 5" xfId="1179" xr:uid="{00000000-0005-0000-0000-000098040000}"/>
    <cellStyle name="60% - Énfasis3 12 6" xfId="1180" xr:uid="{00000000-0005-0000-0000-000099040000}"/>
    <cellStyle name="60% - Énfasis3 12 7" xfId="1181" xr:uid="{00000000-0005-0000-0000-00009A040000}"/>
    <cellStyle name="60% - Énfasis3 13" xfId="1182" xr:uid="{00000000-0005-0000-0000-00009B040000}"/>
    <cellStyle name="60% - Énfasis3 13 2" xfId="1183" xr:uid="{00000000-0005-0000-0000-00009C040000}"/>
    <cellStyle name="60% - Énfasis3 13 3" xfId="1184" xr:uid="{00000000-0005-0000-0000-00009D040000}"/>
    <cellStyle name="60% - Énfasis3 13 4" xfId="1185" xr:uid="{00000000-0005-0000-0000-00009E040000}"/>
    <cellStyle name="60% - Énfasis3 13 5" xfId="1186" xr:uid="{00000000-0005-0000-0000-00009F040000}"/>
    <cellStyle name="60% - Énfasis3 13 6" xfId="1187" xr:uid="{00000000-0005-0000-0000-0000A0040000}"/>
    <cellStyle name="60% - Énfasis3 13 7" xfId="1188" xr:uid="{00000000-0005-0000-0000-0000A1040000}"/>
    <cellStyle name="60% - Énfasis3 14" xfId="1189" xr:uid="{00000000-0005-0000-0000-0000A2040000}"/>
    <cellStyle name="60% - Énfasis3 14 2" xfId="1190" xr:uid="{00000000-0005-0000-0000-0000A3040000}"/>
    <cellStyle name="60% - Énfasis3 14 3" xfId="1191" xr:uid="{00000000-0005-0000-0000-0000A4040000}"/>
    <cellStyle name="60% - Énfasis3 14 4" xfId="1192" xr:uid="{00000000-0005-0000-0000-0000A5040000}"/>
    <cellStyle name="60% - Énfasis3 14 5" xfId="1193" xr:uid="{00000000-0005-0000-0000-0000A6040000}"/>
    <cellStyle name="60% - Énfasis3 14 6" xfId="1194" xr:uid="{00000000-0005-0000-0000-0000A7040000}"/>
    <cellStyle name="60% - Énfasis3 14 7" xfId="1195" xr:uid="{00000000-0005-0000-0000-0000A8040000}"/>
    <cellStyle name="60% - Énfasis3 15" xfId="1196" xr:uid="{00000000-0005-0000-0000-0000A9040000}"/>
    <cellStyle name="60% - Énfasis3 15 2" xfId="1197" xr:uid="{00000000-0005-0000-0000-0000AA040000}"/>
    <cellStyle name="60% - Énfasis3 15 3" xfId="1198" xr:uid="{00000000-0005-0000-0000-0000AB040000}"/>
    <cellStyle name="60% - Énfasis3 15 4" xfId="1199" xr:uid="{00000000-0005-0000-0000-0000AC040000}"/>
    <cellStyle name="60% - Énfasis3 15 5" xfId="1200" xr:uid="{00000000-0005-0000-0000-0000AD040000}"/>
    <cellStyle name="60% - Énfasis3 15 6" xfId="1201" xr:uid="{00000000-0005-0000-0000-0000AE040000}"/>
    <cellStyle name="60% - Énfasis3 15 7" xfId="1202" xr:uid="{00000000-0005-0000-0000-0000AF040000}"/>
    <cellStyle name="60% - Énfasis3 16" xfId="1203" xr:uid="{00000000-0005-0000-0000-0000B0040000}"/>
    <cellStyle name="60% - Énfasis3 16 2" xfId="1204" xr:uid="{00000000-0005-0000-0000-0000B1040000}"/>
    <cellStyle name="60% - Énfasis3 16 3" xfId="1205" xr:uid="{00000000-0005-0000-0000-0000B2040000}"/>
    <cellStyle name="60% - Énfasis3 16 4" xfId="1206" xr:uid="{00000000-0005-0000-0000-0000B3040000}"/>
    <cellStyle name="60% - Énfasis3 16 5" xfId="1207" xr:uid="{00000000-0005-0000-0000-0000B4040000}"/>
    <cellStyle name="60% - Énfasis3 16 6" xfId="1208" xr:uid="{00000000-0005-0000-0000-0000B5040000}"/>
    <cellStyle name="60% - Énfasis3 16 7" xfId="1209" xr:uid="{00000000-0005-0000-0000-0000B6040000}"/>
    <cellStyle name="60% - Énfasis3 17" xfId="1210" xr:uid="{00000000-0005-0000-0000-0000B7040000}"/>
    <cellStyle name="60% - Énfasis3 17 2" xfId="1211" xr:uid="{00000000-0005-0000-0000-0000B8040000}"/>
    <cellStyle name="60% - Énfasis3 17 3" xfId="1212" xr:uid="{00000000-0005-0000-0000-0000B9040000}"/>
    <cellStyle name="60% - Énfasis3 17 4" xfId="1213" xr:uid="{00000000-0005-0000-0000-0000BA040000}"/>
    <cellStyle name="60% - Énfasis3 17 5" xfId="1214" xr:uid="{00000000-0005-0000-0000-0000BB040000}"/>
    <cellStyle name="60% - Énfasis3 17 6" xfId="1215" xr:uid="{00000000-0005-0000-0000-0000BC040000}"/>
    <cellStyle name="60% - Énfasis3 18" xfId="1216" xr:uid="{00000000-0005-0000-0000-0000BD040000}"/>
    <cellStyle name="60% - Énfasis3 19" xfId="1217" xr:uid="{00000000-0005-0000-0000-0000BE040000}"/>
    <cellStyle name="60% - Énfasis3 2" xfId="1218" xr:uid="{00000000-0005-0000-0000-0000BF040000}"/>
    <cellStyle name="60% - Énfasis3 2 10" xfId="1219" xr:uid="{00000000-0005-0000-0000-0000C0040000}"/>
    <cellStyle name="60% - Énfasis3 2 11" xfId="1220" xr:uid="{00000000-0005-0000-0000-0000C1040000}"/>
    <cellStyle name="60% - Énfasis3 2 12" xfId="1221" xr:uid="{00000000-0005-0000-0000-0000C2040000}"/>
    <cellStyle name="60% - Énfasis3 2 13" xfId="1222" xr:uid="{00000000-0005-0000-0000-0000C3040000}"/>
    <cellStyle name="60% - Énfasis3 2 14" xfId="1223" xr:uid="{00000000-0005-0000-0000-0000C4040000}"/>
    <cellStyle name="60% - Énfasis3 2 15" xfId="1224" xr:uid="{00000000-0005-0000-0000-0000C5040000}"/>
    <cellStyle name="60% - Énfasis3 2 16" xfId="1225" xr:uid="{00000000-0005-0000-0000-0000C6040000}"/>
    <cellStyle name="60% - Énfasis3 2 17" xfId="1226" xr:uid="{00000000-0005-0000-0000-0000C7040000}"/>
    <cellStyle name="60% - Énfasis3 2 18" xfId="1227" xr:uid="{00000000-0005-0000-0000-0000C8040000}"/>
    <cellStyle name="60% - Énfasis3 2 19" xfId="1228" xr:uid="{00000000-0005-0000-0000-0000C9040000}"/>
    <cellStyle name="60% - Énfasis3 2 2" xfId="1229" xr:uid="{00000000-0005-0000-0000-0000CA040000}"/>
    <cellStyle name="60% - Énfasis3 2 20" xfId="3517" xr:uid="{00000000-0005-0000-0000-0000CB040000}"/>
    <cellStyle name="60% - Énfasis3 2 3" xfId="1230" xr:uid="{00000000-0005-0000-0000-0000CC040000}"/>
    <cellStyle name="60% - Énfasis3 2 4" xfId="1231" xr:uid="{00000000-0005-0000-0000-0000CD040000}"/>
    <cellStyle name="60% - Énfasis3 2 5" xfId="1232" xr:uid="{00000000-0005-0000-0000-0000CE040000}"/>
    <cellStyle name="60% - Énfasis3 2 6" xfId="1233" xr:uid="{00000000-0005-0000-0000-0000CF040000}"/>
    <cellStyle name="60% - Énfasis3 2 7" xfId="1234" xr:uid="{00000000-0005-0000-0000-0000D0040000}"/>
    <cellStyle name="60% - Énfasis3 2 8" xfId="1235" xr:uid="{00000000-0005-0000-0000-0000D1040000}"/>
    <cellStyle name="60% - Énfasis3 2 9" xfId="1236" xr:uid="{00000000-0005-0000-0000-0000D2040000}"/>
    <cellStyle name="60% - Énfasis3 20" xfId="1237" xr:uid="{00000000-0005-0000-0000-0000D3040000}"/>
    <cellStyle name="60% - Énfasis3 21" xfId="1238" xr:uid="{00000000-0005-0000-0000-0000D4040000}"/>
    <cellStyle name="60% - Énfasis3 22" xfId="1239" xr:uid="{00000000-0005-0000-0000-0000D5040000}"/>
    <cellStyle name="60% - Énfasis3 23" xfId="1240" xr:uid="{00000000-0005-0000-0000-0000D6040000}"/>
    <cellStyle name="60% - Énfasis3 24" xfId="3516" xr:uid="{00000000-0005-0000-0000-0000D7040000}"/>
    <cellStyle name="60% - Énfasis3 3" xfId="1241" xr:uid="{00000000-0005-0000-0000-0000D8040000}"/>
    <cellStyle name="60% - Énfasis3 3 2" xfId="3518" xr:uid="{00000000-0005-0000-0000-0000D9040000}"/>
    <cellStyle name="60% - Énfasis3 4" xfId="1242" xr:uid="{00000000-0005-0000-0000-0000DA040000}"/>
    <cellStyle name="60% - Énfasis3 5" xfId="1243" xr:uid="{00000000-0005-0000-0000-0000DB040000}"/>
    <cellStyle name="60% - Énfasis3 6" xfId="1244" xr:uid="{00000000-0005-0000-0000-0000DC040000}"/>
    <cellStyle name="60% - Énfasis3 7" xfId="1245" xr:uid="{00000000-0005-0000-0000-0000DD040000}"/>
    <cellStyle name="60% - Énfasis3 8" xfId="1246" xr:uid="{00000000-0005-0000-0000-0000DE040000}"/>
    <cellStyle name="60% - Énfasis3 9" xfId="1247" xr:uid="{00000000-0005-0000-0000-0000DF040000}"/>
    <cellStyle name="60% - Énfasis4 10" xfId="1248" xr:uid="{00000000-0005-0000-0000-0000E0040000}"/>
    <cellStyle name="60% - Énfasis4 11" xfId="1249" xr:uid="{00000000-0005-0000-0000-0000E1040000}"/>
    <cellStyle name="60% - Énfasis4 11 2" xfId="1250" xr:uid="{00000000-0005-0000-0000-0000E2040000}"/>
    <cellStyle name="60% - Énfasis4 11 3" xfId="1251" xr:uid="{00000000-0005-0000-0000-0000E3040000}"/>
    <cellStyle name="60% - Énfasis4 11 4" xfId="1252" xr:uid="{00000000-0005-0000-0000-0000E4040000}"/>
    <cellStyle name="60% - Énfasis4 11 5" xfId="1253" xr:uid="{00000000-0005-0000-0000-0000E5040000}"/>
    <cellStyle name="60% - Énfasis4 11 6" xfId="1254" xr:uid="{00000000-0005-0000-0000-0000E6040000}"/>
    <cellStyle name="60% - Énfasis4 11 7" xfId="1255" xr:uid="{00000000-0005-0000-0000-0000E7040000}"/>
    <cellStyle name="60% - Énfasis4 12" xfId="1256" xr:uid="{00000000-0005-0000-0000-0000E8040000}"/>
    <cellStyle name="60% - Énfasis4 12 2" xfId="1257" xr:uid="{00000000-0005-0000-0000-0000E9040000}"/>
    <cellStyle name="60% - Énfasis4 12 3" xfId="1258" xr:uid="{00000000-0005-0000-0000-0000EA040000}"/>
    <cellStyle name="60% - Énfasis4 12 4" xfId="1259" xr:uid="{00000000-0005-0000-0000-0000EB040000}"/>
    <cellStyle name="60% - Énfasis4 12 5" xfId="1260" xr:uid="{00000000-0005-0000-0000-0000EC040000}"/>
    <cellStyle name="60% - Énfasis4 12 6" xfId="1261" xr:uid="{00000000-0005-0000-0000-0000ED040000}"/>
    <cellStyle name="60% - Énfasis4 12 7" xfId="1262" xr:uid="{00000000-0005-0000-0000-0000EE040000}"/>
    <cellStyle name="60% - Énfasis4 13" xfId="1263" xr:uid="{00000000-0005-0000-0000-0000EF040000}"/>
    <cellStyle name="60% - Énfasis4 13 2" xfId="1264" xr:uid="{00000000-0005-0000-0000-0000F0040000}"/>
    <cellStyle name="60% - Énfasis4 13 3" xfId="1265" xr:uid="{00000000-0005-0000-0000-0000F1040000}"/>
    <cellStyle name="60% - Énfasis4 13 4" xfId="1266" xr:uid="{00000000-0005-0000-0000-0000F2040000}"/>
    <cellStyle name="60% - Énfasis4 13 5" xfId="1267" xr:uid="{00000000-0005-0000-0000-0000F3040000}"/>
    <cellStyle name="60% - Énfasis4 13 6" xfId="1268" xr:uid="{00000000-0005-0000-0000-0000F4040000}"/>
    <cellStyle name="60% - Énfasis4 13 7" xfId="1269" xr:uid="{00000000-0005-0000-0000-0000F5040000}"/>
    <cellStyle name="60% - Énfasis4 14" xfId="1270" xr:uid="{00000000-0005-0000-0000-0000F6040000}"/>
    <cellStyle name="60% - Énfasis4 14 2" xfId="1271" xr:uid="{00000000-0005-0000-0000-0000F7040000}"/>
    <cellStyle name="60% - Énfasis4 14 3" xfId="1272" xr:uid="{00000000-0005-0000-0000-0000F8040000}"/>
    <cellStyle name="60% - Énfasis4 14 4" xfId="1273" xr:uid="{00000000-0005-0000-0000-0000F9040000}"/>
    <cellStyle name="60% - Énfasis4 14 5" xfId="1274" xr:uid="{00000000-0005-0000-0000-0000FA040000}"/>
    <cellStyle name="60% - Énfasis4 14 6" xfId="1275" xr:uid="{00000000-0005-0000-0000-0000FB040000}"/>
    <cellStyle name="60% - Énfasis4 14 7" xfId="1276" xr:uid="{00000000-0005-0000-0000-0000FC040000}"/>
    <cellStyle name="60% - Énfasis4 15" xfId="1277" xr:uid="{00000000-0005-0000-0000-0000FD040000}"/>
    <cellStyle name="60% - Énfasis4 15 2" xfId="1278" xr:uid="{00000000-0005-0000-0000-0000FE040000}"/>
    <cellStyle name="60% - Énfasis4 15 3" xfId="1279" xr:uid="{00000000-0005-0000-0000-0000FF040000}"/>
    <cellStyle name="60% - Énfasis4 15 4" xfId="1280" xr:uid="{00000000-0005-0000-0000-000000050000}"/>
    <cellStyle name="60% - Énfasis4 15 5" xfId="1281" xr:uid="{00000000-0005-0000-0000-000001050000}"/>
    <cellStyle name="60% - Énfasis4 15 6" xfId="1282" xr:uid="{00000000-0005-0000-0000-000002050000}"/>
    <cellStyle name="60% - Énfasis4 15 7" xfId="1283" xr:uid="{00000000-0005-0000-0000-000003050000}"/>
    <cellStyle name="60% - Énfasis4 16" xfId="1284" xr:uid="{00000000-0005-0000-0000-000004050000}"/>
    <cellStyle name="60% - Énfasis4 16 2" xfId="1285" xr:uid="{00000000-0005-0000-0000-000005050000}"/>
    <cellStyle name="60% - Énfasis4 16 3" xfId="1286" xr:uid="{00000000-0005-0000-0000-000006050000}"/>
    <cellStyle name="60% - Énfasis4 16 4" xfId="1287" xr:uid="{00000000-0005-0000-0000-000007050000}"/>
    <cellStyle name="60% - Énfasis4 16 5" xfId="1288" xr:uid="{00000000-0005-0000-0000-000008050000}"/>
    <cellStyle name="60% - Énfasis4 16 6" xfId="1289" xr:uid="{00000000-0005-0000-0000-000009050000}"/>
    <cellStyle name="60% - Énfasis4 16 7" xfId="1290" xr:uid="{00000000-0005-0000-0000-00000A050000}"/>
    <cellStyle name="60% - Énfasis4 17" xfId="1291" xr:uid="{00000000-0005-0000-0000-00000B050000}"/>
    <cellStyle name="60% - Énfasis4 17 2" xfId="1292" xr:uid="{00000000-0005-0000-0000-00000C050000}"/>
    <cellStyle name="60% - Énfasis4 17 3" xfId="1293" xr:uid="{00000000-0005-0000-0000-00000D050000}"/>
    <cellStyle name="60% - Énfasis4 17 4" xfId="1294" xr:uid="{00000000-0005-0000-0000-00000E050000}"/>
    <cellStyle name="60% - Énfasis4 17 5" xfId="1295" xr:uid="{00000000-0005-0000-0000-00000F050000}"/>
    <cellStyle name="60% - Énfasis4 17 6" xfId="1296" xr:uid="{00000000-0005-0000-0000-000010050000}"/>
    <cellStyle name="60% - Énfasis4 18" xfId="1297" xr:uid="{00000000-0005-0000-0000-000011050000}"/>
    <cellStyle name="60% - Énfasis4 19" xfId="1298" xr:uid="{00000000-0005-0000-0000-000012050000}"/>
    <cellStyle name="60% - Énfasis4 2" xfId="1299" xr:uid="{00000000-0005-0000-0000-000013050000}"/>
    <cellStyle name="60% - Énfasis4 2 10" xfId="1300" xr:uid="{00000000-0005-0000-0000-000014050000}"/>
    <cellStyle name="60% - Énfasis4 2 11" xfId="1301" xr:uid="{00000000-0005-0000-0000-000015050000}"/>
    <cellStyle name="60% - Énfasis4 2 12" xfId="1302" xr:uid="{00000000-0005-0000-0000-000016050000}"/>
    <cellStyle name="60% - Énfasis4 2 13" xfId="1303" xr:uid="{00000000-0005-0000-0000-000017050000}"/>
    <cellStyle name="60% - Énfasis4 2 14" xfId="1304" xr:uid="{00000000-0005-0000-0000-000018050000}"/>
    <cellStyle name="60% - Énfasis4 2 15" xfId="1305" xr:uid="{00000000-0005-0000-0000-000019050000}"/>
    <cellStyle name="60% - Énfasis4 2 16" xfId="1306" xr:uid="{00000000-0005-0000-0000-00001A050000}"/>
    <cellStyle name="60% - Énfasis4 2 17" xfId="1307" xr:uid="{00000000-0005-0000-0000-00001B050000}"/>
    <cellStyle name="60% - Énfasis4 2 18" xfId="1308" xr:uid="{00000000-0005-0000-0000-00001C050000}"/>
    <cellStyle name="60% - Énfasis4 2 19" xfId="1309" xr:uid="{00000000-0005-0000-0000-00001D050000}"/>
    <cellStyle name="60% - Énfasis4 2 2" xfId="1310" xr:uid="{00000000-0005-0000-0000-00001E050000}"/>
    <cellStyle name="60% - Énfasis4 2 20" xfId="3520" xr:uid="{00000000-0005-0000-0000-00001F050000}"/>
    <cellStyle name="60% - Énfasis4 2 3" xfId="1311" xr:uid="{00000000-0005-0000-0000-000020050000}"/>
    <cellStyle name="60% - Énfasis4 2 4" xfId="1312" xr:uid="{00000000-0005-0000-0000-000021050000}"/>
    <cellStyle name="60% - Énfasis4 2 5" xfId="1313" xr:uid="{00000000-0005-0000-0000-000022050000}"/>
    <cellStyle name="60% - Énfasis4 2 6" xfId="1314" xr:uid="{00000000-0005-0000-0000-000023050000}"/>
    <cellStyle name="60% - Énfasis4 2 7" xfId="1315" xr:uid="{00000000-0005-0000-0000-000024050000}"/>
    <cellStyle name="60% - Énfasis4 2 8" xfId="1316" xr:uid="{00000000-0005-0000-0000-000025050000}"/>
    <cellStyle name="60% - Énfasis4 2 9" xfId="1317" xr:uid="{00000000-0005-0000-0000-000026050000}"/>
    <cellStyle name="60% - Énfasis4 20" xfId="1318" xr:uid="{00000000-0005-0000-0000-000027050000}"/>
    <cellStyle name="60% - Énfasis4 21" xfId="1319" xr:uid="{00000000-0005-0000-0000-000028050000}"/>
    <cellStyle name="60% - Énfasis4 22" xfId="1320" xr:uid="{00000000-0005-0000-0000-000029050000}"/>
    <cellStyle name="60% - Énfasis4 23" xfId="1321" xr:uid="{00000000-0005-0000-0000-00002A050000}"/>
    <cellStyle name="60% - Énfasis4 24" xfId="3519" xr:uid="{00000000-0005-0000-0000-00002B050000}"/>
    <cellStyle name="60% - Énfasis4 3" xfId="1322" xr:uid="{00000000-0005-0000-0000-00002C050000}"/>
    <cellStyle name="60% - Énfasis4 3 2" xfId="3521" xr:uid="{00000000-0005-0000-0000-00002D050000}"/>
    <cellStyle name="60% - Énfasis4 4" xfId="1323" xr:uid="{00000000-0005-0000-0000-00002E050000}"/>
    <cellStyle name="60% - Énfasis4 5" xfId="1324" xr:uid="{00000000-0005-0000-0000-00002F050000}"/>
    <cellStyle name="60% - Énfasis4 6" xfId="1325" xr:uid="{00000000-0005-0000-0000-000030050000}"/>
    <cellStyle name="60% - Énfasis4 7" xfId="1326" xr:uid="{00000000-0005-0000-0000-000031050000}"/>
    <cellStyle name="60% - Énfasis4 8" xfId="1327" xr:uid="{00000000-0005-0000-0000-000032050000}"/>
    <cellStyle name="60% - Énfasis4 9" xfId="1328" xr:uid="{00000000-0005-0000-0000-000033050000}"/>
    <cellStyle name="60% - Énfasis5 10" xfId="1329" xr:uid="{00000000-0005-0000-0000-000034050000}"/>
    <cellStyle name="60% - Énfasis5 11" xfId="1330" xr:uid="{00000000-0005-0000-0000-000035050000}"/>
    <cellStyle name="60% - Énfasis5 11 2" xfId="1331" xr:uid="{00000000-0005-0000-0000-000036050000}"/>
    <cellStyle name="60% - Énfasis5 11 3" xfId="1332" xr:uid="{00000000-0005-0000-0000-000037050000}"/>
    <cellStyle name="60% - Énfasis5 11 4" xfId="1333" xr:uid="{00000000-0005-0000-0000-000038050000}"/>
    <cellStyle name="60% - Énfasis5 11 5" xfId="1334" xr:uid="{00000000-0005-0000-0000-000039050000}"/>
    <cellStyle name="60% - Énfasis5 11 6" xfId="1335" xr:uid="{00000000-0005-0000-0000-00003A050000}"/>
    <cellStyle name="60% - Énfasis5 11 7" xfId="1336" xr:uid="{00000000-0005-0000-0000-00003B050000}"/>
    <cellStyle name="60% - Énfasis5 12" xfId="1337" xr:uid="{00000000-0005-0000-0000-00003C050000}"/>
    <cellStyle name="60% - Énfasis5 12 2" xfId="1338" xr:uid="{00000000-0005-0000-0000-00003D050000}"/>
    <cellStyle name="60% - Énfasis5 12 3" xfId="1339" xr:uid="{00000000-0005-0000-0000-00003E050000}"/>
    <cellStyle name="60% - Énfasis5 12 4" xfId="1340" xr:uid="{00000000-0005-0000-0000-00003F050000}"/>
    <cellStyle name="60% - Énfasis5 12 5" xfId="1341" xr:uid="{00000000-0005-0000-0000-000040050000}"/>
    <cellStyle name="60% - Énfasis5 12 6" xfId="1342" xr:uid="{00000000-0005-0000-0000-000041050000}"/>
    <cellStyle name="60% - Énfasis5 12 7" xfId="1343" xr:uid="{00000000-0005-0000-0000-000042050000}"/>
    <cellStyle name="60% - Énfasis5 13" xfId="1344" xr:uid="{00000000-0005-0000-0000-000043050000}"/>
    <cellStyle name="60% - Énfasis5 13 2" xfId="1345" xr:uid="{00000000-0005-0000-0000-000044050000}"/>
    <cellStyle name="60% - Énfasis5 13 3" xfId="1346" xr:uid="{00000000-0005-0000-0000-000045050000}"/>
    <cellStyle name="60% - Énfasis5 13 4" xfId="1347" xr:uid="{00000000-0005-0000-0000-000046050000}"/>
    <cellStyle name="60% - Énfasis5 13 5" xfId="1348" xr:uid="{00000000-0005-0000-0000-000047050000}"/>
    <cellStyle name="60% - Énfasis5 13 6" xfId="1349" xr:uid="{00000000-0005-0000-0000-000048050000}"/>
    <cellStyle name="60% - Énfasis5 13 7" xfId="1350" xr:uid="{00000000-0005-0000-0000-000049050000}"/>
    <cellStyle name="60% - Énfasis5 14" xfId="1351" xr:uid="{00000000-0005-0000-0000-00004A050000}"/>
    <cellStyle name="60% - Énfasis5 14 2" xfId="1352" xr:uid="{00000000-0005-0000-0000-00004B050000}"/>
    <cellStyle name="60% - Énfasis5 14 3" xfId="1353" xr:uid="{00000000-0005-0000-0000-00004C050000}"/>
    <cellStyle name="60% - Énfasis5 14 4" xfId="1354" xr:uid="{00000000-0005-0000-0000-00004D050000}"/>
    <cellStyle name="60% - Énfasis5 14 5" xfId="1355" xr:uid="{00000000-0005-0000-0000-00004E050000}"/>
    <cellStyle name="60% - Énfasis5 14 6" xfId="1356" xr:uid="{00000000-0005-0000-0000-00004F050000}"/>
    <cellStyle name="60% - Énfasis5 14 7" xfId="1357" xr:uid="{00000000-0005-0000-0000-000050050000}"/>
    <cellStyle name="60% - Énfasis5 15" xfId="1358" xr:uid="{00000000-0005-0000-0000-000051050000}"/>
    <cellStyle name="60% - Énfasis5 15 2" xfId="1359" xr:uid="{00000000-0005-0000-0000-000052050000}"/>
    <cellStyle name="60% - Énfasis5 15 3" xfId="1360" xr:uid="{00000000-0005-0000-0000-000053050000}"/>
    <cellStyle name="60% - Énfasis5 15 4" xfId="1361" xr:uid="{00000000-0005-0000-0000-000054050000}"/>
    <cellStyle name="60% - Énfasis5 15 5" xfId="1362" xr:uid="{00000000-0005-0000-0000-000055050000}"/>
    <cellStyle name="60% - Énfasis5 15 6" xfId="1363" xr:uid="{00000000-0005-0000-0000-000056050000}"/>
    <cellStyle name="60% - Énfasis5 15 7" xfId="1364" xr:uid="{00000000-0005-0000-0000-000057050000}"/>
    <cellStyle name="60% - Énfasis5 16" xfId="1365" xr:uid="{00000000-0005-0000-0000-000058050000}"/>
    <cellStyle name="60% - Énfasis5 16 2" xfId="1366" xr:uid="{00000000-0005-0000-0000-000059050000}"/>
    <cellStyle name="60% - Énfasis5 16 3" xfId="1367" xr:uid="{00000000-0005-0000-0000-00005A050000}"/>
    <cellStyle name="60% - Énfasis5 16 4" xfId="1368" xr:uid="{00000000-0005-0000-0000-00005B050000}"/>
    <cellStyle name="60% - Énfasis5 16 5" xfId="1369" xr:uid="{00000000-0005-0000-0000-00005C050000}"/>
    <cellStyle name="60% - Énfasis5 16 6" xfId="1370" xr:uid="{00000000-0005-0000-0000-00005D050000}"/>
    <cellStyle name="60% - Énfasis5 16 7" xfId="1371" xr:uid="{00000000-0005-0000-0000-00005E050000}"/>
    <cellStyle name="60% - Énfasis5 17" xfId="1372" xr:uid="{00000000-0005-0000-0000-00005F050000}"/>
    <cellStyle name="60% - Énfasis5 17 2" xfId="1373" xr:uid="{00000000-0005-0000-0000-000060050000}"/>
    <cellStyle name="60% - Énfasis5 17 3" xfId="1374" xr:uid="{00000000-0005-0000-0000-000061050000}"/>
    <cellStyle name="60% - Énfasis5 17 4" xfId="1375" xr:uid="{00000000-0005-0000-0000-000062050000}"/>
    <cellStyle name="60% - Énfasis5 17 5" xfId="1376" xr:uid="{00000000-0005-0000-0000-000063050000}"/>
    <cellStyle name="60% - Énfasis5 17 6" xfId="1377" xr:uid="{00000000-0005-0000-0000-000064050000}"/>
    <cellStyle name="60% - Énfasis5 18" xfId="1378" xr:uid="{00000000-0005-0000-0000-000065050000}"/>
    <cellStyle name="60% - Énfasis5 19" xfId="1379" xr:uid="{00000000-0005-0000-0000-000066050000}"/>
    <cellStyle name="60% - Énfasis5 2" xfId="1380" xr:uid="{00000000-0005-0000-0000-000067050000}"/>
    <cellStyle name="60% - Énfasis5 2 10" xfId="1381" xr:uid="{00000000-0005-0000-0000-000068050000}"/>
    <cellStyle name="60% - Énfasis5 2 11" xfId="1382" xr:uid="{00000000-0005-0000-0000-000069050000}"/>
    <cellStyle name="60% - Énfasis5 2 12" xfId="1383" xr:uid="{00000000-0005-0000-0000-00006A050000}"/>
    <cellStyle name="60% - Énfasis5 2 13" xfId="1384" xr:uid="{00000000-0005-0000-0000-00006B050000}"/>
    <cellStyle name="60% - Énfasis5 2 14" xfId="1385" xr:uid="{00000000-0005-0000-0000-00006C050000}"/>
    <cellStyle name="60% - Énfasis5 2 15" xfId="1386" xr:uid="{00000000-0005-0000-0000-00006D050000}"/>
    <cellStyle name="60% - Énfasis5 2 16" xfId="1387" xr:uid="{00000000-0005-0000-0000-00006E050000}"/>
    <cellStyle name="60% - Énfasis5 2 17" xfId="1388" xr:uid="{00000000-0005-0000-0000-00006F050000}"/>
    <cellStyle name="60% - Énfasis5 2 18" xfId="1389" xr:uid="{00000000-0005-0000-0000-000070050000}"/>
    <cellStyle name="60% - Énfasis5 2 19" xfId="1390" xr:uid="{00000000-0005-0000-0000-000071050000}"/>
    <cellStyle name="60% - Énfasis5 2 2" xfId="1391" xr:uid="{00000000-0005-0000-0000-000072050000}"/>
    <cellStyle name="60% - Énfasis5 2 20" xfId="3523" xr:uid="{00000000-0005-0000-0000-000073050000}"/>
    <cellStyle name="60% - Énfasis5 2 3" xfId="1392" xr:uid="{00000000-0005-0000-0000-000074050000}"/>
    <cellStyle name="60% - Énfasis5 2 4" xfId="1393" xr:uid="{00000000-0005-0000-0000-000075050000}"/>
    <cellStyle name="60% - Énfasis5 2 5" xfId="1394" xr:uid="{00000000-0005-0000-0000-000076050000}"/>
    <cellStyle name="60% - Énfasis5 2 6" xfId="1395" xr:uid="{00000000-0005-0000-0000-000077050000}"/>
    <cellStyle name="60% - Énfasis5 2 7" xfId="1396" xr:uid="{00000000-0005-0000-0000-000078050000}"/>
    <cellStyle name="60% - Énfasis5 2 8" xfId="1397" xr:uid="{00000000-0005-0000-0000-000079050000}"/>
    <cellStyle name="60% - Énfasis5 2 9" xfId="1398" xr:uid="{00000000-0005-0000-0000-00007A050000}"/>
    <cellStyle name="60% - Énfasis5 20" xfId="1399" xr:uid="{00000000-0005-0000-0000-00007B050000}"/>
    <cellStyle name="60% - Énfasis5 21" xfId="1400" xr:uid="{00000000-0005-0000-0000-00007C050000}"/>
    <cellStyle name="60% - Énfasis5 22" xfId="1401" xr:uid="{00000000-0005-0000-0000-00007D050000}"/>
    <cellStyle name="60% - Énfasis5 23" xfId="1402" xr:uid="{00000000-0005-0000-0000-00007E050000}"/>
    <cellStyle name="60% - Énfasis5 24" xfId="3522" xr:uid="{00000000-0005-0000-0000-00007F050000}"/>
    <cellStyle name="60% - Énfasis5 3" xfId="1403" xr:uid="{00000000-0005-0000-0000-000080050000}"/>
    <cellStyle name="60% - Énfasis5 3 2" xfId="3524" xr:uid="{00000000-0005-0000-0000-000081050000}"/>
    <cellStyle name="60% - Énfasis5 4" xfId="1404" xr:uid="{00000000-0005-0000-0000-000082050000}"/>
    <cellStyle name="60% - Énfasis5 5" xfId="1405" xr:uid="{00000000-0005-0000-0000-000083050000}"/>
    <cellStyle name="60% - Énfasis5 6" xfId="1406" xr:uid="{00000000-0005-0000-0000-000084050000}"/>
    <cellStyle name="60% - Énfasis5 7" xfId="1407" xr:uid="{00000000-0005-0000-0000-000085050000}"/>
    <cellStyle name="60% - Énfasis5 8" xfId="1408" xr:uid="{00000000-0005-0000-0000-000086050000}"/>
    <cellStyle name="60% - Énfasis5 9" xfId="1409" xr:uid="{00000000-0005-0000-0000-000087050000}"/>
    <cellStyle name="60% - Énfasis6 10" xfId="1410" xr:uid="{00000000-0005-0000-0000-000088050000}"/>
    <cellStyle name="60% - Énfasis6 11" xfId="1411" xr:uid="{00000000-0005-0000-0000-000089050000}"/>
    <cellStyle name="60% - Énfasis6 11 2" xfId="1412" xr:uid="{00000000-0005-0000-0000-00008A050000}"/>
    <cellStyle name="60% - Énfasis6 11 3" xfId="1413" xr:uid="{00000000-0005-0000-0000-00008B050000}"/>
    <cellStyle name="60% - Énfasis6 11 4" xfId="1414" xr:uid="{00000000-0005-0000-0000-00008C050000}"/>
    <cellStyle name="60% - Énfasis6 11 5" xfId="1415" xr:uid="{00000000-0005-0000-0000-00008D050000}"/>
    <cellStyle name="60% - Énfasis6 11 6" xfId="1416" xr:uid="{00000000-0005-0000-0000-00008E050000}"/>
    <cellStyle name="60% - Énfasis6 11 7" xfId="1417" xr:uid="{00000000-0005-0000-0000-00008F050000}"/>
    <cellStyle name="60% - Énfasis6 12" xfId="1418" xr:uid="{00000000-0005-0000-0000-000090050000}"/>
    <cellStyle name="60% - Énfasis6 12 2" xfId="1419" xr:uid="{00000000-0005-0000-0000-000091050000}"/>
    <cellStyle name="60% - Énfasis6 12 3" xfId="1420" xr:uid="{00000000-0005-0000-0000-000092050000}"/>
    <cellStyle name="60% - Énfasis6 12 4" xfId="1421" xr:uid="{00000000-0005-0000-0000-000093050000}"/>
    <cellStyle name="60% - Énfasis6 12 5" xfId="1422" xr:uid="{00000000-0005-0000-0000-000094050000}"/>
    <cellStyle name="60% - Énfasis6 12 6" xfId="1423" xr:uid="{00000000-0005-0000-0000-000095050000}"/>
    <cellStyle name="60% - Énfasis6 12 7" xfId="1424" xr:uid="{00000000-0005-0000-0000-000096050000}"/>
    <cellStyle name="60% - Énfasis6 13" xfId="1425" xr:uid="{00000000-0005-0000-0000-000097050000}"/>
    <cellStyle name="60% - Énfasis6 13 2" xfId="1426" xr:uid="{00000000-0005-0000-0000-000098050000}"/>
    <cellStyle name="60% - Énfasis6 13 3" xfId="1427" xr:uid="{00000000-0005-0000-0000-000099050000}"/>
    <cellStyle name="60% - Énfasis6 13 4" xfId="1428" xr:uid="{00000000-0005-0000-0000-00009A050000}"/>
    <cellStyle name="60% - Énfasis6 13 5" xfId="1429" xr:uid="{00000000-0005-0000-0000-00009B050000}"/>
    <cellStyle name="60% - Énfasis6 13 6" xfId="1430" xr:uid="{00000000-0005-0000-0000-00009C050000}"/>
    <cellStyle name="60% - Énfasis6 13 7" xfId="1431" xr:uid="{00000000-0005-0000-0000-00009D050000}"/>
    <cellStyle name="60% - Énfasis6 14" xfId="1432" xr:uid="{00000000-0005-0000-0000-00009E050000}"/>
    <cellStyle name="60% - Énfasis6 14 2" xfId="1433" xr:uid="{00000000-0005-0000-0000-00009F050000}"/>
    <cellStyle name="60% - Énfasis6 14 3" xfId="1434" xr:uid="{00000000-0005-0000-0000-0000A0050000}"/>
    <cellStyle name="60% - Énfasis6 14 4" xfId="1435" xr:uid="{00000000-0005-0000-0000-0000A1050000}"/>
    <cellStyle name="60% - Énfasis6 14 5" xfId="1436" xr:uid="{00000000-0005-0000-0000-0000A2050000}"/>
    <cellStyle name="60% - Énfasis6 14 6" xfId="1437" xr:uid="{00000000-0005-0000-0000-0000A3050000}"/>
    <cellStyle name="60% - Énfasis6 14 7" xfId="1438" xr:uid="{00000000-0005-0000-0000-0000A4050000}"/>
    <cellStyle name="60% - Énfasis6 15" xfId="1439" xr:uid="{00000000-0005-0000-0000-0000A5050000}"/>
    <cellStyle name="60% - Énfasis6 15 2" xfId="1440" xr:uid="{00000000-0005-0000-0000-0000A6050000}"/>
    <cellStyle name="60% - Énfasis6 15 3" xfId="1441" xr:uid="{00000000-0005-0000-0000-0000A7050000}"/>
    <cellStyle name="60% - Énfasis6 15 4" xfId="1442" xr:uid="{00000000-0005-0000-0000-0000A8050000}"/>
    <cellStyle name="60% - Énfasis6 15 5" xfId="1443" xr:uid="{00000000-0005-0000-0000-0000A9050000}"/>
    <cellStyle name="60% - Énfasis6 15 6" xfId="1444" xr:uid="{00000000-0005-0000-0000-0000AA050000}"/>
    <cellStyle name="60% - Énfasis6 15 7" xfId="1445" xr:uid="{00000000-0005-0000-0000-0000AB050000}"/>
    <cellStyle name="60% - Énfasis6 16" xfId="1446" xr:uid="{00000000-0005-0000-0000-0000AC050000}"/>
    <cellStyle name="60% - Énfasis6 16 2" xfId="1447" xr:uid="{00000000-0005-0000-0000-0000AD050000}"/>
    <cellStyle name="60% - Énfasis6 16 3" xfId="1448" xr:uid="{00000000-0005-0000-0000-0000AE050000}"/>
    <cellStyle name="60% - Énfasis6 16 4" xfId="1449" xr:uid="{00000000-0005-0000-0000-0000AF050000}"/>
    <cellStyle name="60% - Énfasis6 16 5" xfId="1450" xr:uid="{00000000-0005-0000-0000-0000B0050000}"/>
    <cellStyle name="60% - Énfasis6 16 6" xfId="1451" xr:uid="{00000000-0005-0000-0000-0000B1050000}"/>
    <cellStyle name="60% - Énfasis6 16 7" xfId="1452" xr:uid="{00000000-0005-0000-0000-0000B2050000}"/>
    <cellStyle name="60% - Énfasis6 17" xfId="1453" xr:uid="{00000000-0005-0000-0000-0000B3050000}"/>
    <cellStyle name="60% - Énfasis6 17 2" xfId="1454" xr:uid="{00000000-0005-0000-0000-0000B4050000}"/>
    <cellStyle name="60% - Énfasis6 17 3" xfId="1455" xr:uid="{00000000-0005-0000-0000-0000B5050000}"/>
    <cellStyle name="60% - Énfasis6 17 4" xfId="1456" xr:uid="{00000000-0005-0000-0000-0000B6050000}"/>
    <cellStyle name="60% - Énfasis6 17 5" xfId="1457" xr:uid="{00000000-0005-0000-0000-0000B7050000}"/>
    <cellStyle name="60% - Énfasis6 17 6" xfId="1458" xr:uid="{00000000-0005-0000-0000-0000B8050000}"/>
    <cellStyle name="60% - Énfasis6 18" xfId="1459" xr:uid="{00000000-0005-0000-0000-0000B9050000}"/>
    <cellStyle name="60% - Énfasis6 19" xfId="1460" xr:uid="{00000000-0005-0000-0000-0000BA050000}"/>
    <cellStyle name="60% - Énfasis6 2" xfId="1461" xr:uid="{00000000-0005-0000-0000-0000BB050000}"/>
    <cellStyle name="60% - Énfasis6 2 10" xfId="1462" xr:uid="{00000000-0005-0000-0000-0000BC050000}"/>
    <cellStyle name="60% - Énfasis6 2 11" xfId="1463" xr:uid="{00000000-0005-0000-0000-0000BD050000}"/>
    <cellStyle name="60% - Énfasis6 2 12" xfId="1464" xr:uid="{00000000-0005-0000-0000-0000BE050000}"/>
    <cellStyle name="60% - Énfasis6 2 13" xfId="1465" xr:uid="{00000000-0005-0000-0000-0000BF050000}"/>
    <cellStyle name="60% - Énfasis6 2 14" xfId="1466" xr:uid="{00000000-0005-0000-0000-0000C0050000}"/>
    <cellStyle name="60% - Énfasis6 2 15" xfId="1467" xr:uid="{00000000-0005-0000-0000-0000C1050000}"/>
    <cellStyle name="60% - Énfasis6 2 16" xfId="1468" xr:uid="{00000000-0005-0000-0000-0000C2050000}"/>
    <cellStyle name="60% - Énfasis6 2 17" xfId="1469" xr:uid="{00000000-0005-0000-0000-0000C3050000}"/>
    <cellStyle name="60% - Énfasis6 2 18" xfId="1470" xr:uid="{00000000-0005-0000-0000-0000C4050000}"/>
    <cellStyle name="60% - Énfasis6 2 19" xfId="1471" xr:uid="{00000000-0005-0000-0000-0000C5050000}"/>
    <cellStyle name="60% - Énfasis6 2 2" xfId="1472" xr:uid="{00000000-0005-0000-0000-0000C6050000}"/>
    <cellStyle name="60% - Énfasis6 2 20" xfId="3526" xr:uid="{00000000-0005-0000-0000-0000C7050000}"/>
    <cellStyle name="60% - Énfasis6 2 3" xfId="1473" xr:uid="{00000000-0005-0000-0000-0000C8050000}"/>
    <cellStyle name="60% - Énfasis6 2 4" xfId="1474" xr:uid="{00000000-0005-0000-0000-0000C9050000}"/>
    <cellStyle name="60% - Énfasis6 2 5" xfId="1475" xr:uid="{00000000-0005-0000-0000-0000CA050000}"/>
    <cellStyle name="60% - Énfasis6 2 6" xfId="1476" xr:uid="{00000000-0005-0000-0000-0000CB050000}"/>
    <cellStyle name="60% - Énfasis6 2 7" xfId="1477" xr:uid="{00000000-0005-0000-0000-0000CC050000}"/>
    <cellStyle name="60% - Énfasis6 2 8" xfId="1478" xr:uid="{00000000-0005-0000-0000-0000CD050000}"/>
    <cellStyle name="60% - Énfasis6 2 9" xfId="1479" xr:uid="{00000000-0005-0000-0000-0000CE050000}"/>
    <cellStyle name="60% - Énfasis6 20" xfId="1480" xr:uid="{00000000-0005-0000-0000-0000CF050000}"/>
    <cellStyle name="60% - Énfasis6 21" xfId="1481" xr:uid="{00000000-0005-0000-0000-0000D0050000}"/>
    <cellStyle name="60% - Énfasis6 22" xfId="1482" xr:uid="{00000000-0005-0000-0000-0000D1050000}"/>
    <cellStyle name="60% - Énfasis6 23" xfId="1483" xr:uid="{00000000-0005-0000-0000-0000D2050000}"/>
    <cellStyle name="60% - Énfasis6 24" xfId="3525" xr:uid="{00000000-0005-0000-0000-0000D3050000}"/>
    <cellStyle name="60% - Énfasis6 3" xfId="1484" xr:uid="{00000000-0005-0000-0000-0000D4050000}"/>
    <cellStyle name="60% - Énfasis6 3 2" xfId="3527" xr:uid="{00000000-0005-0000-0000-0000D5050000}"/>
    <cellStyle name="60% - Énfasis6 4" xfId="1485" xr:uid="{00000000-0005-0000-0000-0000D6050000}"/>
    <cellStyle name="60% - Énfasis6 5" xfId="1486" xr:uid="{00000000-0005-0000-0000-0000D7050000}"/>
    <cellStyle name="60% - Énfasis6 6" xfId="1487" xr:uid="{00000000-0005-0000-0000-0000D8050000}"/>
    <cellStyle name="60% - Énfasis6 7" xfId="1488" xr:uid="{00000000-0005-0000-0000-0000D9050000}"/>
    <cellStyle name="60% - Énfasis6 8" xfId="1489" xr:uid="{00000000-0005-0000-0000-0000DA050000}"/>
    <cellStyle name="60% - Énfasis6 9" xfId="1490" xr:uid="{00000000-0005-0000-0000-0000DB050000}"/>
    <cellStyle name="Buena 10" xfId="1491" xr:uid="{00000000-0005-0000-0000-0000DC050000}"/>
    <cellStyle name="Buena 11" xfId="1492" xr:uid="{00000000-0005-0000-0000-0000DD050000}"/>
    <cellStyle name="Buena 11 2" xfId="1493" xr:uid="{00000000-0005-0000-0000-0000DE050000}"/>
    <cellStyle name="Buena 11 3" xfId="1494" xr:uid="{00000000-0005-0000-0000-0000DF050000}"/>
    <cellStyle name="Buena 11 4" xfId="1495" xr:uid="{00000000-0005-0000-0000-0000E0050000}"/>
    <cellStyle name="Buena 11 5" xfId="1496" xr:uid="{00000000-0005-0000-0000-0000E1050000}"/>
    <cellStyle name="Buena 11 6" xfId="1497" xr:uid="{00000000-0005-0000-0000-0000E2050000}"/>
    <cellStyle name="Buena 11 7" xfId="1498" xr:uid="{00000000-0005-0000-0000-0000E3050000}"/>
    <cellStyle name="Buena 12" xfId="1499" xr:uid="{00000000-0005-0000-0000-0000E4050000}"/>
    <cellStyle name="Buena 12 2" xfId="1500" xr:uid="{00000000-0005-0000-0000-0000E5050000}"/>
    <cellStyle name="Buena 12 3" xfId="1501" xr:uid="{00000000-0005-0000-0000-0000E6050000}"/>
    <cellStyle name="Buena 12 4" xfId="1502" xr:uid="{00000000-0005-0000-0000-0000E7050000}"/>
    <cellStyle name="Buena 12 5" xfId="1503" xr:uid="{00000000-0005-0000-0000-0000E8050000}"/>
    <cellStyle name="Buena 12 6" xfId="1504" xr:uid="{00000000-0005-0000-0000-0000E9050000}"/>
    <cellStyle name="Buena 12 7" xfId="1505" xr:uid="{00000000-0005-0000-0000-0000EA050000}"/>
    <cellStyle name="Buena 13" xfId="1506" xr:uid="{00000000-0005-0000-0000-0000EB050000}"/>
    <cellStyle name="Buena 13 2" xfId="1507" xr:uid="{00000000-0005-0000-0000-0000EC050000}"/>
    <cellStyle name="Buena 13 3" xfId="1508" xr:uid="{00000000-0005-0000-0000-0000ED050000}"/>
    <cellStyle name="Buena 13 4" xfId="1509" xr:uid="{00000000-0005-0000-0000-0000EE050000}"/>
    <cellStyle name="Buena 13 5" xfId="1510" xr:uid="{00000000-0005-0000-0000-0000EF050000}"/>
    <cellStyle name="Buena 13 6" xfId="1511" xr:uid="{00000000-0005-0000-0000-0000F0050000}"/>
    <cellStyle name="Buena 13 7" xfId="1512" xr:uid="{00000000-0005-0000-0000-0000F1050000}"/>
    <cellStyle name="Buena 14" xfId="1513" xr:uid="{00000000-0005-0000-0000-0000F2050000}"/>
    <cellStyle name="Buena 14 2" xfId="1514" xr:uid="{00000000-0005-0000-0000-0000F3050000}"/>
    <cellStyle name="Buena 14 3" xfId="1515" xr:uid="{00000000-0005-0000-0000-0000F4050000}"/>
    <cellStyle name="Buena 14 4" xfId="1516" xr:uid="{00000000-0005-0000-0000-0000F5050000}"/>
    <cellStyle name="Buena 14 5" xfId="1517" xr:uid="{00000000-0005-0000-0000-0000F6050000}"/>
    <cellStyle name="Buena 14 6" xfId="1518" xr:uid="{00000000-0005-0000-0000-0000F7050000}"/>
    <cellStyle name="Buena 14 7" xfId="1519" xr:uid="{00000000-0005-0000-0000-0000F8050000}"/>
    <cellStyle name="Buena 15" xfId="1520" xr:uid="{00000000-0005-0000-0000-0000F9050000}"/>
    <cellStyle name="Buena 15 2" xfId="1521" xr:uid="{00000000-0005-0000-0000-0000FA050000}"/>
    <cellStyle name="Buena 15 3" xfId="1522" xr:uid="{00000000-0005-0000-0000-0000FB050000}"/>
    <cellStyle name="Buena 15 4" xfId="1523" xr:uid="{00000000-0005-0000-0000-0000FC050000}"/>
    <cellStyle name="Buena 15 5" xfId="1524" xr:uid="{00000000-0005-0000-0000-0000FD050000}"/>
    <cellStyle name="Buena 15 6" xfId="1525" xr:uid="{00000000-0005-0000-0000-0000FE050000}"/>
    <cellStyle name="Buena 15 7" xfId="1526" xr:uid="{00000000-0005-0000-0000-0000FF050000}"/>
    <cellStyle name="Buena 16" xfId="1527" xr:uid="{00000000-0005-0000-0000-000000060000}"/>
    <cellStyle name="Buena 16 2" xfId="1528" xr:uid="{00000000-0005-0000-0000-000001060000}"/>
    <cellStyle name="Buena 16 3" xfId="1529" xr:uid="{00000000-0005-0000-0000-000002060000}"/>
    <cellStyle name="Buena 16 4" xfId="1530" xr:uid="{00000000-0005-0000-0000-000003060000}"/>
    <cellStyle name="Buena 16 5" xfId="1531" xr:uid="{00000000-0005-0000-0000-000004060000}"/>
    <cellStyle name="Buena 16 6" xfId="1532" xr:uid="{00000000-0005-0000-0000-000005060000}"/>
    <cellStyle name="Buena 16 7" xfId="1533" xr:uid="{00000000-0005-0000-0000-000006060000}"/>
    <cellStyle name="Buena 17" xfId="1534" xr:uid="{00000000-0005-0000-0000-000007060000}"/>
    <cellStyle name="Buena 17 2" xfId="1535" xr:uid="{00000000-0005-0000-0000-000008060000}"/>
    <cellStyle name="Buena 17 3" xfId="1536" xr:uid="{00000000-0005-0000-0000-000009060000}"/>
    <cellStyle name="Buena 17 4" xfId="1537" xr:uid="{00000000-0005-0000-0000-00000A060000}"/>
    <cellStyle name="Buena 17 5" xfId="1538" xr:uid="{00000000-0005-0000-0000-00000B060000}"/>
    <cellStyle name="Buena 17 6" xfId="1539" xr:uid="{00000000-0005-0000-0000-00000C060000}"/>
    <cellStyle name="Buena 18" xfId="1540" xr:uid="{00000000-0005-0000-0000-00000D060000}"/>
    <cellStyle name="Buena 19" xfId="1541" xr:uid="{00000000-0005-0000-0000-00000E060000}"/>
    <cellStyle name="Buena 2" xfId="1542" xr:uid="{00000000-0005-0000-0000-00000F060000}"/>
    <cellStyle name="Buena 2 10" xfId="1543" xr:uid="{00000000-0005-0000-0000-000010060000}"/>
    <cellStyle name="Buena 2 11" xfId="1544" xr:uid="{00000000-0005-0000-0000-000011060000}"/>
    <cellStyle name="Buena 2 12" xfId="1545" xr:uid="{00000000-0005-0000-0000-000012060000}"/>
    <cellStyle name="Buena 2 13" xfId="1546" xr:uid="{00000000-0005-0000-0000-000013060000}"/>
    <cellStyle name="Buena 2 14" xfId="1547" xr:uid="{00000000-0005-0000-0000-000014060000}"/>
    <cellStyle name="Buena 2 15" xfId="1548" xr:uid="{00000000-0005-0000-0000-000015060000}"/>
    <cellStyle name="Buena 2 16" xfId="1549" xr:uid="{00000000-0005-0000-0000-000016060000}"/>
    <cellStyle name="Buena 2 17" xfId="1550" xr:uid="{00000000-0005-0000-0000-000017060000}"/>
    <cellStyle name="Buena 2 18" xfId="1551" xr:uid="{00000000-0005-0000-0000-000018060000}"/>
    <cellStyle name="Buena 2 19" xfId="1552" xr:uid="{00000000-0005-0000-0000-000019060000}"/>
    <cellStyle name="Buena 2 2" xfId="1553" xr:uid="{00000000-0005-0000-0000-00001A060000}"/>
    <cellStyle name="Buena 2 20" xfId="3529" xr:uid="{00000000-0005-0000-0000-00001B060000}"/>
    <cellStyle name="Buena 2 3" xfId="1554" xr:uid="{00000000-0005-0000-0000-00001C060000}"/>
    <cellStyle name="Buena 2 4" xfId="1555" xr:uid="{00000000-0005-0000-0000-00001D060000}"/>
    <cellStyle name="Buena 2 5" xfId="1556" xr:uid="{00000000-0005-0000-0000-00001E060000}"/>
    <cellStyle name="Buena 2 6" xfId="1557" xr:uid="{00000000-0005-0000-0000-00001F060000}"/>
    <cellStyle name="Buena 2 7" xfId="1558" xr:uid="{00000000-0005-0000-0000-000020060000}"/>
    <cellStyle name="Buena 2 8" xfId="1559" xr:uid="{00000000-0005-0000-0000-000021060000}"/>
    <cellStyle name="Buena 2 9" xfId="1560" xr:uid="{00000000-0005-0000-0000-000022060000}"/>
    <cellStyle name="Buena 20" xfId="1561" xr:uid="{00000000-0005-0000-0000-000023060000}"/>
    <cellStyle name="Buena 21" xfId="1562" xr:uid="{00000000-0005-0000-0000-000024060000}"/>
    <cellStyle name="Buena 22" xfId="1563" xr:uid="{00000000-0005-0000-0000-000025060000}"/>
    <cellStyle name="Buena 23" xfId="1564" xr:uid="{00000000-0005-0000-0000-000026060000}"/>
    <cellStyle name="Buena 24" xfId="3528" xr:uid="{00000000-0005-0000-0000-000027060000}"/>
    <cellStyle name="Buena 3" xfId="1565" xr:uid="{00000000-0005-0000-0000-000028060000}"/>
    <cellStyle name="Buena 3 2" xfId="3530" xr:uid="{00000000-0005-0000-0000-000029060000}"/>
    <cellStyle name="Buena 4" xfId="1566" xr:uid="{00000000-0005-0000-0000-00002A060000}"/>
    <cellStyle name="Buena 5" xfId="1567" xr:uid="{00000000-0005-0000-0000-00002B060000}"/>
    <cellStyle name="Buena 6" xfId="1568" xr:uid="{00000000-0005-0000-0000-00002C060000}"/>
    <cellStyle name="Buena 7" xfId="1569" xr:uid="{00000000-0005-0000-0000-00002D060000}"/>
    <cellStyle name="Buena 8" xfId="1570" xr:uid="{00000000-0005-0000-0000-00002E060000}"/>
    <cellStyle name="Buena 9" xfId="1571" xr:uid="{00000000-0005-0000-0000-00002F060000}"/>
    <cellStyle name="Cálculo 10" xfId="1572" xr:uid="{00000000-0005-0000-0000-000030060000}"/>
    <cellStyle name="Cálculo 11" xfId="1573" xr:uid="{00000000-0005-0000-0000-000031060000}"/>
    <cellStyle name="Cálculo 11 2" xfId="1574" xr:uid="{00000000-0005-0000-0000-000032060000}"/>
    <cellStyle name="Cálculo 11 3" xfId="1575" xr:uid="{00000000-0005-0000-0000-000033060000}"/>
    <cellStyle name="Cálculo 11 4" xfId="1576" xr:uid="{00000000-0005-0000-0000-000034060000}"/>
    <cellStyle name="Cálculo 11 5" xfId="1577" xr:uid="{00000000-0005-0000-0000-000035060000}"/>
    <cellStyle name="Cálculo 11 6" xfId="1578" xr:uid="{00000000-0005-0000-0000-000036060000}"/>
    <cellStyle name="Cálculo 11 7" xfId="1579" xr:uid="{00000000-0005-0000-0000-000037060000}"/>
    <cellStyle name="Cálculo 12" xfId="1580" xr:uid="{00000000-0005-0000-0000-000038060000}"/>
    <cellStyle name="Cálculo 12 2" xfId="1581" xr:uid="{00000000-0005-0000-0000-000039060000}"/>
    <cellStyle name="Cálculo 12 3" xfId="1582" xr:uid="{00000000-0005-0000-0000-00003A060000}"/>
    <cellStyle name="Cálculo 12 4" xfId="1583" xr:uid="{00000000-0005-0000-0000-00003B060000}"/>
    <cellStyle name="Cálculo 12 5" xfId="1584" xr:uid="{00000000-0005-0000-0000-00003C060000}"/>
    <cellStyle name="Cálculo 12 6" xfId="1585" xr:uid="{00000000-0005-0000-0000-00003D060000}"/>
    <cellStyle name="Cálculo 12 7" xfId="1586" xr:uid="{00000000-0005-0000-0000-00003E060000}"/>
    <cellStyle name="Cálculo 13" xfId="1587" xr:uid="{00000000-0005-0000-0000-00003F060000}"/>
    <cellStyle name="Cálculo 13 2" xfId="1588" xr:uid="{00000000-0005-0000-0000-000040060000}"/>
    <cellStyle name="Cálculo 13 3" xfId="1589" xr:uid="{00000000-0005-0000-0000-000041060000}"/>
    <cellStyle name="Cálculo 13 4" xfId="1590" xr:uid="{00000000-0005-0000-0000-000042060000}"/>
    <cellStyle name="Cálculo 13 5" xfId="1591" xr:uid="{00000000-0005-0000-0000-000043060000}"/>
    <cellStyle name="Cálculo 13 6" xfId="1592" xr:uid="{00000000-0005-0000-0000-000044060000}"/>
    <cellStyle name="Cálculo 13 7" xfId="1593" xr:uid="{00000000-0005-0000-0000-000045060000}"/>
    <cellStyle name="Cálculo 14" xfId="1594" xr:uid="{00000000-0005-0000-0000-000046060000}"/>
    <cellStyle name="Cálculo 14 2" xfId="1595" xr:uid="{00000000-0005-0000-0000-000047060000}"/>
    <cellStyle name="Cálculo 14 3" xfId="1596" xr:uid="{00000000-0005-0000-0000-000048060000}"/>
    <cellStyle name="Cálculo 14 4" xfId="1597" xr:uid="{00000000-0005-0000-0000-000049060000}"/>
    <cellStyle name="Cálculo 14 5" xfId="1598" xr:uid="{00000000-0005-0000-0000-00004A060000}"/>
    <cellStyle name="Cálculo 14 6" xfId="1599" xr:uid="{00000000-0005-0000-0000-00004B060000}"/>
    <cellStyle name="Cálculo 14 7" xfId="1600" xr:uid="{00000000-0005-0000-0000-00004C060000}"/>
    <cellStyle name="Cálculo 15" xfId="1601" xr:uid="{00000000-0005-0000-0000-00004D060000}"/>
    <cellStyle name="Cálculo 15 2" xfId="1602" xr:uid="{00000000-0005-0000-0000-00004E060000}"/>
    <cellStyle name="Cálculo 15 3" xfId="1603" xr:uid="{00000000-0005-0000-0000-00004F060000}"/>
    <cellStyle name="Cálculo 15 4" xfId="1604" xr:uid="{00000000-0005-0000-0000-000050060000}"/>
    <cellStyle name="Cálculo 15 5" xfId="1605" xr:uid="{00000000-0005-0000-0000-000051060000}"/>
    <cellStyle name="Cálculo 15 6" xfId="1606" xr:uid="{00000000-0005-0000-0000-000052060000}"/>
    <cellStyle name="Cálculo 15 7" xfId="1607" xr:uid="{00000000-0005-0000-0000-000053060000}"/>
    <cellStyle name="Cálculo 16" xfId="1608" xr:uid="{00000000-0005-0000-0000-000054060000}"/>
    <cellStyle name="Cálculo 16 2" xfId="1609" xr:uid="{00000000-0005-0000-0000-000055060000}"/>
    <cellStyle name="Cálculo 16 3" xfId="1610" xr:uid="{00000000-0005-0000-0000-000056060000}"/>
    <cellStyle name="Cálculo 16 4" xfId="1611" xr:uid="{00000000-0005-0000-0000-000057060000}"/>
    <cellStyle name="Cálculo 16 5" xfId="1612" xr:uid="{00000000-0005-0000-0000-000058060000}"/>
    <cellStyle name="Cálculo 16 6" xfId="1613" xr:uid="{00000000-0005-0000-0000-000059060000}"/>
    <cellStyle name="Cálculo 16 7" xfId="1614" xr:uid="{00000000-0005-0000-0000-00005A060000}"/>
    <cellStyle name="Cálculo 17" xfId="1615" xr:uid="{00000000-0005-0000-0000-00005B060000}"/>
    <cellStyle name="Cálculo 17 2" xfId="1616" xr:uid="{00000000-0005-0000-0000-00005C060000}"/>
    <cellStyle name="Cálculo 17 3" xfId="1617" xr:uid="{00000000-0005-0000-0000-00005D060000}"/>
    <cellStyle name="Cálculo 17 4" xfId="1618" xr:uid="{00000000-0005-0000-0000-00005E060000}"/>
    <cellStyle name="Cálculo 17 5" xfId="1619" xr:uid="{00000000-0005-0000-0000-00005F060000}"/>
    <cellStyle name="Cálculo 17 6" xfId="1620" xr:uid="{00000000-0005-0000-0000-000060060000}"/>
    <cellStyle name="Cálculo 18" xfId="1621" xr:uid="{00000000-0005-0000-0000-000061060000}"/>
    <cellStyle name="Cálculo 19" xfId="1622" xr:uid="{00000000-0005-0000-0000-000062060000}"/>
    <cellStyle name="Cálculo 2" xfId="1623" xr:uid="{00000000-0005-0000-0000-000063060000}"/>
    <cellStyle name="Cálculo 2 10" xfId="1624" xr:uid="{00000000-0005-0000-0000-000064060000}"/>
    <cellStyle name="Cálculo 2 11" xfId="1625" xr:uid="{00000000-0005-0000-0000-000065060000}"/>
    <cellStyle name="Cálculo 2 12" xfId="1626" xr:uid="{00000000-0005-0000-0000-000066060000}"/>
    <cellStyle name="Cálculo 2 13" xfId="1627" xr:uid="{00000000-0005-0000-0000-000067060000}"/>
    <cellStyle name="Cálculo 2 14" xfId="1628" xr:uid="{00000000-0005-0000-0000-000068060000}"/>
    <cellStyle name="Cálculo 2 15" xfId="1629" xr:uid="{00000000-0005-0000-0000-000069060000}"/>
    <cellStyle name="Cálculo 2 16" xfId="1630" xr:uid="{00000000-0005-0000-0000-00006A060000}"/>
    <cellStyle name="Cálculo 2 17" xfId="1631" xr:uid="{00000000-0005-0000-0000-00006B060000}"/>
    <cellStyle name="Cálculo 2 18" xfId="1632" xr:uid="{00000000-0005-0000-0000-00006C060000}"/>
    <cellStyle name="Cálculo 2 19" xfId="1633" xr:uid="{00000000-0005-0000-0000-00006D060000}"/>
    <cellStyle name="Cálculo 2 2" xfId="1634" xr:uid="{00000000-0005-0000-0000-00006E060000}"/>
    <cellStyle name="Cálculo 2 20" xfId="3532" xr:uid="{00000000-0005-0000-0000-00006F060000}"/>
    <cellStyle name="Cálculo 2 3" xfId="1635" xr:uid="{00000000-0005-0000-0000-000070060000}"/>
    <cellStyle name="Cálculo 2 4" xfId="1636" xr:uid="{00000000-0005-0000-0000-000071060000}"/>
    <cellStyle name="Cálculo 2 5" xfId="1637" xr:uid="{00000000-0005-0000-0000-000072060000}"/>
    <cellStyle name="Cálculo 2 6" xfId="1638" xr:uid="{00000000-0005-0000-0000-000073060000}"/>
    <cellStyle name="Cálculo 2 7" xfId="1639" xr:uid="{00000000-0005-0000-0000-000074060000}"/>
    <cellStyle name="Cálculo 2 8" xfId="1640" xr:uid="{00000000-0005-0000-0000-000075060000}"/>
    <cellStyle name="Cálculo 2 9" xfId="1641" xr:uid="{00000000-0005-0000-0000-000076060000}"/>
    <cellStyle name="Cálculo 20" xfId="1642" xr:uid="{00000000-0005-0000-0000-000077060000}"/>
    <cellStyle name="Cálculo 21" xfId="1643" xr:uid="{00000000-0005-0000-0000-000078060000}"/>
    <cellStyle name="Cálculo 22" xfId="1644" xr:uid="{00000000-0005-0000-0000-000079060000}"/>
    <cellStyle name="Cálculo 23" xfId="1645" xr:uid="{00000000-0005-0000-0000-00007A060000}"/>
    <cellStyle name="Cálculo 24" xfId="3531" xr:uid="{00000000-0005-0000-0000-00007B060000}"/>
    <cellStyle name="Cálculo 3" xfId="1646" xr:uid="{00000000-0005-0000-0000-00007C060000}"/>
    <cellStyle name="Cálculo 3 2" xfId="3533" xr:uid="{00000000-0005-0000-0000-00007D060000}"/>
    <cellStyle name="Cálculo 4" xfId="1647" xr:uid="{00000000-0005-0000-0000-00007E060000}"/>
    <cellStyle name="Cálculo 5" xfId="1648" xr:uid="{00000000-0005-0000-0000-00007F060000}"/>
    <cellStyle name="Cálculo 6" xfId="1649" xr:uid="{00000000-0005-0000-0000-000080060000}"/>
    <cellStyle name="Cálculo 7" xfId="1650" xr:uid="{00000000-0005-0000-0000-000081060000}"/>
    <cellStyle name="Cálculo 8" xfId="1651" xr:uid="{00000000-0005-0000-0000-000082060000}"/>
    <cellStyle name="Cálculo 9" xfId="1652" xr:uid="{00000000-0005-0000-0000-000083060000}"/>
    <cellStyle name="Celda de comprobación 10" xfId="1653" xr:uid="{00000000-0005-0000-0000-000084060000}"/>
    <cellStyle name="Celda de comprobación 11" xfId="1654" xr:uid="{00000000-0005-0000-0000-000085060000}"/>
    <cellStyle name="Celda de comprobación 11 2" xfId="1655" xr:uid="{00000000-0005-0000-0000-000086060000}"/>
    <cellStyle name="Celda de comprobación 11 3" xfId="1656" xr:uid="{00000000-0005-0000-0000-000087060000}"/>
    <cellStyle name="Celda de comprobación 11 4" xfId="1657" xr:uid="{00000000-0005-0000-0000-000088060000}"/>
    <cellStyle name="Celda de comprobación 11 5" xfId="1658" xr:uid="{00000000-0005-0000-0000-000089060000}"/>
    <cellStyle name="Celda de comprobación 11 6" xfId="1659" xr:uid="{00000000-0005-0000-0000-00008A060000}"/>
    <cellStyle name="Celda de comprobación 11 7" xfId="1660" xr:uid="{00000000-0005-0000-0000-00008B060000}"/>
    <cellStyle name="Celda de comprobación 12" xfId="1661" xr:uid="{00000000-0005-0000-0000-00008C060000}"/>
    <cellStyle name="Celda de comprobación 12 2" xfId="1662" xr:uid="{00000000-0005-0000-0000-00008D060000}"/>
    <cellStyle name="Celda de comprobación 12 3" xfId="1663" xr:uid="{00000000-0005-0000-0000-00008E060000}"/>
    <cellStyle name="Celda de comprobación 12 4" xfId="1664" xr:uid="{00000000-0005-0000-0000-00008F060000}"/>
    <cellStyle name="Celda de comprobación 12 5" xfId="1665" xr:uid="{00000000-0005-0000-0000-000090060000}"/>
    <cellStyle name="Celda de comprobación 12 6" xfId="1666" xr:uid="{00000000-0005-0000-0000-000091060000}"/>
    <cellStyle name="Celda de comprobación 12 7" xfId="1667" xr:uid="{00000000-0005-0000-0000-000092060000}"/>
    <cellStyle name="Celda de comprobación 13" xfId="1668" xr:uid="{00000000-0005-0000-0000-000093060000}"/>
    <cellStyle name="Celda de comprobación 13 2" xfId="1669" xr:uid="{00000000-0005-0000-0000-000094060000}"/>
    <cellStyle name="Celda de comprobación 13 3" xfId="1670" xr:uid="{00000000-0005-0000-0000-000095060000}"/>
    <cellStyle name="Celda de comprobación 13 4" xfId="1671" xr:uid="{00000000-0005-0000-0000-000096060000}"/>
    <cellStyle name="Celda de comprobación 13 5" xfId="1672" xr:uid="{00000000-0005-0000-0000-000097060000}"/>
    <cellStyle name="Celda de comprobación 13 6" xfId="1673" xr:uid="{00000000-0005-0000-0000-000098060000}"/>
    <cellStyle name="Celda de comprobación 13 7" xfId="1674" xr:uid="{00000000-0005-0000-0000-000099060000}"/>
    <cellStyle name="Celda de comprobación 14" xfId="1675" xr:uid="{00000000-0005-0000-0000-00009A060000}"/>
    <cellStyle name="Celda de comprobación 14 2" xfId="1676" xr:uid="{00000000-0005-0000-0000-00009B060000}"/>
    <cellStyle name="Celda de comprobación 14 3" xfId="1677" xr:uid="{00000000-0005-0000-0000-00009C060000}"/>
    <cellStyle name="Celda de comprobación 14 4" xfId="1678" xr:uid="{00000000-0005-0000-0000-00009D060000}"/>
    <cellStyle name="Celda de comprobación 14 5" xfId="1679" xr:uid="{00000000-0005-0000-0000-00009E060000}"/>
    <cellStyle name="Celda de comprobación 14 6" xfId="1680" xr:uid="{00000000-0005-0000-0000-00009F060000}"/>
    <cellStyle name="Celda de comprobación 14 7" xfId="1681" xr:uid="{00000000-0005-0000-0000-0000A0060000}"/>
    <cellStyle name="Celda de comprobación 15" xfId="1682" xr:uid="{00000000-0005-0000-0000-0000A1060000}"/>
    <cellStyle name="Celda de comprobación 15 2" xfId="1683" xr:uid="{00000000-0005-0000-0000-0000A2060000}"/>
    <cellStyle name="Celda de comprobación 15 3" xfId="1684" xr:uid="{00000000-0005-0000-0000-0000A3060000}"/>
    <cellStyle name="Celda de comprobación 15 4" xfId="1685" xr:uid="{00000000-0005-0000-0000-0000A4060000}"/>
    <cellStyle name="Celda de comprobación 15 5" xfId="1686" xr:uid="{00000000-0005-0000-0000-0000A5060000}"/>
    <cellStyle name="Celda de comprobación 15 6" xfId="1687" xr:uid="{00000000-0005-0000-0000-0000A6060000}"/>
    <cellStyle name="Celda de comprobación 15 7" xfId="1688" xr:uid="{00000000-0005-0000-0000-0000A7060000}"/>
    <cellStyle name="Celda de comprobación 16" xfId="1689" xr:uid="{00000000-0005-0000-0000-0000A8060000}"/>
    <cellStyle name="Celda de comprobación 16 2" xfId="1690" xr:uid="{00000000-0005-0000-0000-0000A9060000}"/>
    <cellStyle name="Celda de comprobación 16 3" xfId="1691" xr:uid="{00000000-0005-0000-0000-0000AA060000}"/>
    <cellStyle name="Celda de comprobación 16 4" xfId="1692" xr:uid="{00000000-0005-0000-0000-0000AB060000}"/>
    <cellStyle name="Celda de comprobación 16 5" xfId="1693" xr:uid="{00000000-0005-0000-0000-0000AC060000}"/>
    <cellStyle name="Celda de comprobación 16 6" xfId="1694" xr:uid="{00000000-0005-0000-0000-0000AD060000}"/>
    <cellStyle name="Celda de comprobación 16 7" xfId="1695" xr:uid="{00000000-0005-0000-0000-0000AE060000}"/>
    <cellStyle name="Celda de comprobación 17" xfId="1696" xr:uid="{00000000-0005-0000-0000-0000AF060000}"/>
    <cellStyle name="Celda de comprobación 17 2" xfId="1697" xr:uid="{00000000-0005-0000-0000-0000B0060000}"/>
    <cellStyle name="Celda de comprobación 17 3" xfId="1698" xr:uid="{00000000-0005-0000-0000-0000B1060000}"/>
    <cellStyle name="Celda de comprobación 17 4" xfId="1699" xr:uid="{00000000-0005-0000-0000-0000B2060000}"/>
    <cellStyle name="Celda de comprobación 17 5" xfId="1700" xr:uid="{00000000-0005-0000-0000-0000B3060000}"/>
    <cellStyle name="Celda de comprobación 17 6" xfId="1701" xr:uid="{00000000-0005-0000-0000-0000B4060000}"/>
    <cellStyle name="Celda de comprobación 18" xfId="1702" xr:uid="{00000000-0005-0000-0000-0000B5060000}"/>
    <cellStyle name="Celda de comprobación 19" xfId="1703" xr:uid="{00000000-0005-0000-0000-0000B6060000}"/>
    <cellStyle name="Celda de comprobación 2" xfId="1704" xr:uid="{00000000-0005-0000-0000-0000B7060000}"/>
    <cellStyle name="Celda de comprobación 2 10" xfId="1705" xr:uid="{00000000-0005-0000-0000-0000B8060000}"/>
    <cellStyle name="Celda de comprobación 2 11" xfId="1706" xr:uid="{00000000-0005-0000-0000-0000B9060000}"/>
    <cellStyle name="Celda de comprobación 2 12" xfId="1707" xr:uid="{00000000-0005-0000-0000-0000BA060000}"/>
    <cellStyle name="Celda de comprobación 2 13" xfId="1708" xr:uid="{00000000-0005-0000-0000-0000BB060000}"/>
    <cellStyle name="Celda de comprobación 2 14" xfId="1709" xr:uid="{00000000-0005-0000-0000-0000BC060000}"/>
    <cellStyle name="Celda de comprobación 2 15" xfId="1710" xr:uid="{00000000-0005-0000-0000-0000BD060000}"/>
    <cellStyle name="Celda de comprobación 2 16" xfId="1711" xr:uid="{00000000-0005-0000-0000-0000BE060000}"/>
    <cellStyle name="Celda de comprobación 2 17" xfId="1712" xr:uid="{00000000-0005-0000-0000-0000BF060000}"/>
    <cellStyle name="Celda de comprobación 2 18" xfId="1713" xr:uid="{00000000-0005-0000-0000-0000C0060000}"/>
    <cellStyle name="Celda de comprobación 2 19" xfId="1714" xr:uid="{00000000-0005-0000-0000-0000C1060000}"/>
    <cellStyle name="Celda de comprobación 2 2" xfId="1715" xr:uid="{00000000-0005-0000-0000-0000C2060000}"/>
    <cellStyle name="Celda de comprobación 2 20" xfId="3535" xr:uid="{00000000-0005-0000-0000-0000C3060000}"/>
    <cellStyle name="Celda de comprobación 2 3" xfId="1716" xr:uid="{00000000-0005-0000-0000-0000C4060000}"/>
    <cellStyle name="Celda de comprobación 2 4" xfId="1717" xr:uid="{00000000-0005-0000-0000-0000C5060000}"/>
    <cellStyle name="Celda de comprobación 2 5" xfId="1718" xr:uid="{00000000-0005-0000-0000-0000C6060000}"/>
    <cellStyle name="Celda de comprobación 2 6" xfId="1719" xr:uid="{00000000-0005-0000-0000-0000C7060000}"/>
    <cellStyle name="Celda de comprobación 2 7" xfId="1720" xr:uid="{00000000-0005-0000-0000-0000C8060000}"/>
    <cellStyle name="Celda de comprobación 2 8" xfId="1721" xr:uid="{00000000-0005-0000-0000-0000C9060000}"/>
    <cellStyle name="Celda de comprobación 2 9" xfId="1722" xr:uid="{00000000-0005-0000-0000-0000CA060000}"/>
    <cellStyle name="Celda de comprobación 20" xfId="1723" xr:uid="{00000000-0005-0000-0000-0000CB060000}"/>
    <cellStyle name="Celda de comprobación 21" xfId="1724" xr:uid="{00000000-0005-0000-0000-0000CC060000}"/>
    <cellStyle name="Celda de comprobación 22" xfId="1725" xr:uid="{00000000-0005-0000-0000-0000CD060000}"/>
    <cellStyle name="Celda de comprobación 23" xfId="1726" xr:uid="{00000000-0005-0000-0000-0000CE060000}"/>
    <cellStyle name="Celda de comprobación 24" xfId="3534" xr:uid="{00000000-0005-0000-0000-0000CF060000}"/>
    <cellStyle name="Celda de comprobación 3" xfId="1727" xr:uid="{00000000-0005-0000-0000-0000D0060000}"/>
    <cellStyle name="Celda de comprobación 3 2" xfId="3536" xr:uid="{00000000-0005-0000-0000-0000D1060000}"/>
    <cellStyle name="Celda de comprobación 4" xfId="1728" xr:uid="{00000000-0005-0000-0000-0000D2060000}"/>
    <cellStyle name="Celda de comprobación 5" xfId="1729" xr:uid="{00000000-0005-0000-0000-0000D3060000}"/>
    <cellStyle name="Celda de comprobación 6" xfId="1730" xr:uid="{00000000-0005-0000-0000-0000D4060000}"/>
    <cellStyle name="Celda de comprobación 7" xfId="1731" xr:uid="{00000000-0005-0000-0000-0000D5060000}"/>
    <cellStyle name="Celda de comprobación 8" xfId="1732" xr:uid="{00000000-0005-0000-0000-0000D6060000}"/>
    <cellStyle name="Celda de comprobación 9" xfId="1733" xr:uid="{00000000-0005-0000-0000-0000D7060000}"/>
    <cellStyle name="Celda vinculada 10" xfId="1734" xr:uid="{00000000-0005-0000-0000-0000D8060000}"/>
    <cellStyle name="Celda vinculada 11" xfId="1735" xr:uid="{00000000-0005-0000-0000-0000D9060000}"/>
    <cellStyle name="Celda vinculada 11 2" xfId="1736" xr:uid="{00000000-0005-0000-0000-0000DA060000}"/>
    <cellStyle name="Celda vinculada 11 3" xfId="1737" xr:uid="{00000000-0005-0000-0000-0000DB060000}"/>
    <cellStyle name="Celda vinculada 11 4" xfId="1738" xr:uid="{00000000-0005-0000-0000-0000DC060000}"/>
    <cellStyle name="Celda vinculada 11 5" xfId="1739" xr:uid="{00000000-0005-0000-0000-0000DD060000}"/>
    <cellStyle name="Celda vinculada 11 6" xfId="1740" xr:uid="{00000000-0005-0000-0000-0000DE060000}"/>
    <cellStyle name="Celda vinculada 11 7" xfId="1741" xr:uid="{00000000-0005-0000-0000-0000DF060000}"/>
    <cellStyle name="Celda vinculada 12" xfId="1742" xr:uid="{00000000-0005-0000-0000-0000E0060000}"/>
    <cellStyle name="Celda vinculada 12 2" xfId="1743" xr:uid="{00000000-0005-0000-0000-0000E1060000}"/>
    <cellStyle name="Celda vinculada 12 3" xfId="1744" xr:uid="{00000000-0005-0000-0000-0000E2060000}"/>
    <cellStyle name="Celda vinculada 12 4" xfId="1745" xr:uid="{00000000-0005-0000-0000-0000E3060000}"/>
    <cellStyle name="Celda vinculada 12 5" xfId="1746" xr:uid="{00000000-0005-0000-0000-0000E4060000}"/>
    <cellStyle name="Celda vinculada 12 6" xfId="1747" xr:uid="{00000000-0005-0000-0000-0000E5060000}"/>
    <cellStyle name="Celda vinculada 12 7" xfId="1748" xr:uid="{00000000-0005-0000-0000-0000E6060000}"/>
    <cellStyle name="Celda vinculada 13" xfId="1749" xr:uid="{00000000-0005-0000-0000-0000E7060000}"/>
    <cellStyle name="Celda vinculada 13 2" xfId="1750" xr:uid="{00000000-0005-0000-0000-0000E8060000}"/>
    <cellStyle name="Celda vinculada 13 3" xfId="1751" xr:uid="{00000000-0005-0000-0000-0000E9060000}"/>
    <cellStyle name="Celda vinculada 13 4" xfId="1752" xr:uid="{00000000-0005-0000-0000-0000EA060000}"/>
    <cellStyle name="Celda vinculada 13 5" xfId="1753" xr:uid="{00000000-0005-0000-0000-0000EB060000}"/>
    <cellStyle name="Celda vinculada 13 6" xfId="1754" xr:uid="{00000000-0005-0000-0000-0000EC060000}"/>
    <cellStyle name="Celda vinculada 13 7" xfId="1755" xr:uid="{00000000-0005-0000-0000-0000ED060000}"/>
    <cellStyle name="Celda vinculada 14" xfId="1756" xr:uid="{00000000-0005-0000-0000-0000EE060000}"/>
    <cellStyle name="Celda vinculada 14 2" xfId="1757" xr:uid="{00000000-0005-0000-0000-0000EF060000}"/>
    <cellStyle name="Celda vinculada 14 3" xfId="1758" xr:uid="{00000000-0005-0000-0000-0000F0060000}"/>
    <cellStyle name="Celda vinculada 14 4" xfId="1759" xr:uid="{00000000-0005-0000-0000-0000F1060000}"/>
    <cellStyle name="Celda vinculada 14 5" xfId="1760" xr:uid="{00000000-0005-0000-0000-0000F2060000}"/>
    <cellStyle name="Celda vinculada 14 6" xfId="1761" xr:uid="{00000000-0005-0000-0000-0000F3060000}"/>
    <cellStyle name="Celda vinculada 14 7" xfId="1762" xr:uid="{00000000-0005-0000-0000-0000F4060000}"/>
    <cellStyle name="Celda vinculada 15" xfId="1763" xr:uid="{00000000-0005-0000-0000-0000F5060000}"/>
    <cellStyle name="Celda vinculada 15 2" xfId="1764" xr:uid="{00000000-0005-0000-0000-0000F6060000}"/>
    <cellStyle name="Celda vinculada 15 3" xfId="1765" xr:uid="{00000000-0005-0000-0000-0000F7060000}"/>
    <cellStyle name="Celda vinculada 15 4" xfId="1766" xr:uid="{00000000-0005-0000-0000-0000F8060000}"/>
    <cellStyle name="Celda vinculada 15 5" xfId="1767" xr:uid="{00000000-0005-0000-0000-0000F9060000}"/>
    <cellStyle name="Celda vinculada 15 6" xfId="1768" xr:uid="{00000000-0005-0000-0000-0000FA060000}"/>
    <cellStyle name="Celda vinculada 15 7" xfId="1769" xr:uid="{00000000-0005-0000-0000-0000FB060000}"/>
    <cellStyle name="Celda vinculada 16" xfId="1770" xr:uid="{00000000-0005-0000-0000-0000FC060000}"/>
    <cellStyle name="Celda vinculada 16 2" xfId="1771" xr:uid="{00000000-0005-0000-0000-0000FD060000}"/>
    <cellStyle name="Celda vinculada 16 3" xfId="1772" xr:uid="{00000000-0005-0000-0000-0000FE060000}"/>
    <cellStyle name="Celda vinculada 16 4" xfId="1773" xr:uid="{00000000-0005-0000-0000-0000FF060000}"/>
    <cellStyle name="Celda vinculada 16 5" xfId="1774" xr:uid="{00000000-0005-0000-0000-000000070000}"/>
    <cellStyle name="Celda vinculada 16 6" xfId="1775" xr:uid="{00000000-0005-0000-0000-000001070000}"/>
    <cellStyle name="Celda vinculada 16 7" xfId="1776" xr:uid="{00000000-0005-0000-0000-000002070000}"/>
    <cellStyle name="Celda vinculada 17" xfId="1777" xr:uid="{00000000-0005-0000-0000-000003070000}"/>
    <cellStyle name="Celda vinculada 17 2" xfId="1778" xr:uid="{00000000-0005-0000-0000-000004070000}"/>
    <cellStyle name="Celda vinculada 17 3" xfId="1779" xr:uid="{00000000-0005-0000-0000-000005070000}"/>
    <cellStyle name="Celda vinculada 17 4" xfId="1780" xr:uid="{00000000-0005-0000-0000-000006070000}"/>
    <cellStyle name="Celda vinculada 17 5" xfId="1781" xr:uid="{00000000-0005-0000-0000-000007070000}"/>
    <cellStyle name="Celda vinculada 17 6" xfId="1782" xr:uid="{00000000-0005-0000-0000-000008070000}"/>
    <cellStyle name="Celda vinculada 18" xfId="1783" xr:uid="{00000000-0005-0000-0000-000009070000}"/>
    <cellStyle name="Celda vinculada 19" xfId="1784" xr:uid="{00000000-0005-0000-0000-00000A070000}"/>
    <cellStyle name="Celda vinculada 2" xfId="1785" xr:uid="{00000000-0005-0000-0000-00000B070000}"/>
    <cellStyle name="Celda vinculada 2 10" xfId="1786" xr:uid="{00000000-0005-0000-0000-00000C070000}"/>
    <cellStyle name="Celda vinculada 2 11" xfId="1787" xr:uid="{00000000-0005-0000-0000-00000D070000}"/>
    <cellStyle name="Celda vinculada 2 12" xfId="1788" xr:uid="{00000000-0005-0000-0000-00000E070000}"/>
    <cellStyle name="Celda vinculada 2 13" xfId="1789" xr:uid="{00000000-0005-0000-0000-00000F070000}"/>
    <cellStyle name="Celda vinculada 2 14" xfId="1790" xr:uid="{00000000-0005-0000-0000-000010070000}"/>
    <cellStyle name="Celda vinculada 2 15" xfId="1791" xr:uid="{00000000-0005-0000-0000-000011070000}"/>
    <cellStyle name="Celda vinculada 2 16" xfId="1792" xr:uid="{00000000-0005-0000-0000-000012070000}"/>
    <cellStyle name="Celda vinculada 2 17" xfId="1793" xr:uid="{00000000-0005-0000-0000-000013070000}"/>
    <cellStyle name="Celda vinculada 2 18" xfId="1794" xr:uid="{00000000-0005-0000-0000-000014070000}"/>
    <cellStyle name="Celda vinculada 2 19" xfId="1795" xr:uid="{00000000-0005-0000-0000-000015070000}"/>
    <cellStyle name="Celda vinculada 2 2" xfId="1796" xr:uid="{00000000-0005-0000-0000-000016070000}"/>
    <cellStyle name="Celda vinculada 2 20" xfId="3537" xr:uid="{00000000-0005-0000-0000-000017070000}"/>
    <cellStyle name="Celda vinculada 2 3" xfId="1797" xr:uid="{00000000-0005-0000-0000-000018070000}"/>
    <cellStyle name="Celda vinculada 2 4" xfId="1798" xr:uid="{00000000-0005-0000-0000-000019070000}"/>
    <cellStyle name="Celda vinculada 2 5" xfId="1799" xr:uid="{00000000-0005-0000-0000-00001A070000}"/>
    <cellStyle name="Celda vinculada 2 6" xfId="1800" xr:uid="{00000000-0005-0000-0000-00001B070000}"/>
    <cellStyle name="Celda vinculada 2 7" xfId="1801" xr:uid="{00000000-0005-0000-0000-00001C070000}"/>
    <cellStyle name="Celda vinculada 2 8" xfId="1802" xr:uid="{00000000-0005-0000-0000-00001D070000}"/>
    <cellStyle name="Celda vinculada 2 9" xfId="1803" xr:uid="{00000000-0005-0000-0000-00001E070000}"/>
    <cellStyle name="Celda vinculada 20" xfId="1804" xr:uid="{00000000-0005-0000-0000-00001F070000}"/>
    <cellStyle name="Celda vinculada 21" xfId="1805" xr:uid="{00000000-0005-0000-0000-000020070000}"/>
    <cellStyle name="Celda vinculada 22" xfId="1806" xr:uid="{00000000-0005-0000-0000-000021070000}"/>
    <cellStyle name="Celda vinculada 23" xfId="1807" xr:uid="{00000000-0005-0000-0000-000022070000}"/>
    <cellStyle name="Celda vinculada 3" xfId="1808" xr:uid="{00000000-0005-0000-0000-000023070000}"/>
    <cellStyle name="Celda vinculada 4" xfId="1809" xr:uid="{00000000-0005-0000-0000-000024070000}"/>
    <cellStyle name="Celda vinculada 5" xfId="1810" xr:uid="{00000000-0005-0000-0000-000025070000}"/>
    <cellStyle name="Celda vinculada 6" xfId="1811" xr:uid="{00000000-0005-0000-0000-000026070000}"/>
    <cellStyle name="Celda vinculada 7" xfId="1812" xr:uid="{00000000-0005-0000-0000-000027070000}"/>
    <cellStyle name="Celda vinculada 8" xfId="1813" xr:uid="{00000000-0005-0000-0000-000028070000}"/>
    <cellStyle name="Celda vinculada 9" xfId="1814" xr:uid="{00000000-0005-0000-0000-000029070000}"/>
    <cellStyle name="Comma" xfId="3483" builtinId="3"/>
    <cellStyle name="Encabezado 4 10" xfId="1815" xr:uid="{00000000-0005-0000-0000-00002A070000}"/>
    <cellStyle name="Encabezado 4 11" xfId="1816" xr:uid="{00000000-0005-0000-0000-00002B070000}"/>
    <cellStyle name="Encabezado 4 11 2" xfId="1817" xr:uid="{00000000-0005-0000-0000-00002C070000}"/>
    <cellStyle name="Encabezado 4 11 3" xfId="1818" xr:uid="{00000000-0005-0000-0000-00002D070000}"/>
    <cellStyle name="Encabezado 4 11 4" xfId="1819" xr:uid="{00000000-0005-0000-0000-00002E070000}"/>
    <cellStyle name="Encabezado 4 11 5" xfId="1820" xr:uid="{00000000-0005-0000-0000-00002F070000}"/>
    <cellStyle name="Encabezado 4 11 6" xfId="1821" xr:uid="{00000000-0005-0000-0000-000030070000}"/>
    <cellStyle name="Encabezado 4 11 7" xfId="1822" xr:uid="{00000000-0005-0000-0000-000031070000}"/>
    <cellStyle name="Encabezado 4 12" xfId="1823" xr:uid="{00000000-0005-0000-0000-000032070000}"/>
    <cellStyle name="Encabezado 4 12 2" xfId="1824" xr:uid="{00000000-0005-0000-0000-000033070000}"/>
    <cellStyle name="Encabezado 4 12 3" xfId="1825" xr:uid="{00000000-0005-0000-0000-000034070000}"/>
    <cellStyle name="Encabezado 4 12 4" xfId="1826" xr:uid="{00000000-0005-0000-0000-000035070000}"/>
    <cellStyle name="Encabezado 4 12 5" xfId="1827" xr:uid="{00000000-0005-0000-0000-000036070000}"/>
    <cellStyle name="Encabezado 4 12 6" xfId="1828" xr:uid="{00000000-0005-0000-0000-000037070000}"/>
    <cellStyle name="Encabezado 4 12 7" xfId="1829" xr:uid="{00000000-0005-0000-0000-000038070000}"/>
    <cellStyle name="Encabezado 4 13" xfId="1830" xr:uid="{00000000-0005-0000-0000-000039070000}"/>
    <cellStyle name="Encabezado 4 13 2" xfId="1831" xr:uid="{00000000-0005-0000-0000-00003A070000}"/>
    <cellStyle name="Encabezado 4 13 3" xfId="1832" xr:uid="{00000000-0005-0000-0000-00003B070000}"/>
    <cellStyle name="Encabezado 4 13 4" xfId="1833" xr:uid="{00000000-0005-0000-0000-00003C070000}"/>
    <cellStyle name="Encabezado 4 13 5" xfId="1834" xr:uid="{00000000-0005-0000-0000-00003D070000}"/>
    <cellStyle name="Encabezado 4 13 6" xfId="1835" xr:uid="{00000000-0005-0000-0000-00003E070000}"/>
    <cellStyle name="Encabezado 4 13 7" xfId="1836" xr:uid="{00000000-0005-0000-0000-00003F070000}"/>
    <cellStyle name="Encabezado 4 14" xfId="1837" xr:uid="{00000000-0005-0000-0000-000040070000}"/>
    <cellStyle name="Encabezado 4 14 2" xfId="1838" xr:uid="{00000000-0005-0000-0000-000041070000}"/>
    <cellStyle name="Encabezado 4 14 3" xfId="1839" xr:uid="{00000000-0005-0000-0000-000042070000}"/>
    <cellStyle name="Encabezado 4 14 4" xfId="1840" xr:uid="{00000000-0005-0000-0000-000043070000}"/>
    <cellStyle name="Encabezado 4 14 5" xfId="1841" xr:uid="{00000000-0005-0000-0000-000044070000}"/>
    <cellStyle name="Encabezado 4 14 6" xfId="1842" xr:uid="{00000000-0005-0000-0000-000045070000}"/>
    <cellStyle name="Encabezado 4 14 7" xfId="1843" xr:uid="{00000000-0005-0000-0000-000046070000}"/>
    <cellStyle name="Encabezado 4 15" xfId="1844" xr:uid="{00000000-0005-0000-0000-000047070000}"/>
    <cellStyle name="Encabezado 4 15 2" xfId="1845" xr:uid="{00000000-0005-0000-0000-000048070000}"/>
    <cellStyle name="Encabezado 4 15 3" xfId="1846" xr:uid="{00000000-0005-0000-0000-000049070000}"/>
    <cellStyle name="Encabezado 4 15 4" xfId="1847" xr:uid="{00000000-0005-0000-0000-00004A070000}"/>
    <cellStyle name="Encabezado 4 15 5" xfId="1848" xr:uid="{00000000-0005-0000-0000-00004B070000}"/>
    <cellStyle name="Encabezado 4 15 6" xfId="1849" xr:uid="{00000000-0005-0000-0000-00004C070000}"/>
    <cellStyle name="Encabezado 4 15 7" xfId="1850" xr:uid="{00000000-0005-0000-0000-00004D070000}"/>
    <cellStyle name="Encabezado 4 16" xfId="1851" xr:uid="{00000000-0005-0000-0000-00004E070000}"/>
    <cellStyle name="Encabezado 4 16 2" xfId="1852" xr:uid="{00000000-0005-0000-0000-00004F070000}"/>
    <cellStyle name="Encabezado 4 16 3" xfId="1853" xr:uid="{00000000-0005-0000-0000-000050070000}"/>
    <cellStyle name="Encabezado 4 16 4" xfId="1854" xr:uid="{00000000-0005-0000-0000-000051070000}"/>
    <cellStyle name="Encabezado 4 16 5" xfId="1855" xr:uid="{00000000-0005-0000-0000-000052070000}"/>
    <cellStyle name="Encabezado 4 16 6" xfId="1856" xr:uid="{00000000-0005-0000-0000-000053070000}"/>
    <cellStyle name="Encabezado 4 16 7" xfId="1857" xr:uid="{00000000-0005-0000-0000-000054070000}"/>
    <cellStyle name="Encabezado 4 17" xfId="1858" xr:uid="{00000000-0005-0000-0000-000055070000}"/>
    <cellStyle name="Encabezado 4 17 2" xfId="1859" xr:uid="{00000000-0005-0000-0000-000056070000}"/>
    <cellStyle name="Encabezado 4 17 3" xfId="1860" xr:uid="{00000000-0005-0000-0000-000057070000}"/>
    <cellStyle name="Encabezado 4 17 4" xfId="1861" xr:uid="{00000000-0005-0000-0000-000058070000}"/>
    <cellStyle name="Encabezado 4 17 5" xfId="1862" xr:uid="{00000000-0005-0000-0000-000059070000}"/>
    <cellStyle name="Encabezado 4 17 6" xfId="1863" xr:uid="{00000000-0005-0000-0000-00005A070000}"/>
    <cellStyle name="Encabezado 4 18" xfId="1864" xr:uid="{00000000-0005-0000-0000-00005B070000}"/>
    <cellStyle name="Encabezado 4 19" xfId="1865" xr:uid="{00000000-0005-0000-0000-00005C070000}"/>
    <cellStyle name="Encabezado 4 2" xfId="1866" xr:uid="{00000000-0005-0000-0000-00005D070000}"/>
    <cellStyle name="Encabezado 4 2 10" xfId="1867" xr:uid="{00000000-0005-0000-0000-00005E070000}"/>
    <cellStyle name="Encabezado 4 2 11" xfId="1868" xr:uid="{00000000-0005-0000-0000-00005F070000}"/>
    <cellStyle name="Encabezado 4 2 12" xfId="1869" xr:uid="{00000000-0005-0000-0000-000060070000}"/>
    <cellStyle name="Encabezado 4 2 13" xfId="1870" xr:uid="{00000000-0005-0000-0000-000061070000}"/>
    <cellStyle name="Encabezado 4 2 14" xfId="1871" xr:uid="{00000000-0005-0000-0000-000062070000}"/>
    <cellStyle name="Encabezado 4 2 15" xfId="1872" xr:uid="{00000000-0005-0000-0000-000063070000}"/>
    <cellStyle name="Encabezado 4 2 16" xfId="1873" xr:uid="{00000000-0005-0000-0000-000064070000}"/>
    <cellStyle name="Encabezado 4 2 17" xfId="1874" xr:uid="{00000000-0005-0000-0000-000065070000}"/>
    <cellStyle name="Encabezado 4 2 18" xfId="1875" xr:uid="{00000000-0005-0000-0000-000066070000}"/>
    <cellStyle name="Encabezado 4 2 19" xfId="1876" xr:uid="{00000000-0005-0000-0000-000067070000}"/>
    <cellStyle name="Encabezado 4 2 2" xfId="1877" xr:uid="{00000000-0005-0000-0000-000068070000}"/>
    <cellStyle name="Encabezado 4 2 20" xfId="3539" xr:uid="{00000000-0005-0000-0000-000069070000}"/>
    <cellStyle name="Encabezado 4 2 3" xfId="1878" xr:uid="{00000000-0005-0000-0000-00006A070000}"/>
    <cellStyle name="Encabezado 4 2 4" xfId="1879" xr:uid="{00000000-0005-0000-0000-00006B070000}"/>
    <cellStyle name="Encabezado 4 2 5" xfId="1880" xr:uid="{00000000-0005-0000-0000-00006C070000}"/>
    <cellStyle name="Encabezado 4 2 6" xfId="1881" xr:uid="{00000000-0005-0000-0000-00006D070000}"/>
    <cellStyle name="Encabezado 4 2 7" xfId="1882" xr:uid="{00000000-0005-0000-0000-00006E070000}"/>
    <cellStyle name="Encabezado 4 2 8" xfId="1883" xr:uid="{00000000-0005-0000-0000-00006F070000}"/>
    <cellStyle name="Encabezado 4 2 9" xfId="1884" xr:uid="{00000000-0005-0000-0000-000070070000}"/>
    <cellStyle name="Encabezado 4 20" xfId="1885" xr:uid="{00000000-0005-0000-0000-000071070000}"/>
    <cellStyle name="Encabezado 4 21" xfId="1886" xr:uid="{00000000-0005-0000-0000-000072070000}"/>
    <cellStyle name="Encabezado 4 22" xfId="1887" xr:uid="{00000000-0005-0000-0000-000073070000}"/>
    <cellStyle name="Encabezado 4 23" xfId="1888" xr:uid="{00000000-0005-0000-0000-000074070000}"/>
    <cellStyle name="Encabezado 4 24" xfId="3538" xr:uid="{00000000-0005-0000-0000-000075070000}"/>
    <cellStyle name="Encabezado 4 3" xfId="1889" xr:uid="{00000000-0005-0000-0000-000076070000}"/>
    <cellStyle name="Encabezado 4 3 2" xfId="3540" xr:uid="{00000000-0005-0000-0000-000077070000}"/>
    <cellStyle name="Encabezado 4 4" xfId="1890" xr:uid="{00000000-0005-0000-0000-000078070000}"/>
    <cellStyle name="Encabezado 4 5" xfId="1891" xr:uid="{00000000-0005-0000-0000-000079070000}"/>
    <cellStyle name="Encabezado 4 6" xfId="1892" xr:uid="{00000000-0005-0000-0000-00007A070000}"/>
    <cellStyle name="Encabezado 4 7" xfId="1893" xr:uid="{00000000-0005-0000-0000-00007B070000}"/>
    <cellStyle name="Encabezado 4 8" xfId="1894" xr:uid="{00000000-0005-0000-0000-00007C070000}"/>
    <cellStyle name="Encabezado 4 9" xfId="1895" xr:uid="{00000000-0005-0000-0000-00007D070000}"/>
    <cellStyle name="Énfasis1 10" xfId="1896" xr:uid="{00000000-0005-0000-0000-00007E070000}"/>
    <cellStyle name="Énfasis1 11" xfId="1897" xr:uid="{00000000-0005-0000-0000-00007F070000}"/>
    <cellStyle name="Énfasis1 11 2" xfId="1898" xr:uid="{00000000-0005-0000-0000-000080070000}"/>
    <cellStyle name="Énfasis1 11 3" xfId="1899" xr:uid="{00000000-0005-0000-0000-000081070000}"/>
    <cellStyle name="Énfasis1 11 4" xfId="1900" xr:uid="{00000000-0005-0000-0000-000082070000}"/>
    <cellStyle name="Énfasis1 11 5" xfId="1901" xr:uid="{00000000-0005-0000-0000-000083070000}"/>
    <cellStyle name="Énfasis1 11 6" xfId="1902" xr:uid="{00000000-0005-0000-0000-000084070000}"/>
    <cellStyle name="Énfasis1 11 7" xfId="1903" xr:uid="{00000000-0005-0000-0000-000085070000}"/>
    <cellStyle name="Énfasis1 12" xfId="1904" xr:uid="{00000000-0005-0000-0000-000086070000}"/>
    <cellStyle name="Énfasis1 12 2" xfId="1905" xr:uid="{00000000-0005-0000-0000-000087070000}"/>
    <cellStyle name="Énfasis1 12 3" xfId="1906" xr:uid="{00000000-0005-0000-0000-000088070000}"/>
    <cellStyle name="Énfasis1 12 4" xfId="1907" xr:uid="{00000000-0005-0000-0000-000089070000}"/>
    <cellStyle name="Énfasis1 12 5" xfId="1908" xr:uid="{00000000-0005-0000-0000-00008A070000}"/>
    <cellStyle name="Énfasis1 12 6" xfId="1909" xr:uid="{00000000-0005-0000-0000-00008B070000}"/>
    <cellStyle name="Énfasis1 12 7" xfId="1910" xr:uid="{00000000-0005-0000-0000-00008C070000}"/>
    <cellStyle name="Énfasis1 13" xfId="1911" xr:uid="{00000000-0005-0000-0000-00008D070000}"/>
    <cellStyle name="Énfasis1 13 2" xfId="1912" xr:uid="{00000000-0005-0000-0000-00008E070000}"/>
    <cellStyle name="Énfasis1 13 3" xfId="1913" xr:uid="{00000000-0005-0000-0000-00008F070000}"/>
    <cellStyle name="Énfasis1 13 4" xfId="1914" xr:uid="{00000000-0005-0000-0000-000090070000}"/>
    <cellStyle name="Énfasis1 13 5" xfId="1915" xr:uid="{00000000-0005-0000-0000-000091070000}"/>
    <cellStyle name="Énfasis1 13 6" xfId="1916" xr:uid="{00000000-0005-0000-0000-000092070000}"/>
    <cellStyle name="Énfasis1 13 7" xfId="1917" xr:uid="{00000000-0005-0000-0000-000093070000}"/>
    <cellStyle name="Énfasis1 14" xfId="1918" xr:uid="{00000000-0005-0000-0000-000094070000}"/>
    <cellStyle name="Énfasis1 14 2" xfId="1919" xr:uid="{00000000-0005-0000-0000-000095070000}"/>
    <cellStyle name="Énfasis1 14 3" xfId="1920" xr:uid="{00000000-0005-0000-0000-000096070000}"/>
    <cellStyle name="Énfasis1 14 4" xfId="1921" xr:uid="{00000000-0005-0000-0000-000097070000}"/>
    <cellStyle name="Énfasis1 14 5" xfId="1922" xr:uid="{00000000-0005-0000-0000-000098070000}"/>
    <cellStyle name="Énfasis1 14 6" xfId="1923" xr:uid="{00000000-0005-0000-0000-000099070000}"/>
    <cellStyle name="Énfasis1 14 7" xfId="1924" xr:uid="{00000000-0005-0000-0000-00009A070000}"/>
    <cellStyle name="Énfasis1 15" xfId="1925" xr:uid="{00000000-0005-0000-0000-00009B070000}"/>
    <cellStyle name="Énfasis1 15 2" xfId="1926" xr:uid="{00000000-0005-0000-0000-00009C070000}"/>
    <cellStyle name="Énfasis1 15 3" xfId="1927" xr:uid="{00000000-0005-0000-0000-00009D070000}"/>
    <cellStyle name="Énfasis1 15 4" xfId="1928" xr:uid="{00000000-0005-0000-0000-00009E070000}"/>
    <cellStyle name="Énfasis1 15 5" xfId="1929" xr:uid="{00000000-0005-0000-0000-00009F070000}"/>
    <cellStyle name="Énfasis1 15 6" xfId="1930" xr:uid="{00000000-0005-0000-0000-0000A0070000}"/>
    <cellStyle name="Énfasis1 15 7" xfId="1931" xr:uid="{00000000-0005-0000-0000-0000A1070000}"/>
    <cellStyle name="Énfasis1 16" xfId="1932" xr:uid="{00000000-0005-0000-0000-0000A2070000}"/>
    <cellStyle name="Énfasis1 16 2" xfId="1933" xr:uid="{00000000-0005-0000-0000-0000A3070000}"/>
    <cellStyle name="Énfasis1 16 3" xfId="1934" xr:uid="{00000000-0005-0000-0000-0000A4070000}"/>
    <cellStyle name="Énfasis1 16 4" xfId="1935" xr:uid="{00000000-0005-0000-0000-0000A5070000}"/>
    <cellStyle name="Énfasis1 16 5" xfId="1936" xr:uid="{00000000-0005-0000-0000-0000A6070000}"/>
    <cellStyle name="Énfasis1 16 6" xfId="1937" xr:uid="{00000000-0005-0000-0000-0000A7070000}"/>
    <cellStyle name="Énfasis1 16 7" xfId="1938" xr:uid="{00000000-0005-0000-0000-0000A8070000}"/>
    <cellStyle name="Énfasis1 17" xfId="1939" xr:uid="{00000000-0005-0000-0000-0000A9070000}"/>
    <cellStyle name="Énfasis1 17 2" xfId="1940" xr:uid="{00000000-0005-0000-0000-0000AA070000}"/>
    <cellStyle name="Énfasis1 17 3" xfId="1941" xr:uid="{00000000-0005-0000-0000-0000AB070000}"/>
    <cellStyle name="Énfasis1 17 4" xfId="1942" xr:uid="{00000000-0005-0000-0000-0000AC070000}"/>
    <cellStyle name="Énfasis1 17 5" xfId="1943" xr:uid="{00000000-0005-0000-0000-0000AD070000}"/>
    <cellStyle name="Énfasis1 17 6" xfId="1944" xr:uid="{00000000-0005-0000-0000-0000AE070000}"/>
    <cellStyle name="Énfasis1 18" xfId="1945" xr:uid="{00000000-0005-0000-0000-0000AF070000}"/>
    <cellStyle name="Énfasis1 19" xfId="1946" xr:uid="{00000000-0005-0000-0000-0000B0070000}"/>
    <cellStyle name="Énfasis1 2" xfId="1947" xr:uid="{00000000-0005-0000-0000-0000B1070000}"/>
    <cellStyle name="Énfasis1 2 10" xfId="1948" xr:uid="{00000000-0005-0000-0000-0000B2070000}"/>
    <cellStyle name="Énfasis1 2 11" xfId="1949" xr:uid="{00000000-0005-0000-0000-0000B3070000}"/>
    <cellStyle name="Énfasis1 2 12" xfId="1950" xr:uid="{00000000-0005-0000-0000-0000B4070000}"/>
    <cellStyle name="Énfasis1 2 13" xfId="1951" xr:uid="{00000000-0005-0000-0000-0000B5070000}"/>
    <cellStyle name="Énfasis1 2 14" xfId="1952" xr:uid="{00000000-0005-0000-0000-0000B6070000}"/>
    <cellStyle name="Énfasis1 2 15" xfId="1953" xr:uid="{00000000-0005-0000-0000-0000B7070000}"/>
    <cellStyle name="Énfasis1 2 16" xfId="1954" xr:uid="{00000000-0005-0000-0000-0000B8070000}"/>
    <cellStyle name="Énfasis1 2 17" xfId="1955" xr:uid="{00000000-0005-0000-0000-0000B9070000}"/>
    <cellStyle name="Énfasis1 2 18" xfId="1956" xr:uid="{00000000-0005-0000-0000-0000BA070000}"/>
    <cellStyle name="Énfasis1 2 19" xfId="1957" xr:uid="{00000000-0005-0000-0000-0000BB070000}"/>
    <cellStyle name="Énfasis1 2 2" xfId="1958" xr:uid="{00000000-0005-0000-0000-0000BC070000}"/>
    <cellStyle name="Énfasis1 2 20" xfId="3542" xr:uid="{00000000-0005-0000-0000-0000BD070000}"/>
    <cellStyle name="Énfasis1 2 3" xfId="1959" xr:uid="{00000000-0005-0000-0000-0000BE070000}"/>
    <cellStyle name="Énfasis1 2 4" xfId="1960" xr:uid="{00000000-0005-0000-0000-0000BF070000}"/>
    <cellStyle name="Énfasis1 2 5" xfId="1961" xr:uid="{00000000-0005-0000-0000-0000C0070000}"/>
    <cellStyle name="Énfasis1 2 6" xfId="1962" xr:uid="{00000000-0005-0000-0000-0000C1070000}"/>
    <cellStyle name="Énfasis1 2 7" xfId="1963" xr:uid="{00000000-0005-0000-0000-0000C2070000}"/>
    <cellStyle name="Énfasis1 2 8" xfId="1964" xr:uid="{00000000-0005-0000-0000-0000C3070000}"/>
    <cellStyle name="Énfasis1 2 9" xfId="1965" xr:uid="{00000000-0005-0000-0000-0000C4070000}"/>
    <cellStyle name="Énfasis1 20" xfId="1966" xr:uid="{00000000-0005-0000-0000-0000C5070000}"/>
    <cellStyle name="Énfasis1 21" xfId="1967" xr:uid="{00000000-0005-0000-0000-0000C6070000}"/>
    <cellStyle name="Énfasis1 22" xfId="1968" xr:uid="{00000000-0005-0000-0000-0000C7070000}"/>
    <cellStyle name="Énfasis1 23" xfId="1969" xr:uid="{00000000-0005-0000-0000-0000C8070000}"/>
    <cellStyle name="Énfasis1 24" xfId="3541" xr:uid="{00000000-0005-0000-0000-0000C9070000}"/>
    <cellStyle name="Énfasis1 3" xfId="1970" xr:uid="{00000000-0005-0000-0000-0000CA070000}"/>
    <cellStyle name="Énfasis1 3 2" xfId="3543" xr:uid="{00000000-0005-0000-0000-0000CB070000}"/>
    <cellStyle name="Énfasis1 4" xfId="1971" xr:uid="{00000000-0005-0000-0000-0000CC070000}"/>
    <cellStyle name="Énfasis1 5" xfId="1972" xr:uid="{00000000-0005-0000-0000-0000CD070000}"/>
    <cellStyle name="Énfasis1 6" xfId="1973" xr:uid="{00000000-0005-0000-0000-0000CE070000}"/>
    <cellStyle name="Énfasis1 7" xfId="1974" xr:uid="{00000000-0005-0000-0000-0000CF070000}"/>
    <cellStyle name="Énfasis1 8" xfId="1975" xr:uid="{00000000-0005-0000-0000-0000D0070000}"/>
    <cellStyle name="Énfasis1 9" xfId="1976" xr:uid="{00000000-0005-0000-0000-0000D1070000}"/>
    <cellStyle name="Énfasis2 10" xfId="1977" xr:uid="{00000000-0005-0000-0000-0000D2070000}"/>
    <cellStyle name="Énfasis2 11" xfId="1978" xr:uid="{00000000-0005-0000-0000-0000D3070000}"/>
    <cellStyle name="Énfasis2 11 2" xfId="1979" xr:uid="{00000000-0005-0000-0000-0000D4070000}"/>
    <cellStyle name="Énfasis2 11 3" xfId="1980" xr:uid="{00000000-0005-0000-0000-0000D5070000}"/>
    <cellStyle name="Énfasis2 11 4" xfId="1981" xr:uid="{00000000-0005-0000-0000-0000D6070000}"/>
    <cellStyle name="Énfasis2 11 5" xfId="1982" xr:uid="{00000000-0005-0000-0000-0000D7070000}"/>
    <cellStyle name="Énfasis2 11 6" xfId="1983" xr:uid="{00000000-0005-0000-0000-0000D8070000}"/>
    <cellStyle name="Énfasis2 11 7" xfId="1984" xr:uid="{00000000-0005-0000-0000-0000D9070000}"/>
    <cellStyle name="Énfasis2 12" xfId="1985" xr:uid="{00000000-0005-0000-0000-0000DA070000}"/>
    <cellStyle name="Énfasis2 12 2" xfId="1986" xr:uid="{00000000-0005-0000-0000-0000DB070000}"/>
    <cellStyle name="Énfasis2 12 3" xfId="1987" xr:uid="{00000000-0005-0000-0000-0000DC070000}"/>
    <cellStyle name="Énfasis2 12 4" xfId="1988" xr:uid="{00000000-0005-0000-0000-0000DD070000}"/>
    <cellStyle name="Énfasis2 12 5" xfId="1989" xr:uid="{00000000-0005-0000-0000-0000DE070000}"/>
    <cellStyle name="Énfasis2 12 6" xfId="1990" xr:uid="{00000000-0005-0000-0000-0000DF070000}"/>
    <cellStyle name="Énfasis2 12 7" xfId="1991" xr:uid="{00000000-0005-0000-0000-0000E0070000}"/>
    <cellStyle name="Énfasis2 13" xfId="1992" xr:uid="{00000000-0005-0000-0000-0000E1070000}"/>
    <cellStyle name="Énfasis2 13 2" xfId="1993" xr:uid="{00000000-0005-0000-0000-0000E2070000}"/>
    <cellStyle name="Énfasis2 13 3" xfId="1994" xr:uid="{00000000-0005-0000-0000-0000E3070000}"/>
    <cellStyle name="Énfasis2 13 4" xfId="1995" xr:uid="{00000000-0005-0000-0000-0000E4070000}"/>
    <cellStyle name="Énfasis2 13 5" xfId="1996" xr:uid="{00000000-0005-0000-0000-0000E5070000}"/>
    <cellStyle name="Énfasis2 13 6" xfId="1997" xr:uid="{00000000-0005-0000-0000-0000E6070000}"/>
    <cellStyle name="Énfasis2 13 7" xfId="1998" xr:uid="{00000000-0005-0000-0000-0000E7070000}"/>
    <cellStyle name="Énfasis2 14" xfId="1999" xr:uid="{00000000-0005-0000-0000-0000E8070000}"/>
    <cellStyle name="Énfasis2 14 2" xfId="2000" xr:uid="{00000000-0005-0000-0000-0000E9070000}"/>
    <cellStyle name="Énfasis2 14 3" xfId="2001" xr:uid="{00000000-0005-0000-0000-0000EA070000}"/>
    <cellStyle name="Énfasis2 14 4" xfId="2002" xr:uid="{00000000-0005-0000-0000-0000EB070000}"/>
    <cellStyle name="Énfasis2 14 5" xfId="2003" xr:uid="{00000000-0005-0000-0000-0000EC070000}"/>
    <cellStyle name="Énfasis2 14 6" xfId="2004" xr:uid="{00000000-0005-0000-0000-0000ED070000}"/>
    <cellStyle name="Énfasis2 14 7" xfId="2005" xr:uid="{00000000-0005-0000-0000-0000EE070000}"/>
    <cellStyle name="Énfasis2 15" xfId="2006" xr:uid="{00000000-0005-0000-0000-0000EF070000}"/>
    <cellStyle name="Énfasis2 15 2" xfId="2007" xr:uid="{00000000-0005-0000-0000-0000F0070000}"/>
    <cellStyle name="Énfasis2 15 3" xfId="2008" xr:uid="{00000000-0005-0000-0000-0000F1070000}"/>
    <cellStyle name="Énfasis2 15 4" xfId="2009" xr:uid="{00000000-0005-0000-0000-0000F2070000}"/>
    <cellStyle name="Énfasis2 15 5" xfId="2010" xr:uid="{00000000-0005-0000-0000-0000F3070000}"/>
    <cellStyle name="Énfasis2 15 6" xfId="2011" xr:uid="{00000000-0005-0000-0000-0000F4070000}"/>
    <cellStyle name="Énfasis2 15 7" xfId="2012" xr:uid="{00000000-0005-0000-0000-0000F5070000}"/>
    <cellStyle name="Énfasis2 16" xfId="2013" xr:uid="{00000000-0005-0000-0000-0000F6070000}"/>
    <cellStyle name="Énfasis2 16 2" xfId="2014" xr:uid="{00000000-0005-0000-0000-0000F7070000}"/>
    <cellStyle name="Énfasis2 16 3" xfId="2015" xr:uid="{00000000-0005-0000-0000-0000F8070000}"/>
    <cellStyle name="Énfasis2 16 4" xfId="2016" xr:uid="{00000000-0005-0000-0000-0000F9070000}"/>
    <cellStyle name="Énfasis2 16 5" xfId="2017" xr:uid="{00000000-0005-0000-0000-0000FA070000}"/>
    <cellStyle name="Énfasis2 16 6" xfId="2018" xr:uid="{00000000-0005-0000-0000-0000FB070000}"/>
    <cellStyle name="Énfasis2 16 7" xfId="2019" xr:uid="{00000000-0005-0000-0000-0000FC070000}"/>
    <cellStyle name="Énfasis2 17" xfId="2020" xr:uid="{00000000-0005-0000-0000-0000FD070000}"/>
    <cellStyle name="Énfasis2 17 2" xfId="2021" xr:uid="{00000000-0005-0000-0000-0000FE070000}"/>
    <cellStyle name="Énfasis2 17 3" xfId="2022" xr:uid="{00000000-0005-0000-0000-0000FF070000}"/>
    <cellStyle name="Énfasis2 17 4" xfId="2023" xr:uid="{00000000-0005-0000-0000-000000080000}"/>
    <cellStyle name="Énfasis2 17 5" xfId="2024" xr:uid="{00000000-0005-0000-0000-000001080000}"/>
    <cellStyle name="Énfasis2 17 6" xfId="2025" xr:uid="{00000000-0005-0000-0000-000002080000}"/>
    <cellStyle name="Énfasis2 18" xfId="2026" xr:uid="{00000000-0005-0000-0000-000003080000}"/>
    <cellStyle name="Énfasis2 19" xfId="2027" xr:uid="{00000000-0005-0000-0000-000004080000}"/>
    <cellStyle name="Énfasis2 2" xfId="2028" xr:uid="{00000000-0005-0000-0000-000005080000}"/>
    <cellStyle name="Énfasis2 2 10" xfId="2029" xr:uid="{00000000-0005-0000-0000-000006080000}"/>
    <cellStyle name="Énfasis2 2 11" xfId="2030" xr:uid="{00000000-0005-0000-0000-000007080000}"/>
    <cellStyle name="Énfasis2 2 12" xfId="2031" xr:uid="{00000000-0005-0000-0000-000008080000}"/>
    <cellStyle name="Énfasis2 2 13" xfId="2032" xr:uid="{00000000-0005-0000-0000-000009080000}"/>
    <cellStyle name="Énfasis2 2 14" xfId="2033" xr:uid="{00000000-0005-0000-0000-00000A080000}"/>
    <cellStyle name="Énfasis2 2 15" xfId="2034" xr:uid="{00000000-0005-0000-0000-00000B080000}"/>
    <cellStyle name="Énfasis2 2 16" xfId="2035" xr:uid="{00000000-0005-0000-0000-00000C080000}"/>
    <cellStyle name="Énfasis2 2 17" xfId="2036" xr:uid="{00000000-0005-0000-0000-00000D080000}"/>
    <cellStyle name="Énfasis2 2 18" xfId="2037" xr:uid="{00000000-0005-0000-0000-00000E080000}"/>
    <cellStyle name="Énfasis2 2 19" xfId="2038" xr:uid="{00000000-0005-0000-0000-00000F080000}"/>
    <cellStyle name="Énfasis2 2 2" xfId="2039" xr:uid="{00000000-0005-0000-0000-000010080000}"/>
    <cellStyle name="Énfasis2 2 20" xfId="3545" xr:uid="{00000000-0005-0000-0000-000011080000}"/>
    <cellStyle name="Énfasis2 2 3" xfId="2040" xr:uid="{00000000-0005-0000-0000-000012080000}"/>
    <cellStyle name="Énfasis2 2 4" xfId="2041" xr:uid="{00000000-0005-0000-0000-000013080000}"/>
    <cellStyle name="Énfasis2 2 5" xfId="2042" xr:uid="{00000000-0005-0000-0000-000014080000}"/>
    <cellStyle name="Énfasis2 2 6" xfId="2043" xr:uid="{00000000-0005-0000-0000-000015080000}"/>
    <cellStyle name="Énfasis2 2 7" xfId="2044" xr:uid="{00000000-0005-0000-0000-000016080000}"/>
    <cellStyle name="Énfasis2 2 8" xfId="2045" xr:uid="{00000000-0005-0000-0000-000017080000}"/>
    <cellStyle name="Énfasis2 2 9" xfId="2046" xr:uid="{00000000-0005-0000-0000-000018080000}"/>
    <cellStyle name="Énfasis2 20" xfId="2047" xr:uid="{00000000-0005-0000-0000-000019080000}"/>
    <cellStyle name="Énfasis2 21" xfId="2048" xr:uid="{00000000-0005-0000-0000-00001A080000}"/>
    <cellStyle name="Énfasis2 22" xfId="2049" xr:uid="{00000000-0005-0000-0000-00001B080000}"/>
    <cellStyle name="Énfasis2 23" xfId="2050" xr:uid="{00000000-0005-0000-0000-00001C080000}"/>
    <cellStyle name="Énfasis2 24" xfId="3544" xr:uid="{00000000-0005-0000-0000-00001D080000}"/>
    <cellStyle name="Énfasis2 3" xfId="2051" xr:uid="{00000000-0005-0000-0000-00001E080000}"/>
    <cellStyle name="Énfasis2 3 2" xfId="3546" xr:uid="{00000000-0005-0000-0000-00001F080000}"/>
    <cellStyle name="Énfasis2 4" xfId="2052" xr:uid="{00000000-0005-0000-0000-000020080000}"/>
    <cellStyle name="Énfasis2 5" xfId="2053" xr:uid="{00000000-0005-0000-0000-000021080000}"/>
    <cellStyle name="Énfasis2 6" xfId="2054" xr:uid="{00000000-0005-0000-0000-000022080000}"/>
    <cellStyle name="Énfasis2 7" xfId="2055" xr:uid="{00000000-0005-0000-0000-000023080000}"/>
    <cellStyle name="Énfasis2 8" xfId="2056" xr:uid="{00000000-0005-0000-0000-000024080000}"/>
    <cellStyle name="Énfasis2 9" xfId="2057" xr:uid="{00000000-0005-0000-0000-000025080000}"/>
    <cellStyle name="Énfasis3 10" xfId="2058" xr:uid="{00000000-0005-0000-0000-000026080000}"/>
    <cellStyle name="Énfasis3 11" xfId="2059" xr:uid="{00000000-0005-0000-0000-000027080000}"/>
    <cellStyle name="Énfasis3 11 2" xfId="2060" xr:uid="{00000000-0005-0000-0000-000028080000}"/>
    <cellStyle name="Énfasis3 11 3" xfId="2061" xr:uid="{00000000-0005-0000-0000-000029080000}"/>
    <cellStyle name="Énfasis3 11 4" xfId="2062" xr:uid="{00000000-0005-0000-0000-00002A080000}"/>
    <cellStyle name="Énfasis3 11 5" xfId="2063" xr:uid="{00000000-0005-0000-0000-00002B080000}"/>
    <cellStyle name="Énfasis3 11 6" xfId="2064" xr:uid="{00000000-0005-0000-0000-00002C080000}"/>
    <cellStyle name="Énfasis3 11 7" xfId="2065" xr:uid="{00000000-0005-0000-0000-00002D080000}"/>
    <cellStyle name="Énfasis3 12" xfId="2066" xr:uid="{00000000-0005-0000-0000-00002E080000}"/>
    <cellStyle name="Énfasis3 12 2" xfId="2067" xr:uid="{00000000-0005-0000-0000-00002F080000}"/>
    <cellStyle name="Énfasis3 12 3" xfId="2068" xr:uid="{00000000-0005-0000-0000-000030080000}"/>
    <cellStyle name="Énfasis3 12 4" xfId="2069" xr:uid="{00000000-0005-0000-0000-000031080000}"/>
    <cellStyle name="Énfasis3 12 5" xfId="2070" xr:uid="{00000000-0005-0000-0000-000032080000}"/>
    <cellStyle name="Énfasis3 12 6" xfId="2071" xr:uid="{00000000-0005-0000-0000-000033080000}"/>
    <cellStyle name="Énfasis3 12 7" xfId="2072" xr:uid="{00000000-0005-0000-0000-000034080000}"/>
    <cellStyle name="Énfasis3 13" xfId="2073" xr:uid="{00000000-0005-0000-0000-000035080000}"/>
    <cellStyle name="Énfasis3 13 2" xfId="2074" xr:uid="{00000000-0005-0000-0000-000036080000}"/>
    <cellStyle name="Énfasis3 13 3" xfId="2075" xr:uid="{00000000-0005-0000-0000-000037080000}"/>
    <cellStyle name="Énfasis3 13 4" xfId="2076" xr:uid="{00000000-0005-0000-0000-000038080000}"/>
    <cellStyle name="Énfasis3 13 5" xfId="2077" xr:uid="{00000000-0005-0000-0000-000039080000}"/>
    <cellStyle name="Énfasis3 13 6" xfId="2078" xr:uid="{00000000-0005-0000-0000-00003A080000}"/>
    <cellStyle name="Énfasis3 13 7" xfId="2079" xr:uid="{00000000-0005-0000-0000-00003B080000}"/>
    <cellStyle name="Énfasis3 14" xfId="2080" xr:uid="{00000000-0005-0000-0000-00003C080000}"/>
    <cellStyle name="Énfasis3 14 2" xfId="2081" xr:uid="{00000000-0005-0000-0000-00003D080000}"/>
    <cellStyle name="Énfasis3 14 3" xfId="2082" xr:uid="{00000000-0005-0000-0000-00003E080000}"/>
    <cellStyle name="Énfasis3 14 4" xfId="2083" xr:uid="{00000000-0005-0000-0000-00003F080000}"/>
    <cellStyle name="Énfasis3 14 5" xfId="2084" xr:uid="{00000000-0005-0000-0000-000040080000}"/>
    <cellStyle name="Énfasis3 14 6" xfId="2085" xr:uid="{00000000-0005-0000-0000-000041080000}"/>
    <cellStyle name="Énfasis3 14 7" xfId="2086" xr:uid="{00000000-0005-0000-0000-000042080000}"/>
    <cellStyle name="Énfasis3 15" xfId="2087" xr:uid="{00000000-0005-0000-0000-000043080000}"/>
    <cellStyle name="Énfasis3 15 2" xfId="2088" xr:uid="{00000000-0005-0000-0000-000044080000}"/>
    <cellStyle name="Énfasis3 15 3" xfId="2089" xr:uid="{00000000-0005-0000-0000-000045080000}"/>
    <cellStyle name="Énfasis3 15 4" xfId="2090" xr:uid="{00000000-0005-0000-0000-000046080000}"/>
    <cellStyle name="Énfasis3 15 5" xfId="2091" xr:uid="{00000000-0005-0000-0000-000047080000}"/>
    <cellStyle name="Énfasis3 15 6" xfId="2092" xr:uid="{00000000-0005-0000-0000-000048080000}"/>
    <cellStyle name="Énfasis3 15 7" xfId="2093" xr:uid="{00000000-0005-0000-0000-000049080000}"/>
    <cellStyle name="Énfasis3 16" xfId="2094" xr:uid="{00000000-0005-0000-0000-00004A080000}"/>
    <cellStyle name="Énfasis3 16 2" xfId="2095" xr:uid="{00000000-0005-0000-0000-00004B080000}"/>
    <cellStyle name="Énfasis3 16 3" xfId="2096" xr:uid="{00000000-0005-0000-0000-00004C080000}"/>
    <cellStyle name="Énfasis3 16 4" xfId="2097" xr:uid="{00000000-0005-0000-0000-00004D080000}"/>
    <cellStyle name="Énfasis3 16 5" xfId="2098" xr:uid="{00000000-0005-0000-0000-00004E080000}"/>
    <cellStyle name="Énfasis3 16 6" xfId="2099" xr:uid="{00000000-0005-0000-0000-00004F080000}"/>
    <cellStyle name="Énfasis3 16 7" xfId="2100" xr:uid="{00000000-0005-0000-0000-000050080000}"/>
    <cellStyle name="Énfasis3 17" xfId="2101" xr:uid="{00000000-0005-0000-0000-000051080000}"/>
    <cellStyle name="Énfasis3 17 2" xfId="2102" xr:uid="{00000000-0005-0000-0000-000052080000}"/>
    <cellStyle name="Énfasis3 17 3" xfId="2103" xr:uid="{00000000-0005-0000-0000-000053080000}"/>
    <cellStyle name="Énfasis3 17 4" xfId="2104" xr:uid="{00000000-0005-0000-0000-000054080000}"/>
    <cellStyle name="Énfasis3 17 5" xfId="2105" xr:uid="{00000000-0005-0000-0000-000055080000}"/>
    <cellStyle name="Énfasis3 17 6" xfId="2106" xr:uid="{00000000-0005-0000-0000-000056080000}"/>
    <cellStyle name="Énfasis3 18" xfId="2107" xr:uid="{00000000-0005-0000-0000-000057080000}"/>
    <cellStyle name="Énfasis3 19" xfId="2108" xr:uid="{00000000-0005-0000-0000-000058080000}"/>
    <cellStyle name="Énfasis3 2" xfId="2109" xr:uid="{00000000-0005-0000-0000-000059080000}"/>
    <cellStyle name="Énfasis3 2 10" xfId="2110" xr:uid="{00000000-0005-0000-0000-00005A080000}"/>
    <cellStyle name="Énfasis3 2 11" xfId="2111" xr:uid="{00000000-0005-0000-0000-00005B080000}"/>
    <cellStyle name="Énfasis3 2 12" xfId="2112" xr:uid="{00000000-0005-0000-0000-00005C080000}"/>
    <cellStyle name="Énfasis3 2 13" xfId="2113" xr:uid="{00000000-0005-0000-0000-00005D080000}"/>
    <cellStyle name="Énfasis3 2 14" xfId="2114" xr:uid="{00000000-0005-0000-0000-00005E080000}"/>
    <cellStyle name="Énfasis3 2 15" xfId="2115" xr:uid="{00000000-0005-0000-0000-00005F080000}"/>
    <cellStyle name="Énfasis3 2 16" xfId="2116" xr:uid="{00000000-0005-0000-0000-000060080000}"/>
    <cellStyle name="Énfasis3 2 17" xfId="2117" xr:uid="{00000000-0005-0000-0000-000061080000}"/>
    <cellStyle name="Énfasis3 2 18" xfId="2118" xr:uid="{00000000-0005-0000-0000-000062080000}"/>
    <cellStyle name="Énfasis3 2 19" xfId="2119" xr:uid="{00000000-0005-0000-0000-000063080000}"/>
    <cellStyle name="Énfasis3 2 2" xfId="2120" xr:uid="{00000000-0005-0000-0000-000064080000}"/>
    <cellStyle name="Énfasis3 2 20" xfId="3548" xr:uid="{00000000-0005-0000-0000-000065080000}"/>
    <cellStyle name="Énfasis3 2 3" xfId="2121" xr:uid="{00000000-0005-0000-0000-000066080000}"/>
    <cellStyle name="Énfasis3 2 4" xfId="2122" xr:uid="{00000000-0005-0000-0000-000067080000}"/>
    <cellStyle name="Énfasis3 2 5" xfId="2123" xr:uid="{00000000-0005-0000-0000-000068080000}"/>
    <cellStyle name="Énfasis3 2 6" xfId="2124" xr:uid="{00000000-0005-0000-0000-000069080000}"/>
    <cellStyle name="Énfasis3 2 7" xfId="2125" xr:uid="{00000000-0005-0000-0000-00006A080000}"/>
    <cellStyle name="Énfasis3 2 8" xfId="2126" xr:uid="{00000000-0005-0000-0000-00006B080000}"/>
    <cellStyle name="Énfasis3 2 9" xfId="2127" xr:uid="{00000000-0005-0000-0000-00006C080000}"/>
    <cellStyle name="Énfasis3 20" xfId="2128" xr:uid="{00000000-0005-0000-0000-00006D080000}"/>
    <cellStyle name="Énfasis3 21" xfId="2129" xr:uid="{00000000-0005-0000-0000-00006E080000}"/>
    <cellStyle name="Énfasis3 22" xfId="2130" xr:uid="{00000000-0005-0000-0000-00006F080000}"/>
    <cellStyle name="Énfasis3 23" xfId="2131" xr:uid="{00000000-0005-0000-0000-000070080000}"/>
    <cellStyle name="Énfasis3 24" xfId="3547" xr:uid="{00000000-0005-0000-0000-000071080000}"/>
    <cellStyle name="Énfasis3 3" xfId="2132" xr:uid="{00000000-0005-0000-0000-000072080000}"/>
    <cellStyle name="Énfasis3 3 2" xfId="3549" xr:uid="{00000000-0005-0000-0000-000073080000}"/>
    <cellStyle name="Énfasis3 4" xfId="2133" xr:uid="{00000000-0005-0000-0000-000074080000}"/>
    <cellStyle name="Énfasis3 5" xfId="2134" xr:uid="{00000000-0005-0000-0000-000075080000}"/>
    <cellStyle name="Énfasis3 6" xfId="2135" xr:uid="{00000000-0005-0000-0000-000076080000}"/>
    <cellStyle name="Énfasis3 7" xfId="2136" xr:uid="{00000000-0005-0000-0000-000077080000}"/>
    <cellStyle name="Énfasis3 8" xfId="2137" xr:uid="{00000000-0005-0000-0000-000078080000}"/>
    <cellStyle name="Énfasis3 9" xfId="2138" xr:uid="{00000000-0005-0000-0000-000079080000}"/>
    <cellStyle name="Énfasis4 10" xfId="2139" xr:uid="{00000000-0005-0000-0000-00007A080000}"/>
    <cellStyle name="Énfasis4 11" xfId="2140" xr:uid="{00000000-0005-0000-0000-00007B080000}"/>
    <cellStyle name="Énfasis4 11 2" xfId="2141" xr:uid="{00000000-0005-0000-0000-00007C080000}"/>
    <cellStyle name="Énfasis4 11 3" xfId="2142" xr:uid="{00000000-0005-0000-0000-00007D080000}"/>
    <cellStyle name="Énfasis4 11 4" xfId="2143" xr:uid="{00000000-0005-0000-0000-00007E080000}"/>
    <cellStyle name="Énfasis4 11 5" xfId="2144" xr:uid="{00000000-0005-0000-0000-00007F080000}"/>
    <cellStyle name="Énfasis4 11 6" xfId="2145" xr:uid="{00000000-0005-0000-0000-000080080000}"/>
    <cellStyle name="Énfasis4 11 7" xfId="2146" xr:uid="{00000000-0005-0000-0000-000081080000}"/>
    <cellStyle name="Énfasis4 12" xfId="2147" xr:uid="{00000000-0005-0000-0000-000082080000}"/>
    <cellStyle name="Énfasis4 12 2" xfId="2148" xr:uid="{00000000-0005-0000-0000-000083080000}"/>
    <cellStyle name="Énfasis4 12 3" xfId="2149" xr:uid="{00000000-0005-0000-0000-000084080000}"/>
    <cellStyle name="Énfasis4 12 4" xfId="2150" xr:uid="{00000000-0005-0000-0000-000085080000}"/>
    <cellStyle name="Énfasis4 12 5" xfId="2151" xr:uid="{00000000-0005-0000-0000-000086080000}"/>
    <cellStyle name="Énfasis4 12 6" xfId="2152" xr:uid="{00000000-0005-0000-0000-000087080000}"/>
    <cellStyle name="Énfasis4 12 7" xfId="2153" xr:uid="{00000000-0005-0000-0000-000088080000}"/>
    <cellStyle name="Énfasis4 13" xfId="2154" xr:uid="{00000000-0005-0000-0000-000089080000}"/>
    <cellStyle name="Énfasis4 13 2" xfId="2155" xr:uid="{00000000-0005-0000-0000-00008A080000}"/>
    <cellStyle name="Énfasis4 13 3" xfId="2156" xr:uid="{00000000-0005-0000-0000-00008B080000}"/>
    <cellStyle name="Énfasis4 13 4" xfId="2157" xr:uid="{00000000-0005-0000-0000-00008C080000}"/>
    <cellStyle name="Énfasis4 13 5" xfId="2158" xr:uid="{00000000-0005-0000-0000-00008D080000}"/>
    <cellStyle name="Énfasis4 13 6" xfId="2159" xr:uid="{00000000-0005-0000-0000-00008E080000}"/>
    <cellStyle name="Énfasis4 13 7" xfId="2160" xr:uid="{00000000-0005-0000-0000-00008F080000}"/>
    <cellStyle name="Énfasis4 14" xfId="2161" xr:uid="{00000000-0005-0000-0000-000090080000}"/>
    <cellStyle name="Énfasis4 14 2" xfId="2162" xr:uid="{00000000-0005-0000-0000-000091080000}"/>
    <cellStyle name="Énfasis4 14 3" xfId="2163" xr:uid="{00000000-0005-0000-0000-000092080000}"/>
    <cellStyle name="Énfasis4 14 4" xfId="2164" xr:uid="{00000000-0005-0000-0000-000093080000}"/>
    <cellStyle name="Énfasis4 14 5" xfId="2165" xr:uid="{00000000-0005-0000-0000-000094080000}"/>
    <cellStyle name="Énfasis4 14 6" xfId="2166" xr:uid="{00000000-0005-0000-0000-000095080000}"/>
    <cellStyle name="Énfasis4 14 7" xfId="2167" xr:uid="{00000000-0005-0000-0000-000096080000}"/>
    <cellStyle name="Énfasis4 15" xfId="2168" xr:uid="{00000000-0005-0000-0000-000097080000}"/>
    <cellStyle name="Énfasis4 15 2" xfId="2169" xr:uid="{00000000-0005-0000-0000-000098080000}"/>
    <cellStyle name="Énfasis4 15 3" xfId="2170" xr:uid="{00000000-0005-0000-0000-000099080000}"/>
    <cellStyle name="Énfasis4 15 4" xfId="2171" xr:uid="{00000000-0005-0000-0000-00009A080000}"/>
    <cellStyle name="Énfasis4 15 5" xfId="2172" xr:uid="{00000000-0005-0000-0000-00009B080000}"/>
    <cellStyle name="Énfasis4 15 6" xfId="2173" xr:uid="{00000000-0005-0000-0000-00009C080000}"/>
    <cellStyle name="Énfasis4 15 7" xfId="2174" xr:uid="{00000000-0005-0000-0000-00009D080000}"/>
    <cellStyle name="Énfasis4 16" xfId="2175" xr:uid="{00000000-0005-0000-0000-00009E080000}"/>
    <cellStyle name="Énfasis4 16 2" xfId="2176" xr:uid="{00000000-0005-0000-0000-00009F080000}"/>
    <cellStyle name="Énfasis4 16 3" xfId="2177" xr:uid="{00000000-0005-0000-0000-0000A0080000}"/>
    <cellStyle name="Énfasis4 16 4" xfId="2178" xr:uid="{00000000-0005-0000-0000-0000A1080000}"/>
    <cellStyle name="Énfasis4 16 5" xfId="2179" xr:uid="{00000000-0005-0000-0000-0000A2080000}"/>
    <cellStyle name="Énfasis4 16 6" xfId="2180" xr:uid="{00000000-0005-0000-0000-0000A3080000}"/>
    <cellStyle name="Énfasis4 16 7" xfId="2181" xr:uid="{00000000-0005-0000-0000-0000A4080000}"/>
    <cellStyle name="Énfasis4 17" xfId="2182" xr:uid="{00000000-0005-0000-0000-0000A5080000}"/>
    <cellStyle name="Énfasis4 17 2" xfId="2183" xr:uid="{00000000-0005-0000-0000-0000A6080000}"/>
    <cellStyle name="Énfasis4 17 3" xfId="2184" xr:uid="{00000000-0005-0000-0000-0000A7080000}"/>
    <cellStyle name="Énfasis4 17 4" xfId="2185" xr:uid="{00000000-0005-0000-0000-0000A8080000}"/>
    <cellStyle name="Énfasis4 17 5" xfId="2186" xr:uid="{00000000-0005-0000-0000-0000A9080000}"/>
    <cellStyle name="Énfasis4 17 6" xfId="2187" xr:uid="{00000000-0005-0000-0000-0000AA080000}"/>
    <cellStyle name="Énfasis4 18" xfId="2188" xr:uid="{00000000-0005-0000-0000-0000AB080000}"/>
    <cellStyle name="Énfasis4 19" xfId="2189" xr:uid="{00000000-0005-0000-0000-0000AC080000}"/>
    <cellStyle name="Énfasis4 2" xfId="2190" xr:uid="{00000000-0005-0000-0000-0000AD080000}"/>
    <cellStyle name="Énfasis4 2 10" xfId="2191" xr:uid="{00000000-0005-0000-0000-0000AE080000}"/>
    <cellStyle name="Énfasis4 2 11" xfId="2192" xr:uid="{00000000-0005-0000-0000-0000AF080000}"/>
    <cellStyle name="Énfasis4 2 12" xfId="2193" xr:uid="{00000000-0005-0000-0000-0000B0080000}"/>
    <cellStyle name="Énfasis4 2 13" xfId="2194" xr:uid="{00000000-0005-0000-0000-0000B1080000}"/>
    <cellStyle name="Énfasis4 2 14" xfId="2195" xr:uid="{00000000-0005-0000-0000-0000B2080000}"/>
    <cellStyle name="Énfasis4 2 15" xfId="2196" xr:uid="{00000000-0005-0000-0000-0000B3080000}"/>
    <cellStyle name="Énfasis4 2 16" xfId="2197" xr:uid="{00000000-0005-0000-0000-0000B4080000}"/>
    <cellStyle name="Énfasis4 2 17" xfId="2198" xr:uid="{00000000-0005-0000-0000-0000B5080000}"/>
    <cellStyle name="Énfasis4 2 18" xfId="2199" xr:uid="{00000000-0005-0000-0000-0000B6080000}"/>
    <cellStyle name="Énfasis4 2 19" xfId="2200" xr:uid="{00000000-0005-0000-0000-0000B7080000}"/>
    <cellStyle name="Énfasis4 2 2" xfId="2201" xr:uid="{00000000-0005-0000-0000-0000B8080000}"/>
    <cellStyle name="Énfasis4 2 20" xfId="3551" xr:uid="{00000000-0005-0000-0000-0000B9080000}"/>
    <cellStyle name="Énfasis4 2 3" xfId="2202" xr:uid="{00000000-0005-0000-0000-0000BA080000}"/>
    <cellStyle name="Énfasis4 2 4" xfId="2203" xr:uid="{00000000-0005-0000-0000-0000BB080000}"/>
    <cellStyle name="Énfasis4 2 5" xfId="2204" xr:uid="{00000000-0005-0000-0000-0000BC080000}"/>
    <cellStyle name="Énfasis4 2 6" xfId="2205" xr:uid="{00000000-0005-0000-0000-0000BD080000}"/>
    <cellStyle name="Énfasis4 2 7" xfId="2206" xr:uid="{00000000-0005-0000-0000-0000BE080000}"/>
    <cellStyle name="Énfasis4 2 8" xfId="2207" xr:uid="{00000000-0005-0000-0000-0000BF080000}"/>
    <cellStyle name="Énfasis4 2 9" xfId="2208" xr:uid="{00000000-0005-0000-0000-0000C0080000}"/>
    <cellStyle name="Énfasis4 20" xfId="2209" xr:uid="{00000000-0005-0000-0000-0000C1080000}"/>
    <cellStyle name="Énfasis4 21" xfId="2210" xr:uid="{00000000-0005-0000-0000-0000C2080000}"/>
    <cellStyle name="Énfasis4 22" xfId="2211" xr:uid="{00000000-0005-0000-0000-0000C3080000}"/>
    <cellStyle name="Énfasis4 23" xfId="2212" xr:uid="{00000000-0005-0000-0000-0000C4080000}"/>
    <cellStyle name="Énfasis4 24" xfId="3550" xr:uid="{00000000-0005-0000-0000-0000C5080000}"/>
    <cellStyle name="Énfasis4 3" xfId="2213" xr:uid="{00000000-0005-0000-0000-0000C6080000}"/>
    <cellStyle name="Énfasis4 3 2" xfId="3552" xr:uid="{00000000-0005-0000-0000-0000C7080000}"/>
    <cellStyle name="Énfasis4 4" xfId="2214" xr:uid="{00000000-0005-0000-0000-0000C8080000}"/>
    <cellStyle name="Énfasis4 5" xfId="2215" xr:uid="{00000000-0005-0000-0000-0000C9080000}"/>
    <cellStyle name="Énfasis4 6" xfId="2216" xr:uid="{00000000-0005-0000-0000-0000CA080000}"/>
    <cellStyle name="Énfasis4 7" xfId="2217" xr:uid="{00000000-0005-0000-0000-0000CB080000}"/>
    <cellStyle name="Énfasis4 8" xfId="2218" xr:uid="{00000000-0005-0000-0000-0000CC080000}"/>
    <cellStyle name="Énfasis4 9" xfId="2219" xr:uid="{00000000-0005-0000-0000-0000CD080000}"/>
    <cellStyle name="Énfasis5 10" xfId="2220" xr:uid="{00000000-0005-0000-0000-0000CE080000}"/>
    <cellStyle name="Énfasis5 11" xfId="2221" xr:uid="{00000000-0005-0000-0000-0000CF080000}"/>
    <cellStyle name="Énfasis5 11 2" xfId="2222" xr:uid="{00000000-0005-0000-0000-0000D0080000}"/>
    <cellStyle name="Énfasis5 11 3" xfId="2223" xr:uid="{00000000-0005-0000-0000-0000D1080000}"/>
    <cellStyle name="Énfasis5 11 4" xfId="2224" xr:uid="{00000000-0005-0000-0000-0000D2080000}"/>
    <cellStyle name="Énfasis5 11 5" xfId="2225" xr:uid="{00000000-0005-0000-0000-0000D3080000}"/>
    <cellStyle name="Énfasis5 11 6" xfId="2226" xr:uid="{00000000-0005-0000-0000-0000D4080000}"/>
    <cellStyle name="Énfasis5 11 7" xfId="2227" xr:uid="{00000000-0005-0000-0000-0000D5080000}"/>
    <cellStyle name="Énfasis5 12" xfId="2228" xr:uid="{00000000-0005-0000-0000-0000D6080000}"/>
    <cellStyle name="Énfasis5 12 2" xfId="2229" xr:uid="{00000000-0005-0000-0000-0000D7080000}"/>
    <cellStyle name="Énfasis5 12 3" xfId="2230" xr:uid="{00000000-0005-0000-0000-0000D8080000}"/>
    <cellStyle name="Énfasis5 12 4" xfId="2231" xr:uid="{00000000-0005-0000-0000-0000D9080000}"/>
    <cellStyle name="Énfasis5 12 5" xfId="2232" xr:uid="{00000000-0005-0000-0000-0000DA080000}"/>
    <cellStyle name="Énfasis5 12 6" xfId="2233" xr:uid="{00000000-0005-0000-0000-0000DB080000}"/>
    <cellStyle name="Énfasis5 12 7" xfId="2234" xr:uid="{00000000-0005-0000-0000-0000DC080000}"/>
    <cellStyle name="Énfasis5 13" xfId="2235" xr:uid="{00000000-0005-0000-0000-0000DD080000}"/>
    <cellStyle name="Énfasis5 13 2" xfId="2236" xr:uid="{00000000-0005-0000-0000-0000DE080000}"/>
    <cellStyle name="Énfasis5 13 3" xfId="2237" xr:uid="{00000000-0005-0000-0000-0000DF080000}"/>
    <cellStyle name="Énfasis5 13 4" xfId="2238" xr:uid="{00000000-0005-0000-0000-0000E0080000}"/>
    <cellStyle name="Énfasis5 13 5" xfId="2239" xr:uid="{00000000-0005-0000-0000-0000E1080000}"/>
    <cellStyle name="Énfasis5 13 6" xfId="2240" xr:uid="{00000000-0005-0000-0000-0000E2080000}"/>
    <cellStyle name="Énfasis5 13 7" xfId="2241" xr:uid="{00000000-0005-0000-0000-0000E3080000}"/>
    <cellStyle name="Énfasis5 14" xfId="2242" xr:uid="{00000000-0005-0000-0000-0000E4080000}"/>
    <cellStyle name="Énfasis5 14 2" xfId="2243" xr:uid="{00000000-0005-0000-0000-0000E5080000}"/>
    <cellStyle name="Énfasis5 14 3" xfId="2244" xr:uid="{00000000-0005-0000-0000-0000E6080000}"/>
    <cellStyle name="Énfasis5 14 4" xfId="2245" xr:uid="{00000000-0005-0000-0000-0000E7080000}"/>
    <cellStyle name="Énfasis5 14 5" xfId="2246" xr:uid="{00000000-0005-0000-0000-0000E8080000}"/>
    <cellStyle name="Énfasis5 14 6" xfId="2247" xr:uid="{00000000-0005-0000-0000-0000E9080000}"/>
    <cellStyle name="Énfasis5 14 7" xfId="2248" xr:uid="{00000000-0005-0000-0000-0000EA080000}"/>
    <cellStyle name="Énfasis5 15" xfId="2249" xr:uid="{00000000-0005-0000-0000-0000EB080000}"/>
    <cellStyle name="Énfasis5 15 2" xfId="2250" xr:uid="{00000000-0005-0000-0000-0000EC080000}"/>
    <cellStyle name="Énfasis5 15 3" xfId="2251" xr:uid="{00000000-0005-0000-0000-0000ED080000}"/>
    <cellStyle name="Énfasis5 15 4" xfId="2252" xr:uid="{00000000-0005-0000-0000-0000EE080000}"/>
    <cellStyle name="Énfasis5 15 5" xfId="2253" xr:uid="{00000000-0005-0000-0000-0000EF080000}"/>
    <cellStyle name="Énfasis5 15 6" xfId="2254" xr:uid="{00000000-0005-0000-0000-0000F0080000}"/>
    <cellStyle name="Énfasis5 15 7" xfId="2255" xr:uid="{00000000-0005-0000-0000-0000F1080000}"/>
    <cellStyle name="Énfasis5 16" xfId="2256" xr:uid="{00000000-0005-0000-0000-0000F2080000}"/>
    <cellStyle name="Énfasis5 16 2" xfId="2257" xr:uid="{00000000-0005-0000-0000-0000F3080000}"/>
    <cellStyle name="Énfasis5 16 3" xfId="2258" xr:uid="{00000000-0005-0000-0000-0000F4080000}"/>
    <cellStyle name="Énfasis5 16 4" xfId="2259" xr:uid="{00000000-0005-0000-0000-0000F5080000}"/>
    <cellStyle name="Énfasis5 16 5" xfId="2260" xr:uid="{00000000-0005-0000-0000-0000F6080000}"/>
    <cellStyle name="Énfasis5 16 6" xfId="2261" xr:uid="{00000000-0005-0000-0000-0000F7080000}"/>
    <cellStyle name="Énfasis5 16 7" xfId="2262" xr:uid="{00000000-0005-0000-0000-0000F8080000}"/>
    <cellStyle name="Énfasis5 17" xfId="2263" xr:uid="{00000000-0005-0000-0000-0000F9080000}"/>
    <cellStyle name="Énfasis5 17 2" xfId="2264" xr:uid="{00000000-0005-0000-0000-0000FA080000}"/>
    <cellStyle name="Énfasis5 17 3" xfId="2265" xr:uid="{00000000-0005-0000-0000-0000FB080000}"/>
    <cellStyle name="Énfasis5 17 4" xfId="2266" xr:uid="{00000000-0005-0000-0000-0000FC080000}"/>
    <cellStyle name="Énfasis5 17 5" xfId="2267" xr:uid="{00000000-0005-0000-0000-0000FD080000}"/>
    <cellStyle name="Énfasis5 17 6" xfId="2268" xr:uid="{00000000-0005-0000-0000-0000FE080000}"/>
    <cellStyle name="Énfasis5 18" xfId="2269" xr:uid="{00000000-0005-0000-0000-0000FF080000}"/>
    <cellStyle name="Énfasis5 19" xfId="2270" xr:uid="{00000000-0005-0000-0000-000000090000}"/>
    <cellStyle name="Énfasis5 2" xfId="2271" xr:uid="{00000000-0005-0000-0000-000001090000}"/>
    <cellStyle name="Énfasis5 2 10" xfId="2272" xr:uid="{00000000-0005-0000-0000-000002090000}"/>
    <cellStyle name="Énfasis5 2 11" xfId="2273" xr:uid="{00000000-0005-0000-0000-000003090000}"/>
    <cellStyle name="Énfasis5 2 12" xfId="2274" xr:uid="{00000000-0005-0000-0000-000004090000}"/>
    <cellStyle name="Énfasis5 2 13" xfId="2275" xr:uid="{00000000-0005-0000-0000-000005090000}"/>
    <cellStyle name="Énfasis5 2 14" xfId="2276" xr:uid="{00000000-0005-0000-0000-000006090000}"/>
    <cellStyle name="Énfasis5 2 15" xfId="2277" xr:uid="{00000000-0005-0000-0000-000007090000}"/>
    <cellStyle name="Énfasis5 2 16" xfId="2278" xr:uid="{00000000-0005-0000-0000-000008090000}"/>
    <cellStyle name="Énfasis5 2 17" xfId="2279" xr:uid="{00000000-0005-0000-0000-000009090000}"/>
    <cellStyle name="Énfasis5 2 18" xfId="2280" xr:uid="{00000000-0005-0000-0000-00000A090000}"/>
    <cellStyle name="Énfasis5 2 19" xfId="2281" xr:uid="{00000000-0005-0000-0000-00000B090000}"/>
    <cellStyle name="Énfasis5 2 2" xfId="2282" xr:uid="{00000000-0005-0000-0000-00000C090000}"/>
    <cellStyle name="Énfasis5 2 20" xfId="3554" xr:uid="{00000000-0005-0000-0000-00000D090000}"/>
    <cellStyle name="Énfasis5 2 3" xfId="2283" xr:uid="{00000000-0005-0000-0000-00000E090000}"/>
    <cellStyle name="Énfasis5 2 4" xfId="2284" xr:uid="{00000000-0005-0000-0000-00000F090000}"/>
    <cellStyle name="Énfasis5 2 5" xfId="2285" xr:uid="{00000000-0005-0000-0000-000010090000}"/>
    <cellStyle name="Énfasis5 2 6" xfId="2286" xr:uid="{00000000-0005-0000-0000-000011090000}"/>
    <cellStyle name="Énfasis5 2 7" xfId="2287" xr:uid="{00000000-0005-0000-0000-000012090000}"/>
    <cellStyle name="Énfasis5 2 8" xfId="2288" xr:uid="{00000000-0005-0000-0000-000013090000}"/>
    <cellStyle name="Énfasis5 2 9" xfId="2289" xr:uid="{00000000-0005-0000-0000-000014090000}"/>
    <cellStyle name="Énfasis5 20" xfId="2290" xr:uid="{00000000-0005-0000-0000-000015090000}"/>
    <cellStyle name="Énfasis5 21" xfId="2291" xr:uid="{00000000-0005-0000-0000-000016090000}"/>
    <cellStyle name="Énfasis5 22" xfId="2292" xr:uid="{00000000-0005-0000-0000-000017090000}"/>
    <cellStyle name="Énfasis5 23" xfId="2293" xr:uid="{00000000-0005-0000-0000-000018090000}"/>
    <cellStyle name="Énfasis5 24" xfId="3553" xr:uid="{00000000-0005-0000-0000-000019090000}"/>
    <cellStyle name="Énfasis5 3" xfId="2294" xr:uid="{00000000-0005-0000-0000-00001A090000}"/>
    <cellStyle name="Énfasis5 3 2" xfId="3555" xr:uid="{00000000-0005-0000-0000-00001B090000}"/>
    <cellStyle name="Énfasis5 4" xfId="2295" xr:uid="{00000000-0005-0000-0000-00001C090000}"/>
    <cellStyle name="Énfasis5 5" xfId="2296" xr:uid="{00000000-0005-0000-0000-00001D090000}"/>
    <cellStyle name="Énfasis5 6" xfId="2297" xr:uid="{00000000-0005-0000-0000-00001E090000}"/>
    <cellStyle name="Énfasis5 7" xfId="2298" xr:uid="{00000000-0005-0000-0000-00001F090000}"/>
    <cellStyle name="Énfasis5 8" xfId="2299" xr:uid="{00000000-0005-0000-0000-000020090000}"/>
    <cellStyle name="Énfasis5 9" xfId="2300" xr:uid="{00000000-0005-0000-0000-000021090000}"/>
    <cellStyle name="Énfasis6 10" xfId="2301" xr:uid="{00000000-0005-0000-0000-000022090000}"/>
    <cellStyle name="Énfasis6 11" xfId="2302" xr:uid="{00000000-0005-0000-0000-000023090000}"/>
    <cellStyle name="Énfasis6 11 2" xfId="2303" xr:uid="{00000000-0005-0000-0000-000024090000}"/>
    <cellStyle name="Énfasis6 11 3" xfId="2304" xr:uid="{00000000-0005-0000-0000-000025090000}"/>
    <cellStyle name="Énfasis6 11 4" xfId="2305" xr:uid="{00000000-0005-0000-0000-000026090000}"/>
    <cellStyle name="Énfasis6 11 5" xfId="2306" xr:uid="{00000000-0005-0000-0000-000027090000}"/>
    <cellStyle name="Énfasis6 11 6" xfId="2307" xr:uid="{00000000-0005-0000-0000-000028090000}"/>
    <cellStyle name="Énfasis6 11 7" xfId="2308" xr:uid="{00000000-0005-0000-0000-000029090000}"/>
    <cellStyle name="Énfasis6 12" xfId="2309" xr:uid="{00000000-0005-0000-0000-00002A090000}"/>
    <cellStyle name="Énfasis6 12 2" xfId="2310" xr:uid="{00000000-0005-0000-0000-00002B090000}"/>
    <cellStyle name="Énfasis6 12 3" xfId="2311" xr:uid="{00000000-0005-0000-0000-00002C090000}"/>
    <cellStyle name="Énfasis6 12 4" xfId="2312" xr:uid="{00000000-0005-0000-0000-00002D090000}"/>
    <cellStyle name="Énfasis6 12 5" xfId="2313" xr:uid="{00000000-0005-0000-0000-00002E090000}"/>
    <cellStyle name="Énfasis6 12 6" xfId="2314" xr:uid="{00000000-0005-0000-0000-00002F090000}"/>
    <cellStyle name="Énfasis6 12 7" xfId="2315" xr:uid="{00000000-0005-0000-0000-000030090000}"/>
    <cellStyle name="Énfasis6 13" xfId="2316" xr:uid="{00000000-0005-0000-0000-000031090000}"/>
    <cellStyle name="Énfasis6 13 2" xfId="2317" xr:uid="{00000000-0005-0000-0000-000032090000}"/>
    <cellStyle name="Énfasis6 13 3" xfId="2318" xr:uid="{00000000-0005-0000-0000-000033090000}"/>
    <cellStyle name="Énfasis6 13 4" xfId="2319" xr:uid="{00000000-0005-0000-0000-000034090000}"/>
    <cellStyle name="Énfasis6 13 5" xfId="2320" xr:uid="{00000000-0005-0000-0000-000035090000}"/>
    <cellStyle name="Énfasis6 13 6" xfId="2321" xr:uid="{00000000-0005-0000-0000-000036090000}"/>
    <cellStyle name="Énfasis6 13 7" xfId="2322" xr:uid="{00000000-0005-0000-0000-000037090000}"/>
    <cellStyle name="Énfasis6 14" xfId="2323" xr:uid="{00000000-0005-0000-0000-000038090000}"/>
    <cellStyle name="Énfasis6 14 2" xfId="2324" xr:uid="{00000000-0005-0000-0000-000039090000}"/>
    <cellStyle name="Énfasis6 14 3" xfId="2325" xr:uid="{00000000-0005-0000-0000-00003A090000}"/>
    <cellStyle name="Énfasis6 14 4" xfId="2326" xr:uid="{00000000-0005-0000-0000-00003B090000}"/>
    <cellStyle name="Énfasis6 14 5" xfId="2327" xr:uid="{00000000-0005-0000-0000-00003C090000}"/>
    <cellStyle name="Énfasis6 14 6" xfId="2328" xr:uid="{00000000-0005-0000-0000-00003D090000}"/>
    <cellStyle name="Énfasis6 14 7" xfId="2329" xr:uid="{00000000-0005-0000-0000-00003E090000}"/>
    <cellStyle name="Énfasis6 15" xfId="2330" xr:uid="{00000000-0005-0000-0000-00003F090000}"/>
    <cellStyle name="Énfasis6 15 2" xfId="2331" xr:uid="{00000000-0005-0000-0000-000040090000}"/>
    <cellStyle name="Énfasis6 15 3" xfId="2332" xr:uid="{00000000-0005-0000-0000-000041090000}"/>
    <cellStyle name="Énfasis6 15 4" xfId="2333" xr:uid="{00000000-0005-0000-0000-000042090000}"/>
    <cellStyle name="Énfasis6 15 5" xfId="2334" xr:uid="{00000000-0005-0000-0000-000043090000}"/>
    <cellStyle name="Énfasis6 15 6" xfId="2335" xr:uid="{00000000-0005-0000-0000-000044090000}"/>
    <cellStyle name="Énfasis6 15 7" xfId="2336" xr:uid="{00000000-0005-0000-0000-000045090000}"/>
    <cellStyle name="Énfasis6 16" xfId="2337" xr:uid="{00000000-0005-0000-0000-000046090000}"/>
    <cellStyle name="Énfasis6 16 2" xfId="2338" xr:uid="{00000000-0005-0000-0000-000047090000}"/>
    <cellStyle name="Énfasis6 16 3" xfId="2339" xr:uid="{00000000-0005-0000-0000-000048090000}"/>
    <cellStyle name="Énfasis6 16 4" xfId="2340" xr:uid="{00000000-0005-0000-0000-000049090000}"/>
    <cellStyle name="Énfasis6 16 5" xfId="2341" xr:uid="{00000000-0005-0000-0000-00004A090000}"/>
    <cellStyle name="Énfasis6 16 6" xfId="2342" xr:uid="{00000000-0005-0000-0000-00004B090000}"/>
    <cellStyle name="Énfasis6 16 7" xfId="2343" xr:uid="{00000000-0005-0000-0000-00004C090000}"/>
    <cellStyle name="Énfasis6 17" xfId="2344" xr:uid="{00000000-0005-0000-0000-00004D090000}"/>
    <cellStyle name="Énfasis6 17 2" xfId="2345" xr:uid="{00000000-0005-0000-0000-00004E090000}"/>
    <cellStyle name="Énfasis6 17 3" xfId="2346" xr:uid="{00000000-0005-0000-0000-00004F090000}"/>
    <cellStyle name="Énfasis6 17 4" xfId="2347" xr:uid="{00000000-0005-0000-0000-000050090000}"/>
    <cellStyle name="Énfasis6 17 5" xfId="2348" xr:uid="{00000000-0005-0000-0000-000051090000}"/>
    <cellStyle name="Énfasis6 17 6" xfId="2349" xr:uid="{00000000-0005-0000-0000-000052090000}"/>
    <cellStyle name="Énfasis6 18" xfId="2350" xr:uid="{00000000-0005-0000-0000-000053090000}"/>
    <cellStyle name="Énfasis6 19" xfId="2351" xr:uid="{00000000-0005-0000-0000-000054090000}"/>
    <cellStyle name="Énfasis6 2" xfId="2352" xr:uid="{00000000-0005-0000-0000-000055090000}"/>
    <cellStyle name="Énfasis6 2 10" xfId="2353" xr:uid="{00000000-0005-0000-0000-000056090000}"/>
    <cellStyle name="Énfasis6 2 11" xfId="2354" xr:uid="{00000000-0005-0000-0000-000057090000}"/>
    <cellStyle name="Énfasis6 2 12" xfId="2355" xr:uid="{00000000-0005-0000-0000-000058090000}"/>
    <cellStyle name="Énfasis6 2 13" xfId="2356" xr:uid="{00000000-0005-0000-0000-000059090000}"/>
    <cellStyle name="Énfasis6 2 14" xfId="2357" xr:uid="{00000000-0005-0000-0000-00005A090000}"/>
    <cellStyle name="Énfasis6 2 15" xfId="2358" xr:uid="{00000000-0005-0000-0000-00005B090000}"/>
    <cellStyle name="Énfasis6 2 16" xfId="2359" xr:uid="{00000000-0005-0000-0000-00005C090000}"/>
    <cellStyle name="Énfasis6 2 17" xfId="2360" xr:uid="{00000000-0005-0000-0000-00005D090000}"/>
    <cellStyle name="Énfasis6 2 18" xfId="2361" xr:uid="{00000000-0005-0000-0000-00005E090000}"/>
    <cellStyle name="Énfasis6 2 19" xfId="2362" xr:uid="{00000000-0005-0000-0000-00005F090000}"/>
    <cellStyle name="Énfasis6 2 2" xfId="2363" xr:uid="{00000000-0005-0000-0000-000060090000}"/>
    <cellStyle name="Énfasis6 2 20" xfId="3557" xr:uid="{00000000-0005-0000-0000-000061090000}"/>
    <cellStyle name="Énfasis6 2 3" xfId="2364" xr:uid="{00000000-0005-0000-0000-000062090000}"/>
    <cellStyle name="Énfasis6 2 4" xfId="2365" xr:uid="{00000000-0005-0000-0000-000063090000}"/>
    <cellStyle name="Énfasis6 2 5" xfId="2366" xr:uid="{00000000-0005-0000-0000-000064090000}"/>
    <cellStyle name="Énfasis6 2 6" xfId="2367" xr:uid="{00000000-0005-0000-0000-000065090000}"/>
    <cellStyle name="Énfasis6 2 7" xfId="2368" xr:uid="{00000000-0005-0000-0000-000066090000}"/>
    <cellStyle name="Énfasis6 2 8" xfId="2369" xr:uid="{00000000-0005-0000-0000-000067090000}"/>
    <cellStyle name="Énfasis6 2 9" xfId="2370" xr:uid="{00000000-0005-0000-0000-000068090000}"/>
    <cellStyle name="Énfasis6 20" xfId="2371" xr:uid="{00000000-0005-0000-0000-000069090000}"/>
    <cellStyle name="Énfasis6 21" xfId="2372" xr:uid="{00000000-0005-0000-0000-00006A090000}"/>
    <cellStyle name="Énfasis6 22" xfId="2373" xr:uid="{00000000-0005-0000-0000-00006B090000}"/>
    <cellStyle name="Énfasis6 23" xfId="2374" xr:uid="{00000000-0005-0000-0000-00006C090000}"/>
    <cellStyle name="Énfasis6 24" xfId="3556" xr:uid="{00000000-0005-0000-0000-00006D090000}"/>
    <cellStyle name="Énfasis6 3" xfId="2375" xr:uid="{00000000-0005-0000-0000-00006E090000}"/>
    <cellStyle name="Énfasis6 3 2" xfId="3558" xr:uid="{00000000-0005-0000-0000-00006F090000}"/>
    <cellStyle name="Énfasis6 4" xfId="2376" xr:uid="{00000000-0005-0000-0000-000070090000}"/>
    <cellStyle name="Énfasis6 5" xfId="2377" xr:uid="{00000000-0005-0000-0000-000071090000}"/>
    <cellStyle name="Énfasis6 6" xfId="2378" xr:uid="{00000000-0005-0000-0000-000072090000}"/>
    <cellStyle name="Énfasis6 7" xfId="2379" xr:uid="{00000000-0005-0000-0000-000073090000}"/>
    <cellStyle name="Énfasis6 8" xfId="2380" xr:uid="{00000000-0005-0000-0000-000074090000}"/>
    <cellStyle name="Énfasis6 9" xfId="2381" xr:uid="{00000000-0005-0000-0000-000075090000}"/>
    <cellStyle name="Entrada 10" xfId="2382" xr:uid="{00000000-0005-0000-0000-000076090000}"/>
    <cellStyle name="Entrada 11" xfId="2383" xr:uid="{00000000-0005-0000-0000-000077090000}"/>
    <cellStyle name="Entrada 11 2" xfId="2384" xr:uid="{00000000-0005-0000-0000-000078090000}"/>
    <cellStyle name="Entrada 11 3" xfId="2385" xr:uid="{00000000-0005-0000-0000-000079090000}"/>
    <cellStyle name="Entrada 11 4" xfId="2386" xr:uid="{00000000-0005-0000-0000-00007A090000}"/>
    <cellStyle name="Entrada 11 5" xfId="2387" xr:uid="{00000000-0005-0000-0000-00007B090000}"/>
    <cellStyle name="Entrada 11 6" xfId="2388" xr:uid="{00000000-0005-0000-0000-00007C090000}"/>
    <cellStyle name="Entrada 11 7" xfId="2389" xr:uid="{00000000-0005-0000-0000-00007D090000}"/>
    <cellStyle name="Entrada 12" xfId="2390" xr:uid="{00000000-0005-0000-0000-00007E090000}"/>
    <cellStyle name="Entrada 12 2" xfId="2391" xr:uid="{00000000-0005-0000-0000-00007F090000}"/>
    <cellStyle name="Entrada 12 3" xfId="2392" xr:uid="{00000000-0005-0000-0000-000080090000}"/>
    <cellStyle name="Entrada 12 4" xfId="2393" xr:uid="{00000000-0005-0000-0000-000081090000}"/>
    <cellStyle name="Entrada 12 5" xfId="2394" xr:uid="{00000000-0005-0000-0000-000082090000}"/>
    <cellStyle name="Entrada 12 6" xfId="2395" xr:uid="{00000000-0005-0000-0000-000083090000}"/>
    <cellStyle name="Entrada 12 7" xfId="2396" xr:uid="{00000000-0005-0000-0000-000084090000}"/>
    <cellStyle name="Entrada 13" xfId="2397" xr:uid="{00000000-0005-0000-0000-000085090000}"/>
    <cellStyle name="Entrada 13 2" xfId="2398" xr:uid="{00000000-0005-0000-0000-000086090000}"/>
    <cellStyle name="Entrada 13 3" xfId="2399" xr:uid="{00000000-0005-0000-0000-000087090000}"/>
    <cellStyle name="Entrada 13 4" xfId="2400" xr:uid="{00000000-0005-0000-0000-000088090000}"/>
    <cellStyle name="Entrada 13 5" xfId="2401" xr:uid="{00000000-0005-0000-0000-000089090000}"/>
    <cellStyle name="Entrada 13 6" xfId="2402" xr:uid="{00000000-0005-0000-0000-00008A090000}"/>
    <cellStyle name="Entrada 13 7" xfId="2403" xr:uid="{00000000-0005-0000-0000-00008B090000}"/>
    <cellStyle name="Entrada 14" xfId="2404" xr:uid="{00000000-0005-0000-0000-00008C090000}"/>
    <cellStyle name="Entrada 14 2" xfId="2405" xr:uid="{00000000-0005-0000-0000-00008D090000}"/>
    <cellStyle name="Entrada 14 3" xfId="2406" xr:uid="{00000000-0005-0000-0000-00008E090000}"/>
    <cellStyle name="Entrada 14 4" xfId="2407" xr:uid="{00000000-0005-0000-0000-00008F090000}"/>
    <cellStyle name="Entrada 14 5" xfId="2408" xr:uid="{00000000-0005-0000-0000-000090090000}"/>
    <cellStyle name="Entrada 14 6" xfId="2409" xr:uid="{00000000-0005-0000-0000-000091090000}"/>
    <cellStyle name="Entrada 14 7" xfId="2410" xr:uid="{00000000-0005-0000-0000-000092090000}"/>
    <cellStyle name="Entrada 15" xfId="2411" xr:uid="{00000000-0005-0000-0000-000093090000}"/>
    <cellStyle name="Entrada 15 2" xfId="2412" xr:uid="{00000000-0005-0000-0000-000094090000}"/>
    <cellStyle name="Entrada 15 3" xfId="2413" xr:uid="{00000000-0005-0000-0000-000095090000}"/>
    <cellStyle name="Entrada 15 4" xfId="2414" xr:uid="{00000000-0005-0000-0000-000096090000}"/>
    <cellStyle name="Entrada 15 5" xfId="2415" xr:uid="{00000000-0005-0000-0000-000097090000}"/>
    <cellStyle name="Entrada 15 6" xfId="2416" xr:uid="{00000000-0005-0000-0000-000098090000}"/>
    <cellStyle name="Entrada 15 7" xfId="2417" xr:uid="{00000000-0005-0000-0000-000099090000}"/>
    <cellStyle name="Entrada 16" xfId="2418" xr:uid="{00000000-0005-0000-0000-00009A090000}"/>
    <cellStyle name="Entrada 16 2" xfId="2419" xr:uid="{00000000-0005-0000-0000-00009B090000}"/>
    <cellStyle name="Entrada 16 3" xfId="2420" xr:uid="{00000000-0005-0000-0000-00009C090000}"/>
    <cellStyle name="Entrada 16 4" xfId="2421" xr:uid="{00000000-0005-0000-0000-00009D090000}"/>
    <cellStyle name="Entrada 16 5" xfId="2422" xr:uid="{00000000-0005-0000-0000-00009E090000}"/>
    <cellStyle name="Entrada 16 6" xfId="2423" xr:uid="{00000000-0005-0000-0000-00009F090000}"/>
    <cellStyle name="Entrada 16 7" xfId="2424" xr:uid="{00000000-0005-0000-0000-0000A0090000}"/>
    <cellStyle name="Entrada 17" xfId="2425" xr:uid="{00000000-0005-0000-0000-0000A1090000}"/>
    <cellStyle name="Entrada 17 2" xfId="2426" xr:uid="{00000000-0005-0000-0000-0000A2090000}"/>
    <cellStyle name="Entrada 17 3" xfId="2427" xr:uid="{00000000-0005-0000-0000-0000A3090000}"/>
    <cellStyle name="Entrada 17 4" xfId="2428" xr:uid="{00000000-0005-0000-0000-0000A4090000}"/>
    <cellStyle name="Entrada 17 5" xfId="2429" xr:uid="{00000000-0005-0000-0000-0000A5090000}"/>
    <cellStyle name="Entrada 17 6" xfId="2430" xr:uid="{00000000-0005-0000-0000-0000A6090000}"/>
    <cellStyle name="Entrada 18" xfId="2431" xr:uid="{00000000-0005-0000-0000-0000A7090000}"/>
    <cellStyle name="Entrada 19" xfId="2432" xr:uid="{00000000-0005-0000-0000-0000A8090000}"/>
    <cellStyle name="Entrada 2" xfId="2433" xr:uid="{00000000-0005-0000-0000-0000A9090000}"/>
    <cellStyle name="Entrada 2 10" xfId="2434" xr:uid="{00000000-0005-0000-0000-0000AA090000}"/>
    <cellStyle name="Entrada 2 11" xfId="2435" xr:uid="{00000000-0005-0000-0000-0000AB090000}"/>
    <cellStyle name="Entrada 2 12" xfId="2436" xr:uid="{00000000-0005-0000-0000-0000AC090000}"/>
    <cellStyle name="Entrada 2 13" xfId="2437" xr:uid="{00000000-0005-0000-0000-0000AD090000}"/>
    <cellStyle name="Entrada 2 14" xfId="2438" xr:uid="{00000000-0005-0000-0000-0000AE090000}"/>
    <cellStyle name="Entrada 2 15" xfId="2439" xr:uid="{00000000-0005-0000-0000-0000AF090000}"/>
    <cellStyle name="Entrada 2 16" xfId="2440" xr:uid="{00000000-0005-0000-0000-0000B0090000}"/>
    <cellStyle name="Entrada 2 17" xfId="2441" xr:uid="{00000000-0005-0000-0000-0000B1090000}"/>
    <cellStyle name="Entrada 2 18" xfId="2442" xr:uid="{00000000-0005-0000-0000-0000B2090000}"/>
    <cellStyle name="Entrada 2 19" xfId="2443" xr:uid="{00000000-0005-0000-0000-0000B3090000}"/>
    <cellStyle name="Entrada 2 2" xfId="2444" xr:uid="{00000000-0005-0000-0000-0000B4090000}"/>
    <cellStyle name="Entrada 2 20" xfId="3560" xr:uid="{00000000-0005-0000-0000-0000B5090000}"/>
    <cellStyle name="Entrada 2 3" xfId="2445" xr:uid="{00000000-0005-0000-0000-0000B6090000}"/>
    <cellStyle name="Entrada 2 4" xfId="2446" xr:uid="{00000000-0005-0000-0000-0000B7090000}"/>
    <cellStyle name="Entrada 2 5" xfId="2447" xr:uid="{00000000-0005-0000-0000-0000B8090000}"/>
    <cellStyle name="Entrada 2 6" xfId="2448" xr:uid="{00000000-0005-0000-0000-0000B9090000}"/>
    <cellStyle name="Entrada 2 7" xfId="2449" xr:uid="{00000000-0005-0000-0000-0000BA090000}"/>
    <cellStyle name="Entrada 2 8" xfId="2450" xr:uid="{00000000-0005-0000-0000-0000BB090000}"/>
    <cellStyle name="Entrada 2 9" xfId="2451" xr:uid="{00000000-0005-0000-0000-0000BC090000}"/>
    <cellStyle name="Entrada 20" xfId="2452" xr:uid="{00000000-0005-0000-0000-0000BD090000}"/>
    <cellStyle name="Entrada 21" xfId="2453" xr:uid="{00000000-0005-0000-0000-0000BE090000}"/>
    <cellStyle name="Entrada 22" xfId="2454" xr:uid="{00000000-0005-0000-0000-0000BF090000}"/>
    <cellStyle name="Entrada 23" xfId="2455" xr:uid="{00000000-0005-0000-0000-0000C0090000}"/>
    <cellStyle name="Entrada 24" xfId="3559" xr:uid="{00000000-0005-0000-0000-0000C1090000}"/>
    <cellStyle name="Entrada 3" xfId="2456" xr:uid="{00000000-0005-0000-0000-0000C2090000}"/>
    <cellStyle name="Entrada 3 2" xfId="3561" xr:uid="{00000000-0005-0000-0000-0000C3090000}"/>
    <cellStyle name="Entrada 4" xfId="2457" xr:uid="{00000000-0005-0000-0000-0000C4090000}"/>
    <cellStyle name="Entrada 5" xfId="2458" xr:uid="{00000000-0005-0000-0000-0000C5090000}"/>
    <cellStyle name="Entrada 6" xfId="2459" xr:uid="{00000000-0005-0000-0000-0000C6090000}"/>
    <cellStyle name="Entrada 7" xfId="2460" xr:uid="{00000000-0005-0000-0000-0000C7090000}"/>
    <cellStyle name="Entrada 8" xfId="2461" xr:uid="{00000000-0005-0000-0000-0000C8090000}"/>
    <cellStyle name="Entrada 9" xfId="2462" xr:uid="{00000000-0005-0000-0000-0000C9090000}"/>
    <cellStyle name="Hyperlink" xfId="3485" builtinId="8"/>
    <cellStyle name="Incorrecto 10" xfId="2463" xr:uid="{00000000-0005-0000-0000-0000CB090000}"/>
    <cellStyle name="Incorrecto 11" xfId="2464" xr:uid="{00000000-0005-0000-0000-0000CC090000}"/>
    <cellStyle name="Incorrecto 11 2" xfId="2465" xr:uid="{00000000-0005-0000-0000-0000CD090000}"/>
    <cellStyle name="Incorrecto 11 3" xfId="2466" xr:uid="{00000000-0005-0000-0000-0000CE090000}"/>
    <cellStyle name="Incorrecto 11 4" xfId="2467" xr:uid="{00000000-0005-0000-0000-0000CF090000}"/>
    <cellStyle name="Incorrecto 11 5" xfId="2468" xr:uid="{00000000-0005-0000-0000-0000D0090000}"/>
    <cellStyle name="Incorrecto 11 6" xfId="2469" xr:uid="{00000000-0005-0000-0000-0000D1090000}"/>
    <cellStyle name="Incorrecto 11 7" xfId="2470" xr:uid="{00000000-0005-0000-0000-0000D2090000}"/>
    <cellStyle name="Incorrecto 12" xfId="2471" xr:uid="{00000000-0005-0000-0000-0000D3090000}"/>
    <cellStyle name="Incorrecto 12 2" xfId="2472" xr:uid="{00000000-0005-0000-0000-0000D4090000}"/>
    <cellStyle name="Incorrecto 12 3" xfId="2473" xr:uid="{00000000-0005-0000-0000-0000D5090000}"/>
    <cellStyle name="Incorrecto 12 4" xfId="2474" xr:uid="{00000000-0005-0000-0000-0000D6090000}"/>
    <cellStyle name="Incorrecto 12 5" xfId="2475" xr:uid="{00000000-0005-0000-0000-0000D7090000}"/>
    <cellStyle name="Incorrecto 12 6" xfId="2476" xr:uid="{00000000-0005-0000-0000-0000D8090000}"/>
    <cellStyle name="Incorrecto 12 7" xfId="2477" xr:uid="{00000000-0005-0000-0000-0000D9090000}"/>
    <cellStyle name="Incorrecto 13" xfId="2478" xr:uid="{00000000-0005-0000-0000-0000DA090000}"/>
    <cellStyle name="Incorrecto 13 2" xfId="2479" xr:uid="{00000000-0005-0000-0000-0000DB090000}"/>
    <cellStyle name="Incorrecto 13 3" xfId="2480" xr:uid="{00000000-0005-0000-0000-0000DC090000}"/>
    <cellStyle name="Incorrecto 13 4" xfId="2481" xr:uid="{00000000-0005-0000-0000-0000DD090000}"/>
    <cellStyle name="Incorrecto 13 5" xfId="2482" xr:uid="{00000000-0005-0000-0000-0000DE090000}"/>
    <cellStyle name="Incorrecto 13 6" xfId="2483" xr:uid="{00000000-0005-0000-0000-0000DF090000}"/>
    <cellStyle name="Incorrecto 13 7" xfId="2484" xr:uid="{00000000-0005-0000-0000-0000E0090000}"/>
    <cellStyle name="Incorrecto 14" xfId="2485" xr:uid="{00000000-0005-0000-0000-0000E1090000}"/>
    <cellStyle name="Incorrecto 14 2" xfId="2486" xr:uid="{00000000-0005-0000-0000-0000E2090000}"/>
    <cellStyle name="Incorrecto 14 3" xfId="2487" xr:uid="{00000000-0005-0000-0000-0000E3090000}"/>
    <cellStyle name="Incorrecto 14 4" xfId="2488" xr:uid="{00000000-0005-0000-0000-0000E4090000}"/>
    <cellStyle name="Incorrecto 14 5" xfId="2489" xr:uid="{00000000-0005-0000-0000-0000E5090000}"/>
    <cellStyle name="Incorrecto 14 6" xfId="2490" xr:uid="{00000000-0005-0000-0000-0000E6090000}"/>
    <cellStyle name="Incorrecto 14 7" xfId="2491" xr:uid="{00000000-0005-0000-0000-0000E7090000}"/>
    <cellStyle name="Incorrecto 15" xfId="2492" xr:uid="{00000000-0005-0000-0000-0000E8090000}"/>
    <cellStyle name="Incorrecto 15 2" xfId="2493" xr:uid="{00000000-0005-0000-0000-0000E9090000}"/>
    <cellStyle name="Incorrecto 15 3" xfId="2494" xr:uid="{00000000-0005-0000-0000-0000EA090000}"/>
    <cellStyle name="Incorrecto 15 4" xfId="2495" xr:uid="{00000000-0005-0000-0000-0000EB090000}"/>
    <cellStyle name="Incorrecto 15 5" xfId="2496" xr:uid="{00000000-0005-0000-0000-0000EC090000}"/>
    <cellStyle name="Incorrecto 15 6" xfId="2497" xr:uid="{00000000-0005-0000-0000-0000ED090000}"/>
    <cellStyle name="Incorrecto 15 7" xfId="2498" xr:uid="{00000000-0005-0000-0000-0000EE090000}"/>
    <cellStyle name="Incorrecto 16" xfId="2499" xr:uid="{00000000-0005-0000-0000-0000EF090000}"/>
    <cellStyle name="Incorrecto 16 2" xfId="2500" xr:uid="{00000000-0005-0000-0000-0000F0090000}"/>
    <cellStyle name="Incorrecto 16 3" xfId="2501" xr:uid="{00000000-0005-0000-0000-0000F1090000}"/>
    <cellStyle name="Incorrecto 16 4" xfId="2502" xr:uid="{00000000-0005-0000-0000-0000F2090000}"/>
    <cellStyle name="Incorrecto 16 5" xfId="2503" xr:uid="{00000000-0005-0000-0000-0000F3090000}"/>
    <cellStyle name="Incorrecto 16 6" xfId="2504" xr:uid="{00000000-0005-0000-0000-0000F4090000}"/>
    <cellStyle name="Incorrecto 16 7" xfId="2505" xr:uid="{00000000-0005-0000-0000-0000F5090000}"/>
    <cellStyle name="Incorrecto 17" xfId="2506" xr:uid="{00000000-0005-0000-0000-0000F6090000}"/>
    <cellStyle name="Incorrecto 17 2" xfId="2507" xr:uid="{00000000-0005-0000-0000-0000F7090000}"/>
    <cellStyle name="Incorrecto 17 3" xfId="2508" xr:uid="{00000000-0005-0000-0000-0000F8090000}"/>
    <cellStyle name="Incorrecto 17 4" xfId="2509" xr:uid="{00000000-0005-0000-0000-0000F9090000}"/>
    <cellStyle name="Incorrecto 17 5" xfId="2510" xr:uid="{00000000-0005-0000-0000-0000FA090000}"/>
    <cellStyle name="Incorrecto 17 6" xfId="2511" xr:uid="{00000000-0005-0000-0000-0000FB090000}"/>
    <cellStyle name="Incorrecto 18" xfId="2512" xr:uid="{00000000-0005-0000-0000-0000FC090000}"/>
    <cellStyle name="Incorrecto 19" xfId="2513" xr:uid="{00000000-0005-0000-0000-0000FD090000}"/>
    <cellStyle name="Incorrecto 2" xfId="2514" xr:uid="{00000000-0005-0000-0000-0000FE090000}"/>
    <cellStyle name="Incorrecto 2 10" xfId="2515" xr:uid="{00000000-0005-0000-0000-0000FF090000}"/>
    <cellStyle name="Incorrecto 2 11" xfId="2516" xr:uid="{00000000-0005-0000-0000-0000000A0000}"/>
    <cellStyle name="Incorrecto 2 12" xfId="2517" xr:uid="{00000000-0005-0000-0000-0000010A0000}"/>
    <cellStyle name="Incorrecto 2 13" xfId="2518" xr:uid="{00000000-0005-0000-0000-0000020A0000}"/>
    <cellStyle name="Incorrecto 2 14" xfId="2519" xr:uid="{00000000-0005-0000-0000-0000030A0000}"/>
    <cellStyle name="Incorrecto 2 15" xfId="2520" xr:uid="{00000000-0005-0000-0000-0000040A0000}"/>
    <cellStyle name="Incorrecto 2 16" xfId="2521" xr:uid="{00000000-0005-0000-0000-0000050A0000}"/>
    <cellStyle name="Incorrecto 2 17" xfId="2522" xr:uid="{00000000-0005-0000-0000-0000060A0000}"/>
    <cellStyle name="Incorrecto 2 18" xfId="2523" xr:uid="{00000000-0005-0000-0000-0000070A0000}"/>
    <cellStyle name="Incorrecto 2 19" xfId="2524" xr:uid="{00000000-0005-0000-0000-0000080A0000}"/>
    <cellStyle name="Incorrecto 2 2" xfId="2525" xr:uid="{00000000-0005-0000-0000-0000090A0000}"/>
    <cellStyle name="Incorrecto 2 20" xfId="3563" xr:uid="{00000000-0005-0000-0000-00000A0A0000}"/>
    <cellStyle name="Incorrecto 2 3" xfId="2526" xr:uid="{00000000-0005-0000-0000-00000B0A0000}"/>
    <cellStyle name="Incorrecto 2 4" xfId="2527" xr:uid="{00000000-0005-0000-0000-00000C0A0000}"/>
    <cellStyle name="Incorrecto 2 5" xfId="2528" xr:uid="{00000000-0005-0000-0000-00000D0A0000}"/>
    <cellStyle name="Incorrecto 2 6" xfId="2529" xr:uid="{00000000-0005-0000-0000-00000E0A0000}"/>
    <cellStyle name="Incorrecto 2 7" xfId="2530" xr:uid="{00000000-0005-0000-0000-00000F0A0000}"/>
    <cellStyle name="Incorrecto 2 8" xfId="2531" xr:uid="{00000000-0005-0000-0000-0000100A0000}"/>
    <cellStyle name="Incorrecto 2 9" xfId="2532" xr:uid="{00000000-0005-0000-0000-0000110A0000}"/>
    <cellStyle name="Incorrecto 20" xfId="2533" xr:uid="{00000000-0005-0000-0000-0000120A0000}"/>
    <cellStyle name="Incorrecto 21" xfId="2534" xr:uid="{00000000-0005-0000-0000-0000130A0000}"/>
    <cellStyle name="Incorrecto 22" xfId="2535" xr:uid="{00000000-0005-0000-0000-0000140A0000}"/>
    <cellStyle name="Incorrecto 23" xfId="2536" xr:uid="{00000000-0005-0000-0000-0000150A0000}"/>
    <cellStyle name="Incorrecto 24" xfId="3562" xr:uid="{00000000-0005-0000-0000-0000160A0000}"/>
    <cellStyle name="Incorrecto 3" xfId="2537" xr:uid="{00000000-0005-0000-0000-0000170A0000}"/>
    <cellStyle name="Incorrecto 3 2" xfId="3564" xr:uid="{00000000-0005-0000-0000-0000180A0000}"/>
    <cellStyle name="Incorrecto 4" xfId="2538" xr:uid="{00000000-0005-0000-0000-0000190A0000}"/>
    <cellStyle name="Incorrecto 5" xfId="2539" xr:uid="{00000000-0005-0000-0000-00001A0A0000}"/>
    <cellStyle name="Incorrecto 6" xfId="2540" xr:uid="{00000000-0005-0000-0000-00001B0A0000}"/>
    <cellStyle name="Incorrecto 7" xfId="2541" xr:uid="{00000000-0005-0000-0000-00001C0A0000}"/>
    <cellStyle name="Incorrecto 8" xfId="2542" xr:uid="{00000000-0005-0000-0000-00001D0A0000}"/>
    <cellStyle name="Incorrecto 9" xfId="2543" xr:uid="{00000000-0005-0000-0000-00001E0A0000}"/>
    <cellStyle name="Neutral 10" xfId="2544" xr:uid="{00000000-0005-0000-0000-0000200A0000}"/>
    <cellStyle name="Neutral 11" xfId="2545" xr:uid="{00000000-0005-0000-0000-0000210A0000}"/>
    <cellStyle name="Neutral 11 2" xfId="2546" xr:uid="{00000000-0005-0000-0000-0000220A0000}"/>
    <cellStyle name="Neutral 11 3" xfId="2547" xr:uid="{00000000-0005-0000-0000-0000230A0000}"/>
    <cellStyle name="Neutral 11 4" xfId="2548" xr:uid="{00000000-0005-0000-0000-0000240A0000}"/>
    <cellStyle name="Neutral 11 5" xfId="2549" xr:uid="{00000000-0005-0000-0000-0000250A0000}"/>
    <cellStyle name="Neutral 11 6" xfId="2550" xr:uid="{00000000-0005-0000-0000-0000260A0000}"/>
    <cellStyle name="Neutral 11 7" xfId="2551" xr:uid="{00000000-0005-0000-0000-0000270A0000}"/>
    <cellStyle name="Neutral 12" xfId="2552" xr:uid="{00000000-0005-0000-0000-0000280A0000}"/>
    <cellStyle name="Neutral 12 2" xfId="2553" xr:uid="{00000000-0005-0000-0000-0000290A0000}"/>
    <cellStyle name="Neutral 12 3" xfId="2554" xr:uid="{00000000-0005-0000-0000-00002A0A0000}"/>
    <cellStyle name="Neutral 12 4" xfId="2555" xr:uid="{00000000-0005-0000-0000-00002B0A0000}"/>
    <cellStyle name="Neutral 12 5" xfId="2556" xr:uid="{00000000-0005-0000-0000-00002C0A0000}"/>
    <cellStyle name="Neutral 12 6" xfId="2557" xr:uid="{00000000-0005-0000-0000-00002D0A0000}"/>
    <cellStyle name="Neutral 12 7" xfId="2558" xr:uid="{00000000-0005-0000-0000-00002E0A0000}"/>
    <cellStyle name="Neutral 13" xfId="2559" xr:uid="{00000000-0005-0000-0000-00002F0A0000}"/>
    <cellStyle name="Neutral 13 2" xfId="2560" xr:uid="{00000000-0005-0000-0000-0000300A0000}"/>
    <cellStyle name="Neutral 13 3" xfId="2561" xr:uid="{00000000-0005-0000-0000-0000310A0000}"/>
    <cellStyle name="Neutral 13 4" xfId="2562" xr:uid="{00000000-0005-0000-0000-0000320A0000}"/>
    <cellStyle name="Neutral 13 5" xfId="2563" xr:uid="{00000000-0005-0000-0000-0000330A0000}"/>
    <cellStyle name="Neutral 13 6" xfId="2564" xr:uid="{00000000-0005-0000-0000-0000340A0000}"/>
    <cellStyle name="Neutral 13 7" xfId="2565" xr:uid="{00000000-0005-0000-0000-0000350A0000}"/>
    <cellStyle name="Neutral 14" xfId="2566" xr:uid="{00000000-0005-0000-0000-0000360A0000}"/>
    <cellStyle name="Neutral 14 2" xfId="2567" xr:uid="{00000000-0005-0000-0000-0000370A0000}"/>
    <cellStyle name="Neutral 14 3" xfId="2568" xr:uid="{00000000-0005-0000-0000-0000380A0000}"/>
    <cellStyle name="Neutral 14 4" xfId="2569" xr:uid="{00000000-0005-0000-0000-0000390A0000}"/>
    <cellStyle name="Neutral 14 5" xfId="2570" xr:uid="{00000000-0005-0000-0000-00003A0A0000}"/>
    <cellStyle name="Neutral 14 6" xfId="2571" xr:uid="{00000000-0005-0000-0000-00003B0A0000}"/>
    <cellStyle name="Neutral 14 7" xfId="2572" xr:uid="{00000000-0005-0000-0000-00003C0A0000}"/>
    <cellStyle name="Neutral 15" xfId="2573" xr:uid="{00000000-0005-0000-0000-00003D0A0000}"/>
    <cellStyle name="Neutral 15 2" xfId="2574" xr:uid="{00000000-0005-0000-0000-00003E0A0000}"/>
    <cellStyle name="Neutral 15 3" xfId="2575" xr:uid="{00000000-0005-0000-0000-00003F0A0000}"/>
    <cellStyle name="Neutral 15 4" xfId="2576" xr:uid="{00000000-0005-0000-0000-0000400A0000}"/>
    <cellStyle name="Neutral 15 5" xfId="2577" xr:uid="{00000000-0005-0000-0000-0000410A0000}"/>
    <cellStyle name="Neutral 15 6" xfId="2578" xr:uid="{00000000-0005-0000-0000-0000420A0000}"/>
    <cellStyle name="Neutral 15 7" xfId="2579" xr:uid="{00000000-0005-0000-0000-0000430A0000}"/>
    <cellStyle name="Neutral 16" xfId="2580" xr:uid="{00000000-0005-0000-0000-0000440A0000}"/>
    <cellStyle name="Neutral 16 2" xfId="2581" xr:uid="{00000000-0005-0000-0000-0000450A0000}"/>
    <cellStyle name="Neutral 16 3" xfId="2582" xr:uid="{00000000-0005-0000-0000-0000460A0000}"/>
    <cellStyle name="Neutral 16 4" xfId="2583" xr:uid="{00000000-0005-0000-0000-0000470A0000}"/>
    <cellStyle name="Neutral 16 5" xfId="2584" xr:uid="{00000000-0005-0000-0000-0000480A0000}"/>
    <cellStyle name="Neutral 16 6" xfId="2585" xr:uid="{00000000-0005-0000-0000-0000490A0000}"/>
    <cellStyle name="Neutral 16 7" xfId="2586" xr:uid="{00000000-0005-0000-0000-00004A0A0000}"/>
    <cellStyle name="Neutral 17" xfId="2587" xr:uid="{00000000-0005-0000-0000-00004B0A0000}"/>
    <cellStyle name="Neutral 17 2" xfId="2588" xr:uid="{00000000-0005-0000-0000-00004C0A0000}"/>
    <cellStyle name="Neutral 17 3" xfId="2589" xr:uid="{00000000-0005-0000-0000-00004D0A0000}"/>
    <cellStyle name="Neutral 17 4" xfId="2590" xr:uid="{00000000-0005-0000-0000-00004E0A0000}"/>
    <cellStyle name="Neutral 17 5" xfId="2591" xr:uid="{00000000-0005-0000-0000-00004F0A0000}"/>
    <cellStyle name="Neutral 17 6" xfId="2592" xr:uid="{00000000-0005-0000-0000-0000500A0000}"/>
    <cellStyle name="Neutral 18" xfId="2593" xr:uid="{00000000-0005-0000-0000-0000510A0000}"/>
    <cellStyle name="Neutral 19" xfId="2594" xr:uid="{00000000-0005-0000-0000-0000520A0000}"/>
    <cellStyle name="Neutral 2" xfId="2595" xr:uid="{00000000-0005-0000-0000-0000530A0000}"/>
    <cellStyle name="Neutral 2 10" xfId="2596" xr:uid="{00000000-0005-0000-0000-0000540A0000}"/>
    <cellStyle name="Neutral 2 11" xfId="2597" xr:uid="{00000000-0005-0000-0000-0000550A0000}"/>
    <cellStyle name="Neutral 2 12" xfId="2598" xr:uid="{00000000-0005-0000-0000-0000560A0000}"/>
    <cellStyle name="Neutral 2 13" xfId="2599" xr:uid="{00000000-0005-0000-0000-0000570A0000}"/>
    <cellStyle name="Neutral 2 14" xfId="2600" xr:uid="{00000000-0005-0000-0000-0000580A0000}"/>
    <cellStyle name="Neutral 2 15" xfId="2601" xr:uid="{00000000-0005-0000-0000-0000590A0000}"/>
    <cellStyle name="Neutral 2 16" xfId="2602" xr:uid="{00000000-0005-0000-0000-00005A0A0000}"/>
    <cellStyle name="Neutral 2 17" xfId="2603" xr:uid="{00000000-0005-0000-0000-00005B0A0000}"/>
    <cellStyle name="Neutral 2 18" xfId="2604" xr:uid="{00000000-0005-0000-0000-00005C0A0000}"/>
    <cellStyle name="Neutral 2 19" xfId="2605" xr:uid="{00000000-0005-0000-0000-00005D0A0000}"/>
    <cellStyle name="Neutral 2 2" xfId="2606" xr:uid="{00000000-0005-0000-0000-00005E0A0000}"/>
    <cellStyle name="Neutral 2 20" xfId="3566" xr:uid="{00000000-0005-0000-0000-00005F0A0000}"/>
    <cellStyle name="Neutral 2 3" xfId="2607" xr:uid="{00000000-0005-0000-0000-0000600A0000}"/>
    <cellStyle name="Neutral 2 4" xfId="2608" xr:uid="{00000000-0005-0000-0000-0000610A0000}"/>
    <cellStyle name="Neutral 2 5" xfId="2609" xr:uid="{00000000-0005-0000-0000-0000620A0000}"/>
    <cellStyle name="Neutral 2 6" xfId="2610" xr:uid="{00000000-0005-0000-0000-0000630A0000}"/>
    <cellStyle name="Neutral 2 7" xfId="2611" xr:uid="{00000000-0005-0000-0000-0000640A0000}"/>
    <cellStyle name="Neutral 2 8" xfId="2612" xr:uid="{00000000-0005-0000-0000-0000650A0000}"/>
    <cellStyle name="Neutral 2 9" xfId="2613" xr:uid="{00000000-0005-0000-0000-0000660A0000}"/>
    <cellStyle name="Neutral 20" xfId="2614" xr:uid="{00000000-0005-0000-0000-0000670A0000}"/>
    <cellStyle name="Neutral 21" xfId="2615" xr:uid="{00000000-0005-0000-0000-0000680A0000}"/>
    <cellStyle name="Neutral 22" xfId="2616" xr:uid="{00000000-0005-0000-0000-0000690A0000}"/>
    <cellStyle name="Neutral 23" xfId="2617" xr:uid="{00000000-0005-0000-0000-00006A0A0000}"/>
    <cellStyle name="Neutral 24" xfId="3565" xr:uid="{00000000-0005-0000-0000-00006B0A0000}"/>
    <cellStyle name="Neutral 3" xfId="2618" xr:uid="{00000000-0005-0000-0000-00006C0A0000}"/>
    <cellStyle name="Neutral 3 2" xfId="3567" xr:uid="{00000000-0005-0000-0000-00006D0A0000}"/>
    <cellStyle name="Neutral 4" xfId="2619" xr:uid="{00000000-0005-0000-0000-00006E0A0000}"/>
    <cellStyle name="Neutral 5" xfId="2620" xr:uid="{00000000-0005-0000-0000-00006F0A0000}"/>
    <cellStyle name="Neutral 6" xfId="2621" xr:uid="{00000000-0005-0000-0000-0000700A0000}"/>
    <cellStyle name="Neutral 7" xfId="2622" xr:uid="{00000000-0005-0000-0000-0000710A0000}"/>
    <cellStyle name="Neutral 8" xfId="2623" xr:uid="{00000000-0005-0000-0000-0000720A0000}"/>
    <cellStyle name="Neutral 9" xfId="2624" xr:uid="{00000000-0005-0000-0000-0000730A0000}"/>
    <cellStyle name="Normal" xfId="0" builtinId="0"/>
    <cellStyle name="Normal 10" xfId="11" xr:uid="{00000000-0005-0000-0000-0000750A0000}"/>
    <cellStyle name="Normal 100" xfId="3568" xr:uid="{00000000-0005-0000-0000-0000760A0000}"/>
    <cellStyle name="Normal 101" xfId="3569" xr:uid="{00000000-0005-0000-0000-0000770A0000}"/>
    <cellStyle name="Normal 102" xfId="3570" xr:uid="{00000000-0005-0000-0000-0000780A0000}"/>
    <cellStyle name="Normal 103" xfId="3571" xr:uid="{00000000-0005-0000-0000-0000790A0000}"/>
    <cellStyle name="Normal 104" xfId="3572" xr:uid="{00000000-0005-0000-0000-00007A0A0000}"/>
    <cellStyle name="Normal 105" xfId="3573" xr:uid="{00000000-0005-0000-0000-00007B0A0000}"/>
    <cellStyle name="Normal 106" xfId="3574" xr:uid="{00000000-0005-0000-0000-00007C0A0000}"/>
    <cellStyle name="Normal 107" xfId="3575" xr:uid="{00000000-0005-0000-0000-00007D0A0000}"/>
    <cellStyle name="Normal 108" xfId="3576" xr:uid="{00000000-0005-0000-0000-00007E0A0000}"/>
    <cellStyle name="Normal 109" xfId="3577" xr:uid="{00000000-0005-0000-0000-00007F0A0000}"/>
    <cellStyle name="Normal 11" xfId="12" xr:uid="{00000000-0005-0000-0000-0000800A0000}"/>
    <cellStyle name="Normal 110" xfId="3578" xr:uid="{00000000-0005-0000-0000-0000810A0000}"/>
    <cellStyle name="Normal 111" xfId="3579" xr:uid="{00000000-0005-0000-0000-0000820A0000}"/>
    <cellStyle name="Normal 112" xfId="3580" xr:uid="{00000000-0005-0000-0000-0000830A0000}"/>
    <cellStyle name="Normal 113" xfId="3581" xr:uid="{00000000-0005-0000-0000-0000840A0000}"/>
    <cellStyle name="Normal 114" xfId="3582" xr:uid="{00000000-0005-0000-0000-0000850A0000}"/>
    <cellStyle name="Normal 115" xfId="3583" xr:uid="{00000000-0005-0000-0000-0000860A0000}"/>
    <cellStyle name="Normal 116" xfId="3584" xr:uid="{00000000-0005-0000-0000-0000870A0000}"/>
    <cellStyle name="Normal 117" xfId="3585" xr:uid="{00000000-0005-0000-0000-0000880A0000}"/>
    <cellStyle name="Normal 118" xfId="3586" xr:uid="{00000000-0005-0000-0000-0000890A0000}"/>
    <cellStyle name="Normal 119" xfId="3587" xr:uid="{00000000-0005-0000-0000-00008A0A0000}"/>
    <cellStyle name="Normal 12" xfId="13" xr:uid="{00000000-0005-0000-0000-00008B0A0000}"/>
    <cellStyle name="Normal 12 2" xfId="2625" xr:uid="{00000000-0005-0000-0000-00008C0A0000}"/>
    <cellStyle name="Normal 12 3" xfId="2626" xr:uid="{00000000-0005-0000-0000-00008D0A0000}"/>
    <cellStyle name="Normal 12 4" xfId="2627" xr:uid="{00000000-0005-0000-0000-00008E0A0000}"/>
    <cellStyle name="Normal 12 5" xfId="2628" xr:uid="{00000000-0005-0000-0000-00008F0A0000}"/>
    <cellStyle name="Normal 12 6" xfId="2629" xr:uid="{00000000-0005-0000-0000-0000900A0000}"/>
    <cellStyle name="Normal 12 7" xfId="2630" xr:uid="{00000000-0005-0000-0000-0000910A0000}"/>
    <cellStyle name="Normal 12 8" xfId="2631" xr:uid="{00000000-0005-0000-0000-0000920A0000}"/>
    <cellStyle name="Normal 120" xfId="3588" xr:uid="{00000000-0005-0000-0000-0000930A0000}"/>
    <cellStyle name="Normal 121" xfId="3589" xr:uid="{00000000-0005-0000-0000-0000940A0000}"/>
    <cellStyle name="Normal 122" xfId="3590" xr:uid="{00000000-0005-0000-0000-0000950A0000}"/>
    <cellStyle name="Normal 123" xfId="3591" xr:uid="{00000000-0005-0000-0000-0000960A0000}"/>
    <cellStyle name="Normal 124" xfId="3592" xr:uid="{00000000-0005-0000-0000-0000970A0000}"/>
    <cellStyle name="Normal 125" xfId="3593" xr:uid="{00000000-0005-0000-0000-0000980A0000}"/>
    <cellStyle name="Normal 126" xfId="3594" xr:uid="{00000000-0005-0000-0000-0000990A0000}"/>
    <cellStyle name="Normal 127" xfId="3595" xr:uid="{00000000-0005-0000-0000-00009A0A0000}"/>
    <cellStyle name="Normal 128" xfId="3596" xr:uid="{00000000-0005-0000-0000-00009B0A0000}"/>
    <cellStyle name="Normal 129" xfId="3597" xr:uid="{00000000-0005-0000-0000-00009C0A0000}"/>
    <cellStyle name="Normal 13" xfId="14" xr:uid="{00000000-0005-0000-0000-00009D0A0000}"/>
    <cellStyle name="Normal 130" xfId="3598" xr:uid="{00000000-0005-0000-0000-00009E0A0000}"/>
    <cellStyle name="Normal 131" xfId="3599" xr:uid="{00000000-0005-0000-0000-00009F0A0000}"/>
    <cellStyle name="Normal 132" xfId="3600" xr:uid="{00000000-0005-0000-0000-0000A00A0000}"/>
    <cellStyle name="Normal 133" xfId="3601" xr:uid="{00000000-0005-0000-0000-0000A10A0000}"/>
    <cellStyle name="Normal 134" xfId="3602" xr:uid="{00000000-0005-0000-0000-0000A20A0000}"/>
    <cellStyle name="Normal 135" xfId="3603" xr:uid="{00000000-0005-0000-0000-0000A30A0000}"/>
    <cellStyle name="Normal 136" xfId="3604" xr:uid="{00000000-0005-0000-0000-0000A40A0000}"/>
    <cellStyle name="Normal 137" xfId="3605" xr:uid="{00000000-0005-0000-0000-0000A50A0000}"/>
    <cellStyle name="Normal 138" xfId="3606" xr:uid="{00000000-0005-0000-0000-0000A60A0000}"/>
    <cellStyle name="Normal 139" xfId="3607" xr:uid="{00000000-0005-0000-0000-0000A70A0000}"/>
    <cellStyle name="Normal 14" xfId="15" xr:uid="{00000000-0005-0000-0000-0000A80A0000}"/>
    <cellStyle name="Normal 14 2" xfId="2632" xr:uid="{00000000-0005-0000-0000-0000A90A0000}"/>
    <cellStyle name="Normal 14 3" xfId="2633" xr:uid="{00000000-0005-0000-0000-0000AA0A0000}"/>
    <cellStyle name="Normal 14 4" xfId="2634" xr:uid="{00000000-0005-0000-0000-0000AB0A0000}"/>
    <cellStyle name="Normal 14 5" xfId="2635" xr:uid="{00000000-0005-0000-0000-0000AC0A0000}"/>
    <cellStyle name="Normal 14 6" xfId="2636" xr:uid="{00000000-0005-0000-0000-0000AD0A0000}"/>
    <cellStyle name="Normal 14 7" xfId="2637" xr:uid="{00000000-0005-0000-0000-0000AE0A0000}"/>
    <cellStyle name="Normal 140" xfId="3608" xr:uid="{00000000-0005-0000-0000-0000AF0A0000}"/>
    <cellStyle name="Normal 141" xfId="3609" xr:uid="{00000000-0005-0000-0000-0000B00A0000}"/>
    <cellStyle name="Normal 142" xfId="3610" xr:uid="{00000000-0005-0000-0000-0000B10A0000}"/>
    <cellStyle name="Normal 143" xfId="3611" xr:uid="{00000000-0005-0000-0000-0000B20A0000}"/>
    <cellStyle name="Normal 144" xfId="3612" xr:uid="{00000000-0005-0000-0000-0000B30A0000}"/>
    <cellStyle name="Normal 145" xfId="3613" xr:uid="{00000000-0005-0000-0000-0000B40A0000}"/>
    <cellStyle name="Normal 146" xfId="3614" xr:uid="{00000000-0005-0000-0000-0000B50A0000}"/>
    <cellStyle name="Normal 147" xfId="3615" xr:uid="{00000000-0005-0000-0000-0000B60A0000}"/>
    <cellStyle name="Normal 148" xfId="3616" xr:uid="{00000000-0005-0000-0000-0000B70A0000}"/>
    <cellStyle name="Normal 149" xfId="3617" xr:uid="{00000000-0005-0000-0000-0000B80A0000}"/>
    <cellStyle name="Normal 15" xfId="16" xr:uid="{00000000-0005-0000-0000-0000B90A0000}"/>
    <cellStyle name="Normal 15 2" xfId="2638" xr:uid="{00000000-0005-0000-0000-0000BA0A0000}"/>
    <cellStyle name="Normal 15 3" xfId="2639" xr:uid="{00000000-0005-0000-0000-0000BB0A0000}"/>
    <cellStyle name="Normal 15 4" xfId="2640" xr:uid="{00000000-0005-0000-0000-0000BC0A0000}"/>
    <cellStyle name="Normal 15 5" xfId="2641" xr:uid="{00000000-0005-0000-0000-0000BD0A0000}"/>
    <cellStyle name="Normal 15 6" xfId="2642" xr:uid="{00000000-0005-0000-0000-0000BE0A0000}"/>
    <cellStyle name="Normal 15 7" xfId="2643" xr:uid="{00000000-0005-0000-0000-0000BF0A0000}"/>
    <cellStyle name="Normal 150" xfId="3618" xr:uid="{00000000-0005-0000-0000-0000C00A0000}"/>
    <cellStyle name="Normal 151" xfId="3619" xr:uid="{00000000-0005-0000-0000-0000C10A0000}"/>
    <cellStyle name="Normal 152" xfId="3620" xr:uid="{00000000-0005-0000-0000-0000C20A0000}"/>
    <cellStyle name="Normal 153" xfId="3621" xr:uid="{00000000-0005-0000-0000-0000C30A0000}"/>
    <cellStyle name="Normal 154" xfId="3622" xr:uid="{00000000-0005-0000-0000-0000C40A0000}"/>
    <cellStyle name="Normal 155" xfId="3623" xr:uid="{00000000-0005-0000-0000-0000C50A0000}"/>
    <cellStyle name="Normal 156" xfId="3624" xr:uid="{00000000-0005-0000-0000-0000C60A0000}"/>
    <cellStyle name="Normal 157" xfId="3625" xr:uid="{00000000-0005-0000-0000-0000C70A0000}"/>
    <cellStyle name="Normal 158" xfId="3626" xr:uid="{00000000-0005-0000-0000-0000C80A0000}"/>
    <cellStyle name="Normal 159" xfId="3627" xr:uid="{00000000-0005-0000-0000-0000C90A0000}"/>
    <cellStyle name="Normal 16" xfId="17" xr:uid="{00000000-0005-0000-0000-0000CA0A0000}"/>
    <cellStyle name="Normal 16 2" xfId="2644" xr:uid="{00000000-0005-0000-0000-0000CB0A0000}"/>
    <cellStyle name="Normal 16 3" xfId="2645" xr:uid="{00000000-0005-0000-0000-0000CC0A0000}"/>
    <cellStyle name="Normal 16 4" xfId="2646" xr:uid="{00000000-0005-0000-0000-0000CD0A0000}"/>
    <cellStyle name="Normal 16 5" xfId="2647" xr:uid="{00000000-0005-0000-0000-0000CE0A0000}"/>
    <cellStyle name="Normal 16 6" xfId="2648" xr:uid="{00000000-0005-0000-0000-0000CF0A0000}"/>
    <cellStyle name="Normal 16 7" xfId="2649" xr:uid="{00000000-0005-0000-0000-0000D00A0000}"/>
    <cellStyle name="Normal 160" xfId="3628" xr:uid="{00000000-0005-0000-0000-0000D10A0000}"/>
    <cellStyle name="Normal 161" xfId="3629" xr:uid="{00000000-0005-0000-0000-0000D20A0000}"/>
    <cellStyle name="Normal 162" xfId="3630" xr:uid="{00000000-0005-0000-0000-0000D30A0000}"/>
    <cellStyle name="Normal 163" xfId="3631" xr:uid="{00000000-0005-0000-0000-0000D40A0000}"/>
    <cellStyle name="Normal 164" xfId="3632" xr:uid="{00000000-0005-0000-0000-0000D50A0000}"/>
    <cellStyle name="Normal 165" xfId="3633" xr:uid="{00000000-0005-0000-0000-0000D60A0000}"/>
    <cellStyle name="Normal 166" xfId="3634" xr:uid="{00000000-0005-0000-0000-0000D70A0000}"/>
    <cellStyle name="Normal 167" xfId="3635" xr:uid="{00000000-0005-0000-0000-0000D80A0000}"/>
    <cellStyle name="Normal 168" xfId="3636" xr:uid="{00000000-0005-0000-0000-0000D90A0000}"/>
    <cellStyle name="Normal 169" xfId="3637" xr:uid="{00000000-0005-0000-0000-0000DA0A0000}"/>
    <cellStyle name="Normal 17" xfId="18" xr:uid="{00000000-0005-0000-0000-0000DB0A0000}"/>
    <cellStyle name="Normal 17 2" xfId="2650" xr:uid="{00000000-0005-0000-0000-0000DC0A0000}"/>
    <cellStyle name="Normal 17 3" xfId="2651" xr:uid="{00000000-0005-0000-0000-0000DD0A0000}"/>
    <cellStyle name="Normal 17 4" xfId="2652" xr:uid="{00000000-0005-0000-0000-0000DE0A0000}"/>
    <cellStyle name="Normal 17 5" xfId="2653" xr:uid="{00000000-0005-0000-0000-0000DF0A0000}"/>
    <cellStyle name="Normal 17 6" xfId="2654" xr:uid="{00000000-0005-0000-0000-0000E00A0000}"/>
    <cellStyle name="Normal 170" xfId="3638" xr:uid="{00000000-0005-0000-0000-0000E10A0000}"/>
    <cellStyle name="Normal 171" xfId="3639" xr:uid="{00000000-0005-0000-0000-0000E20A0000}"/>
    <cellStyle name="Normal 172" xfId="3640" xr:uid="{00000000-0005-0000-0000-0000E30A0000}"/>
    <cellStyle name="Normal 173" xfId="3641" xr:uid="{00000000-0005-0000-0000-0000E40A0000}"/>
    <cellStyle name="Normal 174" xfId="3642" xr:uid="{00000000-0005-0000-0000-0000E50A0000}"/>
    <cellStyle name="Normal 175" xfId="3643" xr:uid="{00000000-0005-0000-0000-0000E60A0000}"/>
    <cellStyle name="Normal 176" xfId="3644" xr:uid="{00000000-0005-0000-0000-0000E70A0000}"/>
    <cellStyle name="Normal 177" xfId="3645" xr:uid="{00000000-0005-0000-0000-0000E80A0000}"/>
    <cellStyle name="Normal 178" xfId="3646" xr:uid="{00000000-0005-0000-0000-0000E90A0000}"/>
    <cellStyle name="Normal 179" xfId="3647" xr:uid="{00000000-0005-0000-0000-0000EA0A0000}"/>
    <cellStyle name="Normal 18" xfId="19" xr:uid="{00000000-0005-0000-0000-0000EB0A0000}"/>
    <cellStyle name="Normal 18 2" xfId="2655" xr:uid="{00000000-0005-0000-0000-0000EC0A0000}"/>
    <cellStyle name="Normal 18 3" xfId="2656" xr:uid="{00000000-0005-0000-0000-0000ED0A0000}"/>
    <cellStyle name="Normal 180" xfId="3648" xr:uid="{00000000-0005-0000-0000-0000EE0A0000}"/>
    <cellStyle name="Normal 181" xfId="3649" xr:uid="{00000000-0005-0000-0000-0000EF0A0000}"/>
    <cellStyle name="Normal 182" xfId="3650" xr:uid="{00000000-0005-0000-0000-0000F00A0000}"/>
    <cellStyle name="Normal 183" xfId="3651" xr:uid="{00000000-0005-0000-0000-0000F10A0000}"/>
    <cellStyle name="Normal 184" xfId="3652" xr:uid="{00000000-0005-0000-0000-0000F20A0000}"/>
    <cellStyle name="Normal 185" xfId="3653" xr:uid="{00000000-0005-0000-0000-0000F30A0000}"/>
    <cellStyle name="Normal 186" xfId="3654" xr:uid="{00000000-0005-0000-0000-0000F40A0000}"/>
    <cellStyle name="Normal 187" xfId="3655" xr:uid="{00000000-0005-0000-0000-0000F50A0000}"/>
    <cellStyle name="Normal 188" xfId="3656" xr:uid="{00000000-0005-0000-0000-0000F60A0000}"/>
    <cellStyle name="Normal 189" xfId="3657" xr:uid="{00000000-0005-0000-0000-0000F70A0000}"/>
    <cellStyle name="Normal 19" xfId="20" xr:uid="{00000000-0005-0000-0000-0000F80A0000}"/>
    <cellStyle name="Normal 190" xfId="3658" xr:uid="{00000000-0005-0000-0000-0000F90A0000}"/>
    <cellStyle name="Normal 191" xfId="3659" xr:uid="{00000000-0005-0000-0000-0000FA0A0000}"/>
    <cellStyle name="Normal 192" xfId="3660" xr:uid="{00000000-0005-0000-0000-0000FB0A0000}"/>
    <cellStyle name="Normal 193" xfId="3661" xr:uid="{00000000-0005-0000-0000-0000FC0A0000}"/>
    <cellStyle name="Normal 194" xfId="3662" xr:uid="{00000000-0005-0000-0000-0000FD0A0000}"/>
    <cellStyle name="Normal 195 2" xfId="3663" xr:uid="{00000000-0005-0000-0000-0000FE0A0000}"/>
    <cellStyle name="Normal 196" xfId="3664" xr:uid="{00000000-0005-0000-0000-0000FF0A0000}"/>
    <cellStyle name="Normal 197" xfId="3665" xr:uid="{00000000-0005-0000-0000-0000000B0000}"/>
    <cellStyle name="Normal 198" xfId="3666" xr:uid="{00000000-0005-0000-0000-0000010B0000}"/>
    <cellStyle name="Normal 199" xfId="3667" xr:uid="{00000000-0005-0000-0000-0000020B0000}"/>
    <cellStyle name="Normal 2" xfId="1" xr:uid="{00000000-0005-0000-0000-0000030B0000}"/>
    <cellStyle name="Normal 2 10" xfId="2657" xr:uid="{00000000-0005-0000-0000-0000040B0000}"/>
    <cellStyle name="Normal 2 11" xfId="2658" xr:uid="{00000000-0005-0000-0000-0000050B0000}"/>
    <cellStyle name="Normal 2 11 2" xfId="2659" xr:uid="{00000000-0005-0000-0000-0000060B0000}"/>
    <cellStyle name="Normal 2 12" xfId="2660" xr:uid="{00000000-0005-0000-0000-0000070B0000}"/>
    <cellStyle name="Normal 2 13" xfId="2661" xr:uid="{00000000-0005-0000-0000-0000080B0000}"/>
    <cellStyle name="Normal 2 14" xfId="2662" xr:uid="{00000000-0005-0000-0000-0000090B0000}"/>
    <cellStyle name="Normal 2 15" xfId="2663" xr:uid="{00000000-0005-0000-0000-00000A0B0000}"/>
    <cellStyle name="Normal 2 16" xfId="2664" xr:uid="{00000000-0005-0000-0000-00000B0B0000}"/>
    <cellStyle name="Normal 2 17" xfId="2665" xr:uid="{00000000-0005-0000-0000-00000C0B0000}"/>
    <cellStyle name="Normal 2 18" xfId="2666" xr:uid="{00000000-0005-0000-0000-00000D0B0000}"/>
    <cellStyle name="Normal 2 19" xfId="2667" xr:uid="{00000000-0005-0000-0000-00000E0B0000}"/>
    <cellStyle name="Normal 2 2" xfId="2668" xr:uid="{00000000-0005-0000-0000-00000F0B0000}"/>
    <cellStyle name="Normal 2 2 10" xfId="2669" xr:uid="{00000000-0005-0000-0000-0000100B0000}"/>
    <cellStyle name="Normal 2 2 11" xfId="2670" xr:uid="{00000000-0005-0000-0000-0000110B0000}"/>
    <cellStyle name="Normal 2 2 12" xfId="2671" xr:uid="{00000000-0005-0000-0000-0000120B0000}"/>
    <cellStyle name="Normal 2 2 13" xfId="3668" xr:uid="{00000000-0005-0000-0000-0000130B0000}"/>
    <cellStyle name="Normal 2 2 2" xfId="2672" xr:uid="{00000000-0005-0000-0000-0000140B0000}"/>
    <cellStyle name="Normal 2 2 2 10" xfId="2673" xr:uid="{00000000-0005-0000-0000-0000150B0000}"/>
    <cellStyle name="Normal 2 2 2 11" xfId="2674" xr:uid="{00000000-0005-0000-0000-0000160B0000}"/>
    <cellStyle name="Normal 2 2 2 12" xfId="2675" xr:uid="{00000000-0005-0000-0000-0000170B0000}"/>
    <cellStyle name="Normal 2 2 2 2" xfId="2676" xr:uid="{00000000-0005-0000-0000-0000180B0000}"/>
    <cellStyle name="Normal 2 2 2 2 2" xfId="2677" xr:uid="{00000000-0005-0000-0000-0000190B0000}"/>
    <cellStyle name="Normal 2 2 2 2 2 2" xfId="2678" xr:uid="{00000000-0005-0000-0000-00001A0B0000}"/>
    <cellStyle name="Normal 2 2 2 2 2 2 2" xfId="2679" xr:uid="{00000000-0005-0000-0000-00001B0B0000}"/>
    <cellStyle name="Normal 2 2 2 2 2 2 2 2" xfId="2680" xr:uid="{00000000-0005-0000-0000-00001C0B0000}"/>
    <cellStyle name="Normal 2 2 2 2 2 2 2 2 2" xfId="2681" xr:uid="{00000000-0005-0000-0000-00001D0B0000}"/>
    <cellStyle name="Normal 2 2 2 2 2 2 2 3" xfId="2682" xr:uid="{00000000-0005-0000-0000-00001E0B0000}"/>
    <cellStyle name="Normal 2 2 2 2 2 2 2 4" xfId="2683" xr:uid="{00000000-0005-0000-0000-00001F0B0000}"/>
    <cellStyle name="Normal 2 2 2 2 2 2 2 5" xfId="2684" xr:uid="{00000000-0005-0000-0000-0000200B0000}"/>
    <cellStyle name="Normal 2 2 2 2 2 2 2 6" xfId="2685" xr:uid="{00000000-0005-0000-0000-0000210B0000}"/>
    <cellStyle name="Normal 2 2 2 2 2 2 3" xfId="2686" xr:uid="{00000000-0005-0000-0000-0000220B0000}"/>
    <cellStyle name="Normal 2 2 2 2 2 2 3 2" xfId="2687" xr:uid="{00000000-0005-0000-0000-0000230B0000}"/>
    <cellStyle name="Normal 2 2 2 2 2 2 4" xfId="2688" xr:uid="{00000000-0005-0000-0000-0000240B0000}"/>
    <cellStyle name="Normal 2 2 2 2 2 2 5" xfId="2689" xr:uid="{00000000-0005-0000-0000-0000250B0000}"/>
    <cellStyle name="Normal 2 2 2 2 2 2 6" xfId="2690" xr:uid="{00000000-0005-0000-0000-0000260B0000}"/>
    <cellStyle name="Normal 2 2 2 2 2 3" xfId="2691" xr:uid="{00000000-0005-0000-0000-0000270B0000}"/>
    <cellStyle name="Normal 2 2 2 2 2 4" xfId="2692" xr:uid="{00000000-0005-0000-0000-0000280B0000}"/>
    <cellStyle name="Normal 2 2 2 2 2 5" xfId="2693" xr:uid="{00000000-0005-0000-0000-0000290B0000}"/>
    <cellStyle name="Normal 2 2 2 2 2 5 2" xfId="2694" xr:uid="{00000000-0005-0000-0000-00002A0B0000}"/>
    <cellStyle name="Normal 2 2 2 2 2 6" xfId="2695" xr:uid="{00000000-0005-0000-0000-00002B0B0000}"/>
    <cellStyle name="Normal 2 2 2 2 2 7" xfId="2696" xr:uid="{00000000-0005-0000-0000-00002C0B0000}"/>
    <cellStyle name="Normal 2 2 2 2 2 8" xfId="2697" xr:uid="{00000000-0005-0000-0000-00002D0B0000}"/>
    <cellStyle name="Normal 2 2 2 2 3" xfId="2698" xr:uid="{00000000-0005-0000-0000-00002E0B0000}"/>
    <cellStyle name="Normal 2 2 2 2 3 2" xfId="2699" xr:uid="{00000000-0005-0000-0000-00002F0B0000}"/>
    <cellStyle name="Normal 2 2 2 2 4" xfId="2700" xr:uid="{00000000-0005-0000-0000-0000300B0000}"/>
    <cellStyle name="Normal 2 2 2 2 5" xfId="2701" xr:uid="{00000000-0005-0000-0000-0000310B0000}"/>
    <cellStyle name="Normal 2 2 2 2 5 2" xfId="2702" xr:uid="{00000000-0005-0000-0000-0000320B0000}"/>
    <cellStyle name="Normal 2 2 2 2 6" xfId="2703" xr:uid="{00000000-0005-0000-0000-0000330B0000}"/>
    <cellStyle name="Normal 2 2 2 2 7" xfId="2704" xr:uid="{00000000-0005-0000-0000-0000340B0000}"/>
    <cellStyle name="Normal 2 2 2 2 8" xfId="2705" xr:uid="{00000000-0005-0000-0000-0000350B0000}"/>
    <cellStyle name="Normal 2 2 2 3" xfId="2706" xr:uid="{00000000-0005-0000-0000-0000360B0000}"/>
    <cellStyle name="Normal 2 2 2 4" xfId="2707" xr:uid="{00000000-0005-0000-0000-0000370B0000}"/>
    <cellStyle name="Normal 2 2 2 5" xfId="2708" xr:uid="{00000000-0005-0000-0000-0000380B0000}"/>
    <cellStyle name="Normal 2 2 2 6" xfId="2709" xr:uid="{00000000-0005-0000-0000-0000390B0000}"/>
    <cellStyle name="Normal 2 2 2 7" xfId="2710" xr:uid="{00000000-0005-0000-0000-00003A0B0000}"/>
    <cellStyle name="Normal 2 2 2 7 2" xfId="2711" xr:uid="{00000000-0005-0000-0000-00003B0B0000}"/>
    <cellStyle name="Normal 2 2 2 8" xfId="2712" xr:uid="{00000000-0005-0000-0000-00003C0B0000}"/>
    <cellStyle name="Normal 2 2 2 9" xfId="2713" xr:uid="{00000000-0005-0000-0000-00003D0B0000}"/>
    <cellStyle name="Normal 2 2 2 9 2" xfId="2714" xr:uid="{00000000-0005-0000-0000-00003E0B0000}"/>
    <cellStyle name="Normal 2 2 3" xfId="2715" xr:uid="{00000000-0005-0000-0000-00003F0B0000}"/>
    <cellStyle name="Normal 2 2 3 2" xfId="2716" xr:uid="{00000000-0005-0000-0000-0000400B0000}"/>
    <cellStyle name="Normal 2 2 4" xfId="2717" xr:uid="{00000000-0005-0000-0000-0000410B0000}"/>
    <cellStyle name="Normal 2 2 5" xfId="2718" xr:uid="{00000000-0005-0000-0000-0000420B0000}"/>
    <cellStyle name="Normal 2 2 6" xfId="2719" xr:uid="{00000000-0005-0000-0000-0000430B0000}"/>
    <cellStyle name="Normal 2 2 7" xfId="2720" xr:uid="{00000000-0005-0000-0000-0000440B0000}"/>
    <cellStyle name="Normal 2 2 7 2" xfId="2721" xr:uid="{00000000-0005-0000-0000-0000450B0000}"/>
    <cellStyle name="Normal 2 2 8" xfId="2722" xr:uid="{00000000-0005-0000-0000-0000460B0000}"/>
    <cellStyle name="Normal 2 2 9" xfId="2723" xr:uid="{00000000-0005-0000-0000-0000470B0000}"/>
    <cellStyle name="Normal 2 2 9 2" xfId="2724" xr:uid="{00000000-0005-0000-0000-0000480B0000}"/>
    <cellStyle name="Normal 2 20" xfId="2725" xr:uid="{00000000-0005-0000-0000-0000490B0000}"/>
    <cellStyle name="Normal 2 21" xfId="2726" xr:uid="{00000000-0005-0000-0000-00004A0B0000}"/>
    <cellStyle name="Normal 2 22" xfId="2727" xr:uid="{00000000-0005-0000-0000-00004B0B0000}"/>
    <cellStyle name="Normal 2 23" xfId="2728" xr:uid="{00000000-0005-0000-0000-00004C0B0000}"/>
    <cellStyle name="Normal 2 24" xfId="2729" xr:uid="{00000000-0005-0000-0000-00004D0B0000}"/>
    <cellStyle name="Normal 2 24 2" xfId="2730" xr:uid="{00000000-0005-0000-0000-00004E0B0000}"/>
    <cellStyle name="Normal 2 3" xfId="2731" xr:uid="{00000000-0005-0000-0000-00004F0B0000}"/>
    <cellStyle name="Normal 2 4" xfId="2732" xr:uid="{00000000-0005-0000-0000-0000500B0000}"/>
    <cellStyle name="Normal 2 5" xfId="2733" xr:uid="{00000000-0005-0000-0000-0000510B0000}"/>
    <cellStyle name="Normal 2 5 2" xfId="2734" xr:uid="{00000000-0005-0000-0000-0000520B0000}"/>
    <cellStyle name="Normal 2 6" xfId="2735" xr:uid="{00000000-0005-0000-0000-0000530B0000}"/>
    <cellStyle name="Normal 2 7" xfId="2736" xr:uid="{00000000-0005-0000-0000-0000540B0000}"/>
    <cellStyle name="Normal 2 8" xfId="2737" xr:uid="{00000000-0005-0000-0000-0000550B0000}"/>
    <cellStyle name="Normal 2 9" xfId="2738" xr:uid="{00000000-0005-0000-0000-0000560B0000}"/>
    <cellStyle name="Normal 2 9 2" xfId="2739" xr:uid="{00000000-0005-0000-0000-0000570B0000}"/>
    <cellStyle name="Normal 20" xfId="21" xr:uid="{00000000-0005-0000-0000-0000580B0000}"/>
    <cellStyle name="Normal 200" xfId="3669" xr:uid="{00000000-0005-0000-0000-0000590B0000}"/>
    <cellStyle name="Normal 201" xfId="3670" xr:uid="{00000000-0005-0000-0000-00005A0B0000}"/>
    <cellStyle name="Normal 202" xfId="3671" xr:uid="{00000000-0005-0000-0000-00005B0B0000}"/>
    <cellStyle name="Normal 203" xfId="3672" xr:uid="{00000000-0005-0000-0000-00005C0B0000}"/>
    <cellStyle name="Normal 204" xfId="3673" xr:uid="{00000000-0005-0000-0000-00005D0B0000}"/>
    <cellStyle name="Normal 205" xfId="3674" xr:uid="{00000000-0005-0000-0000-00005E0B0000}"/>
    <cellStyle name="Normal 206" xfId="3675" xr:uid="{00000000-0005-0000-0000-00005F0B0000}"/>
    <cellStyle name="Normal 207" xfId="3676" xr:uid="{00000000-0005-0000-0000-0000600B0000}"/>
    <cellStyle name="Normal 208" xfId="3677" xr:uid="{00000000-0005-0000-0000-0000610B0000}"/>
    <cellStyle name="Normal 209" xfId="3678" xr:uid="{00000000-0005-0000-0000-0000620B0000}"/>
    <cellStyle name="Normal 21" xfId="22" xr:uid="{00000000-0005-0000-0000-0000630B0000}"/>
    <cellStyle name="Normal 210" xfId="3679" xr:uid="{00000000-0005-0000-0000-0000640B0000}"/>
    <cellStyle name="Normal 211" xfId="3680" xr:uid="{00000000-0005-0000-0000-0000650B0000}"/>
    <cellStyle name="Normal 212" xfId="3681" xr:uid="{00000000-0005-0000-0000-0000660B0000}"/>
    <cellStyle name="Normal 213" xfId="3682" xr:uid="{00000000-0005-0000-0000-0000670B0000}"/>
    <cellStyle name="Normal 214" xfId="3683" xr:uid="{00000000-0005-0000-0000-0000680B0000}"/>
    <cellStyle name="Normal 215" xfId="3684" xr:uid="{00000000-0005-0000-0000-0000690B0000}"/>
    <cellStyle name="Normal 216" xfId="3685" xr:uid="{00000000-0005-0000-0000-00006A0B0000}"/>
    <cellStyle name="Normal 217" xfId="3686" xr:uid="{00000000-0005-0000-0000-00006B0B0000}"/>
    <cellStyle name="Normal 219" xfId="3687" xr:uid="{00000000-0005-0000-0000-00006C0B0000}"/>
    <cellStyle name="Normal 22" xfId="23" xr:uid="{00000000-0005-0000-0000-00006D0B0000}"/>
    <cellStyle name="Normal 220" xfId="3688" xr:uid="{00000000-0005-0000-0000-00006E0B0000}"/>
    <cellStyle name="Normal 221" xfId="3689" xr:uid="{00000000-0005-0000-0000-00006F0B0000}"/>
    <cellStyle name="Normal 222" xfId="3690" xr:uid="{00000000-0005-0000-0000-0000700B0000}"/>
    <cellStyle name="Normal 223" xfId="3691" xr:uid="{00000000-0005-0000-0000-0000710B0000}"/>
    <cellStyle name="Normal 224" xfId="3692" xr:uid="{00000000-0005-0000-0000-0000720B0000}"/>
    <cellStyle name="Normal 225" xfId="3693" xr:uid="{00000000-0005-0000-0000-0000730B0000}"/>
    <cellStyle name="Normal 226" xfId="3694" xr:uid="{00000000-0005-0000-0000-0000740B0000}"/>
    <cellStyle name="Normal 227" xfId="3695" xr:uid="{00000000-0005-0000-0000-0000750B0000}"/>
    <cellStyle name="Normal 228" xfId="3696" xr:uid="{00000000-0005-0000-0000-0000760B0000}"/>
    <cellStyle name="Normal 229" xfId="3697" xr:uid="{00000000-0005-0000-0000-0000770B0000}"/>
    <cellStyle name="Normal 23" xfId="24" xr:uid="{00000000-0005-0000-0000-0000780B0000}"/>
    <cellStyle name="Normal 230" xfId="3698" xr:uid="{00000000-0005-0000-0000-0000790B0000}"/>
    <cellStyle name="Normal 231" xfId="3699" xr:uid="{00000000-0005-0000-0000-00007A0B0000}"/>
    <cellStyle name="Normal 232" xfId="3700" xr:uid="{00000000-0005-0000-0000-00007B0B0000}"/>
    <cellStyle name="Normal 233" xfId="3701" xr:uid="{00000000-0005-0000-0000-00007C0B0000}"/>
    <cellStyle name="Normal 234" xfId="3702" xr:uid="{00000000-0005-0000-0000-00007D0B0000}"/>
    <cellStyle name="Normal 235" xfId="3703" xr:uid="{00000000-0005-0000-0000-00007E0B0000}"/>
    <cellStyle name="Normal 236" xfId="3704" xr:uid="{00000000-0005-0000-0000-00007F0B0000}"/>
    <cellStyle name="Normal 237" xfId="3705" xr:uid="{00000000-0005-0000-0000-0000800B0000}"/>
    <cellStyle name="Normal 238" xfId="3706" xr:uid="{00000000-0005-0000-0000-0000810B0000}"/>
    <cellStyle name="Normal 239" xfId="3707" xr:uid="{00000000-0005-0000-0000-0000820B0000}"/>
    <cellStyle name="Normal 24" xfId="32" xr:uid="{00000000-0005-0000-0000-0000830B0000}"/>
    <cellStyle name="Normal 24 2" xfId="3708" xr:uid="{00000000-0005-0000-0000-0000840B0000}"/>
    <cellStyle name="Normal 240" xfId="3709" xr:uid="{00000000-0005-0000-0000-0000850B0000}"/>
    <cellStyle name="Normal 241" xfId="3710" xr:uid="{00000000-0005-0000-0000-0000860B0000}"/>
    <cellStyle name="Normal 242" xfId="3711" xr:uid="{00000000-0005-0000-0000-0000870B0000}"/>
    <cellStyle name="Normal 243" xfId="3712" xr:uid="{00000000-0005-0000-0000-0000880B0000}"/>
    <cellStyle name="Normal 244" xfId="3713" xr:uid="{00000000-0005-0000-0000-0000890B0000}"/>
    <cellStyle name="Normal 245" xfId="3714" xr:uid="{00000000-0005-0000-0000-00008A0B0000}"/>
    <cellStyle name="Normal 246" xfId="3715" xr:uid="{00000000-0005-0000-0000-00008B0B0000}"/>
    <cellStyle name="Normal 247" xfId="3716" xr:uid="{00000000-0005-0000-0000-00008C0B0000}"/>
    <cellStyle name="Normal 248" xfId="3717" xr:uid="{00000000-0005-0000-0000-00008D0B0000}"/>
    <cellStyle name="Normal 249" xfId="3718" xr:uid="{00000000-0005-0000-0000-00008E0B0000}"/>
    <cellStyle name="Normal 25" xfId="3719" xr:uid="{00000000-0005-0000-0000-00008F0B0000}"/>
    <cellStyle name="Normal 250" xfId="3720" xr:uid="{00000000-0005-0000-0000-0000900B0000}"/>
    <cellStyle name="Normal 251" xfId="3721" xr:uid="{00000000-0005-0000-0000-0000910B0000}"/>
    <cellStyle name="Normal 252" xfId="3722" xr:uid="{00000000-0005-0000-0000-0000920B0000}"/>
    <cellStyle name="Normal 253" xfId="3723" xr:uid="{00000000-0005-0000-0000-0000930B0000}"/>
    <cellStyle name="Normal 255" xfId="3724" xr:uid="{00000000-0005-0000-0000-0000940B0000}"/>
    <cellStyle name="Normal 256" xfId="3725" xr:uid="{00000000-0005-0000-0000-0000950B0000}"/>
    <cellStyle name="Normal 257" xfId="3726" xr:uid="{00000000-0005-0000-0000-0000960B0000}"/>
    <cellStyle name="Normal 258" xfId="3484" xr:uid="{00000000-0005-0000-0000-0000970B0000}"/>
    <cellStyle name="Normal 26" xfId="3727" xr:uid="{00000000-0005-0000-0000-0000980B0000}"/>
    <cellStyle name="Normal 27" xfId="3728" xr:uid="{00000000-0005-0000-0000-0000990B0000}"/>
    <cellStyle name="Normal 28" xfId="3729" xr:uid="{00000000-0005-0000-0000-00009A0B0000}"/>
    <cellStyle name="Normal 29" xfId="3730" xr:uid="{00000000-0005-0000-0000-00009B0B0000}"/>
    <cellStyle name="Normal 3" xfId="2" xr:uid="{00000000-0005-0000-0000-00009C0B0000}"/>
    <cellStyle name="Normal 3 2" xfId="5" xr:uid="{00000000-0005-0000-0000-00009D0B0000}"/>
    <cellStyle name="Normal 3 2 2" xfId="3731" xr:uid="{00000000-0005-0000-0000-00009E0B0000}"/>
    <cellStyle name="Normal 3 3" xfId="3732" xr:uid="{00000000-0005-0000-0000-00009F0B0000}"/>
    <cellStyle name="Normal 3_FR PD 001" xfId="25" xr:uid="{00000000-0005-0000-0000-0000A00B0000}"/>
    <cellStyle name="Normal 30" xfId="3733" xr:uid="{00000000-0005-0000-0000-0000A10B0000}"/>
    <cellStyle name="Normal 31" xfId="10" xr:uid="{00000000-0005-0000-0000-0000A20B0000}"/>
    <cellStyle name="Normal 32" xfId="3734" xr:uid="{00000000-0005-0000-0000-0000A30B0000}"/>
    <cellStyle name="Normal 33" xfId="3735" xr:uid="{00000000-0005-0000-0000-0000A40B0000}"/>
    <cellStyle name="Normal 34" xfId="3736" xr:uid="{00000000-0005-0000-0000-0000A50B0000}"/>
    <cellStyle name="Normal 35" xfId="9" xr:uid="{00000000-0005-0000-0000-0000A60B0000}"/>
    <cellStyle name="Normal 36" xfId="3737" xr:uid="{00000000-0005-0000-0000-0000A70B0000}"/>
    <cellStyle name="Normal 37" xfId="3738" xr:uid="{00000000-0005-0000-0000-0000A80B0000}"/>
    <cellStyle name="Normal 38" xfId="3739" xr:uid="{00000000-0005-0000-0000-0000A90B0000}"/>
    <cellStyle name="Normal 39" xfId="3740" xr:uid="{00000000-0005-0000-0000-0000AA0B0000}"/>
    <cellStyle name="Normal 4" xfId="3" xr:uid="{00000000-0005-0000-0000-0000AB0B0000}"/>
    <cellStyle name="Normal 4 2" xfId="6" xr:uid="{00000000-0005-0000-0000-0000AC0B0000}"/>
    <cellStyle name="Normal 4 2 2" xfId="3741" xr:uid="{00000000-0005-0000-0000-0000AD0B0000}"/>
    <cellStyle name="Normal 4 3" xfId="3742" xr:uid="{00000000-0005-0000-0000-0000AE0B0000}"/>
    <cellStyle name="Normal 4_FR PD 001" xfId="26" xr:uid="{00000000-0005-0000-0000-0000AF0B0000}"/>
    <cellStyle name="Normal 40" xfId="3743" xr:uid="{00000000-0005-0000-0000-0000B00B0000}"/>
    <cellStyle name="Normal 41" xfId="3744" xr:uid="{00000000-0005-0000-0000-0000B10B0000}"/>
    <cellStyle name="Normal 42" xfId="3745" xr:uid="{00000000-0005-0000-0000-0000B20B0000}"/>
    <cellStyle name="Normal 43" xfId="3746" xr:uid="{00000000-0005-0000-0000-0000B30B0000}"/>
    <cellStyle name="Normal 44" xfId="3747" xr:uid="{00000000-0005-0000-0000-0000B40B0000}"/>
    <cellStyle name="Normal 45" xfId="3748" xr:uid="{00000000-0005-0000-0000-0000B50B0000}"/>
    <cellStyle name="Normal 46" xfId="8" xr:uid="{00000000-0005-0000-0000-0000B60B0000}"/>
    <cellStyle name="Normal 47" xfId="3749" xr:uid="{00000000-0005-0000-0000-0000B70B0000}"/>
    <cellStyle name="Normal 48" xfId="3750" xr:uid="{00000000-0005-0000-0000-0000B80B0000}"/>
    <cellStyle name="Normal 49" xfId="27" xr:uid="{00000000-0005-0000-0000-0000B90B0000}"/>
    <cellStyle name="Normal 5" xfId="4" xr:uid="{00000000-0005-0000-0000-0000BA0B0000}"/>
    <cellStyle name="Normal 5 2" xfId="3751" xr:uid="{00000000-0005-0000-0000-0000BB0B0000}"/>
    <cellStyle name="Normal 50" xfId="3752" xr:uid="{00000000-0005-0000-0000-0000BC0B0000}"/>
    <cellStyle name="Normal 51" xfId="3753" xr:uid="{00000000-0005-0000-0000-0000BD0B0000}"/>
    <cellStyle name="Normal 52" xfId="3754" xr:uid="{00000000-0005-0000-0000-0000BE0B0000}"/>
    <cellStyle name="Normal 53" xfId="3755" xr:uid="{00000000-0005-0000-0000-0000BF0B0000}"/>
    <cellStyle name="Normal 54" xfId="3756" xr:uid="{00000000-0005-0000-0000-0000C00B0000}"/>
    <cellStyle name="Normal 55" xfId="3757" xr:uid="{00000000-0005-0000-0000-0000C10B0000}"/>
    <cellStyle name="Normal 56" xfId="3758" xr:uid="{00000000-0005-0000-0000-0000C20B0000}"/>
    <cellStyle name="Normal 57" xfId="3759" xr:uid="{00000000-0005-0000-0000-0000C30B0000}"/>
    <cellStyle name="Normal 58" xfId="3760" xr:uid="{00000000-0005-0000-0000-0000C40B0000}"/>
    <cellStyle name="Normal 59" xfId="3761" xr:uid="{00000000-0005-0000-0000-0000C50B0000}"/>
    <cellStyle name="Normal 6" xfId="28" xr:uid="{00000000-0005-0000-0000-0000C60B0000}"/>
    <cellStyle name="Normal 6 2" xfId="2740" xr:uid="{00000000-0005-0000-0000-0000C70B0000}"/>
    <cellStyle name="Normal 6 3" xfId="2741" xr:uid="{00000000-0005-0000-0000-0000C80B0000}"/>
    <cellStyle name="Normal 6 4" xfId="2742" xr:uid="{00000000-0005-0000-0000-0000C90B0000}"/>
    <cellStyle name="Normal 6 5" xfId="2743" xr:uid="{00000000-0005-0000-0000-0000CA0B0000}"/>
    <cellStyle name="Normal 6 6" xfId="2744" xr:uid="{00000000-0005-0000-0000-0000CB0B0000}"/>
    <cellStyle name="Normal 6 7" xfId="2745" xr:uid="{00000000-0005-0000-0000-0000CC0B0000}"/>
    <cellStyle name="Normal 60" xfId="3762" xr:uid="{00000000-0005-0000-0000-0000CD0B0000}"/>
    <cellStyle name="Normal 61" xfId="3763" xr:uid="{00000000-0005-0000-0000-0000CE0B0000}"/>
    <cellStyle name="Normal 62" xfId="3764" xr:uid="{00000000-0005-0000-0000-0000CF0B0000}"/>
    <cellStyle name="Normal 63" xfId="3765" xr:uid="{00000000-0005-0000-0000-0000D00B0000}"/>
    <cellStyle name="Normal 64" xfId="3766" xr:uid="{00000000-0005-0000-0000-0000D10B0000}"/>
    <cellStyle name="Normal 65" xfId="3767" xr:uid="{00000000-0005-0000-0000-0000D20B0000}"/>
    <cellStyle name="Normal 66" xfId="3768" xr:uid="{00000000-0005-0000-0000-0000D30B0000}"/>
    <cellStyle name="Normal 67" xfId="3769" xr:uid="{00000000-0005-0000-0000-0000D40B0000}"/>
    <cellStyle name="Normal 68" xfId="3770" xr:uid="{00000000-0005-0000-0000-0000D50B0000}"/>
    <cellStyle name="Normal 69" xfId="3771" xr:uid="{00000000-0005-0000-0000-0000D60B0000}"/>
    <cellStyle name="Normal 7" xfId="29" xr:uid="{00000000-0005-0000-0000-0000D70B0000}"/>
    <cellStyle name="Normal 70" xfId="3772" xr:uid="{00000000-0005-0000-0000-0000D80B0000}"/>
    <cellStyle name="Normal 71" xfId="3773" xr:uid="{00000000-0005-0000-0000-0000D90B0000}"/>
    <cellStyle name="Normal 72" xfId="3774" xr:uid="{00000000-0005-0000-0000-0000DA0B0000}"/>
    <cellStyle name="Normal 73" xfId="3775" xr:uid="{00000000-0005-0000-0000-0000DB0B0000}"/>
    <cellStyle name="Normal 74" xfId="3776" xr:uid="{00000000-0005-0000-0000-0000DC0B0000}"/>
    <cellStyle name="Normal 75" xfId="3777" xr:uid="{00000000-0005-0000-0000-0000DD0B0000}"/>
    <cellStyle name="Normal 76" xfId="3778" xr:uid="{00000000-0005-0000-0000-0000DE0B0000}"/>
    <cellStyle name="Normal 77" xfId="3779" xr:uid="{00000000-0005-0000-0000-0000DF0B0000}"/>
    <cellStyle name="Normal 78" xfId="3780" xr:uid="{00000000-0005-0000-0000-0000E00B0000}"/>
    <cellStyle name="Normal 79" xfId="3781" xr:uid="{00000000-0005-0000-0000-0000E10B0000}"/>
    <cellStyle name="Normal 8" xfId="30" xr:uid="{00000000-0005-0000-0000-0000E20B0000}"/>
    <cellStyle name="Normal 8 2" xfId="2746" xr:uid="{00000000-0005-0000-0000-0000E30B0000}"/>
    <cellStyle name="Normal 8 3" xfId="2747" xr:uid="{00000000-0005-0000-0000-0000E40B0000}"/>
    <cellStyle name="Normal 8 4" xfId="2748" xr:uid="{00000000-0005-0000-0000-0000E50B0000}"/>
    <cellStyle name="Normal 8 5" xfId="2749" xr:uid="{00000000-0005-0000-0000-0000E60B0000}"/>
    <cellStyle name="Normal 8 6" xfId="2750" xr:uid="{00000000-0005-0000-0000-0000E70B0000}"/>
    <cellStyle name="Normal 8 7" xfId="2751" xr:uid="{00000000-0005-0000-0000-0000E80B0000}"/>
    <cellStyle name="Normal 8 8" xfId="2752" xr:uid="{00000000-0005-0000-0000-0000E90B0000}"/>
    <cellStyle name="Normal 8 9" xfId="2753" xr:uid="{00000000-0005-0000-0000-0000EA0B0000}"/>
    <cellStyle name="Normal 80" xfId="3782" xr:uid="{00000000-0005-0000-0000-0000EB0B0000}"/>
    <cellStyle name="Normal 81" xfId="3783" xr:uid="{00000000-0005-0000-0000-0000EC0B0000}"/>
    <cellStyle name="Normal 82" xfId="3784" xr:uid="{00000000-0005-0000-0000-0000ED0B0000}"/>
    <cellStyle name="Normal 83" xfId="3785" xr:uid="{00000000-0005-0000-0000-0000EE0B0000}"/>
    <cellStyle name="Normal 84" xfId="3786" xr:uid="{00000000-0005-0000-0000-0000EF0B0000}"/>
    <cellStyle name="Normal 85" xfId="3787" xr:uid="{00000000-0005-0000-0000-0000F00B0000}"/>
    <cellStyle name="Normal 86" xfId="3788" xr:uid="{00000000-0005-0000-0000-0000F10B0000}"/>
    <cellStyle name="Normal 87" xfId="3789" xr:uid="{00000000-0005-0000-0000-0000F20B0000}"/>
    <cellStyle name="Normal 88" xfId="3790" xr:uid="{00000000-0005-0000-0000-0000F30B0000}"/>
    <cellStyle name="Normal 89" xfId="3791" xr:uid="{00000000-0005-0000-0000-0000F40B0000}"/>
    <cellStyle name="Normal 9" xfId="31" xr:uid="{00000000-0005-0000-0000-0000F50B0000}"/>
    <cellStyle name="Normal 90" xfId="3792" xr:uid="{00000000-0005-0000-0000-0000F60B0000}"/>
    <cellStyle name="Normal 91" xfId="3793" xr:uid="{00000000-0005-0000-0000-0000F70B0000}"/>
    <cellStyle name="Normal 92" xfId="3794" xr:uid="{00000000-0005-0000-0000-0000F80B0000}"/>
    <cellStyle name="Normal 93" xfId="3795" xr:uid="{00000000-0005-0000-0000-0000F90B0000}"/>
    <cellStyle name="Normal 94" xfId="3796" xr:uid="{00000000-0005-0000-0000-0000FA0B0000}"/>
    <cellStyle name="Normal 95" xfId="3797" xr:uid="{00000000-0005-0000-0000-0000FB0B0000}"/>
    <cellStyle name="Normal 96" xfId="3798" xr:uid="{00000000-0005-0000-0000-0000FC0B0000}"/>
    <cellStyle name="Normal 97" xfId="3799" xr:uid="{00000000-0005-0000-0000-0000FD0B0000}"/>
    <cellStyle name="Normal 98" xfId="3800" xr:uid="{00000000-0005-0000-0000-0000FE0B0000}"/>
    <cellStyle name="Normal 99" xfId="3801" xr:uid="{00000000-0005-0000-0000-0000FF0B0000}"/>
    <cellStyle name="Normal_Copia de phd marzo" xfId="7" xr:uid="{00000000-0005-0000-0000-0000000C0000}"/>
    <cellStyle name="Notas 10" xfId="2754" xr:uid="{00000000-0005-0000-0000-0000010C0000}"/>
    <cellStyle name="Notas 11" xfId="2755" xr:uid="{00000000-0005-0000-0000-0000020C0000}"/>
    <cellStyle name="Notas 11 2" xfId="2756" xr:uid="{00000000-0005-0000-0000-0000030C0000}"/>
    <cellStyle name="Notas 11 3" xfId="2757" xr:uid="{00000000-0005-0000-0000-0000040C0000}"/>
    <cellStyle name="Notas 11 4" xfId="2758" xr:uid="{00000000-0005-0000-0000-0000050C0000}"/>
    <cellStyle name="Notas 11 5" xfId="2759" xr:uid="{00000000-0005-0000-0000-0000060C0000}"/>
    <cellStyle name="Notas 11 6" xfId="2760" xr:uid="{00000000-0005-0000-0000-0000070C0000}"/>
    <cellStyle name="Notas 11 7" xfId="2761" xr:uid="{00000000-0005-0000-0000-0000080C0000}"/>
    <cellStyle name="Notas 12" xfId="2762" xr:uid="{00000000-0005-0000-0000-0000090C0000}"/>
    <cellStyle name="Notas 12 2" xfId="2763" xr:uid="{00000000-0005-0000-0000-00000A0C0000}"/>
    <cellStyle name="Notas 12 3" xfId="2764" xr:uid="{00000000-0005-0000-0000-00000B0C0000}"/>
    <cellStyle name="Notas 12 4" xfId="2765" xr:uid="{00000000-0005-0000-0000-00000C0C0000}"/>
    <cellStyle name="Notas 12 5" xfId="2766" xr:uid="{00000000-0005-0000-0000-00000D0C0000}"/>
    <cellStyle name="Notas 12 6" xfId="2767" xr:uid="{00000000-0005-0000-0000-00000E0C0000}"/>
    <cellStyle name="Notas 12 7" xfId="2768" xr:uid="{00000000-0005-0000-0000-00000F0C0000}"/>
    <cellStyle name="Notas 13" xfId="2769" xr:uid="{00000000-0005-0000-0000-0000100C0000}"/>
    <cellStyle name="Notas 13 2" xfId="2770" xr:uid="{00000000-0005-0000-0000-0000110C0000}"/>
    <cellStyle name="Notas 13 3" xfId="2771" xr:uid="{00000000-0005-0000-0000-0000120C0000}"/>
    <cellStyle name="Notas 13 4" xfId="2772" xr:uid="{00000000-0005-0000-0000-0000130C0000}"/>
    <cellStyle name="Notas 13 5" xfId="2773" xr:uid="{00000000-0005-0000-0000-0000140C0000}"/>
    <cellStyle name="Notas 13 6" xfId="2774" xr:uid="{00000000-0005-0000-0000-0000150C0000}"/>
    <cellStyle name="Notas 13 7" xfId="2775" xr:uid="{00000000-0005-0000-0000-0000160C0000}"/>
    <cellStyle name="Notas 14" xfId="2776" xr:uid="{00000000-0005-0000-0000-0000170C0000}"/>
    <cellStyle name="Notas 14 2" xfId="2777" xr:uid="{00000000-0005-0000-0000-0000180C0000}"/>
    <cellStyle name="Notas 14 3" xfId="2778" xr:uid="{00000000-0005-0000-0000-0000190C0000}"/>
    <cellStyle name="Notas 14 4" xfId="2779" xr:uid="{00000000-0005-0000-0000-00001A0C0000}"/>
    <cellStyle name="Notas 14 5" xfId="2780" xr:uid="{00000000-0005-0000-0000-00001B0C0000}"/>
    <cellStyle name="Notas 14 6" xfId="2781" xr:uid="{00000000-0005-0000-0000-00001C0C0000}"/>
    <cellStyle name="Notas 14 7" xfId="2782" xr:uid="{00000000-0005-0000-0000-00001D0C0000}"/>
    <cellStyle name="Notas 15" xfId="2783" xr:uid="{00000000-0005-0000-0000-00001E0C0000}"/>
    <cellStyle name="Notas 15 2" xfId="2784" xr:uid="{00000000-0005-0000-0000-00001F0C0000}"/>
    <cellStyle name="Notas 15 3" xfId="2785" xr:uid="{00000000-0005-0000-0000-0000200C0000}"/>
    <cellStyle name="Notas 15 4" xfId="2786" xr:uid="{00000000-0005-0000-0000-0000210C0000}"/>
    <cellStyle name="Notas 15 5" xfId="2787" xr:uid="{00000000-0005-0000-0000-0000220C0000}"/>
    <cellStyle name="Notas 15 6" xfId="2788" xr:uid="{00000000-0005-0000-0000-0000230C0000}"/>
    <cellStyle name="Notas 15 7" xfId="2789" xr:uid="{00000000-0005-0000-0000-0000240C0000}"/>
    <cellStyle name="Notas 16" xfId="2790" xr:uid="{00000000-0005-0000-0000-0000250C0000}"/>
    <cellStyle name="Notas 16 2" xfId="2791" xr:uid="{00000000-0005-0000-0000-0000260C0000}"/>
    <cellStyle name="Notas 16 3" xfId="2792" xr:uid="{00000000-0005-0000-0000-0000270C0000}"/>
    <cellStyle name="Notas 16 4" xfId="2793" xr:uid="{00000000-0005-0000-0000-0000280C0000}"/>
    <cellStyle name="Notas 16 5" xfId="2794" xr:uid="{00000000-0005-0000-0000-0000290C0000}"/>
    <cellStyle name="Notas 16 6" xfId="2795" xr:uid="{00000000-0005-0000-0000-00002A0C0000}"/>
    <cellStyle name="Notas 16 7" xfId="2796" xr:uid="{00000000-0005-0000-0000-00002B0C0000}"/>
    <cellStyle name="Notas 17" xfId="2797" xr:uid="{00000000-0005-0000-0000-00002C0C0000}"/>
    <cellStyle name="Notas 17 2" xfId="2798" xr:uid="{00000000-0005-0000-0000-00002D0C0000}"/>
    <cellStyle name="Notas 17 3" xfId="2799" xr:uid="{00000000-0005-0000-0000-00002E0C0000}"/>
    <cellStyle name="Notas 17 4" xfId="2800" xr:uid="{00000000-0005-0000-0000-00002F0C0000}"/>
    <cellStyle name="Notas 17 5" xfId="2801" xr:uid="{00000000-0005-0000-0000-0000300C0000}"/>
    <cellStyle name="Notas 17 6" xfId="2802" xr:uid="{00000000-0005-0000-0000-0000310C0000}"/>
    <cellStyle name="Notas 18" xfId="2803" xr:uid="{00000000-0005-0000-0000-0000320C0000}"/>
    <cellStyle name="Notas 19" xfId="2804" xr:uid="{00000000-0005-0000-0000-0000330C0000}"/>
    <cellStyle name="Notas 2" xfId="2805" xr:uid="{00000000-0005-0000-0000-0000340C0000}"/>
    <cellStyle name="Notas 2 10" xfId="2806" xr:uid="{00000000-0005-0000-0000-0000350C0000}"/>
    <cellStyle name="Notas 2 11" xfId="2807" xr:uid="{00000000-0005-0000-0000-0000360C0000}"/>
    <cellStyle name="Notas 2 12" xfId="2808" xr:uid="{00000000-0005-0000-0000-0000370C0000}"/>
    <cellStyle name="Notas 2 13" xfId="2809" xr:uid="{00000000-0005-0000-0000-0000380C0000}"/>
    <cellStyle name="Notas 2 14" xfId="2810" xr:uid="{00000000-0005-0000-0000-0000390C0000}"/>
    <cellStyle name="Notas 2 15" xfId="2811" xr:uid="{00000000-0005-0000-0000-00003A0C0000}"/>
    <cellStyle name="Notas 2 16" xfId="2812" xr:uid="{00000000-0005-0000-0000-00003B0C0000}"/>
    <cellStyle name="Notas 2 17" xfId="2813" xr:uid="{00000000-0005-0000-0000-00003C0C0000}"/>
    <cellStyle name="Notas 2 18" xfId="2814" xr:uid="{00000000-0005-0000-0000-00003D0C0000}"/>
    <cellStyle name="Notas 2 19" xfId="2815" xr:uid="{00000000-0005-0000-0000-00003E0C0000}"/>
    <cellStyle name="Notas 2 2" xfId="2816" xr:uid="{00000000-0005-0000-0000-00003F0C0000}"/>
    <cellStyle name="Notas 2 20" xfId="3803" xr:uid="{00000000-0005-0000-0000-0000400C0000}"/>
    <cellStyle name="Notas 2 3" xfId="2817" xr:uid="{00000000-0005-0000-0000-0000410C0000}"/>
    <cellStyle name="Notas 2 4" xfId="2818" xr:uid="{00000000-0005-0000-0000-0000420C0000}"/>
    <cellStyle name="Notas 2 5" xfId="2819" xr:uid="{00000000-0005-0000-0000-0000430C0000}"/>
    <cellStyle name="Notas 2 6" xfId="2820" xr:uid="{00000000-0005-0000-0000-0000440C0000}"/>
    <cellStyle name="Notas 2 7" xfId="2821" xr:uid="{00000000-0005-0000-0000-0000450C0000}"/>
    <cellStyle name="Notas 2 8" xfId="2822" xr:uid="{00000000-0005-0000-0000-0000460C0000}"/>
    <cellStyle name="Notas 2 9" xfId="2823" xr:uid="{00000000-0005-0000-0000-0000470C0000}"/>
    <cellStyle name="Notas 20" xfId="2824" xr:uid="{00000000-0005-0000-0000-0000480C0000}"/>
    <cellStyle name="Notas 21" xfId="2825" xr:uid="{00000000-0005-0000-0000-0000490C0000}"/>
    <cellStyle name="Notas 22" xfId="2826" xr:uid="{00000000-0005-0000-0000-00004A0C0000}"/>
    <cellStyle name="Notas 23" xfId="2827" xr:uid="{00000000-0005-0000-0000-00004B0C0000}"/>
    <cellStyle name="Notas 24" xfId="3802" xr:uid="{00000000-0005-0000-0000-00004C0C0000}"/>
    <cellStyle name="Notas 3" xfId="2828" xr:uid="{00000000-0005-0000-0000-00004D0C0000}"/>
    <cellStyle name="Notas 4" xfId="2829" xr:uid="{00000000-0005-0000-0000-00004E0C0000}"/>
    <cellStyle name="Notas 5" xfId="2830" xr:uid="{00000000-0005-0000-0000-00004F0C0000}"/>
    <cellStyle name="Notas 6" xfId="2831" xr:uid="{00000000-0005-0000-0000-0000500C0000}"/>
    <cellStyle name="Notas 7" xfId="2832" xr:uid="{00000000-0005-0000-0000-0000510C0000}"/>
    <cellStyle name="Notas 8" xfId="2833" xr:uid="{00000000-0005-0000-0000-0000520C0000}"/>
    <cellStyle name="Notas 9" xfId="2834" xr:uid="{00000000-0005-0000-0000-0000530C0000}"/>
    <cellStyle name="Salida 10" xfId="2835" xr:uid="{00000000-0005-0000-0000-0000540C0000}"/>
    <cellStyle name="Salida 11" xfId="2836" xr:uid="{00000000-0005-0000-0000-0000550C0000}"/>
    <cellStyle name="Salida 11 2" xfId="2837" xr:uid="{00000000-0005-0000-0000-0000560C0000}"/>
    <cellStyle name="Salida 11 3" xfId="2838" xr:uid="{00000000-0005-0000-0000-0000570C0000}"/>
    <cellStyle name="Salida 11 4" xfId="2839" xr:uid="{00000000-0005-0000-0000-0000580C0000}"/>
    <cellStyle name="Salida 11 5" xfId="2840" xr:uid="{00000000-0005-0000-0000-0000590C0000}"/>
    <cellStyle name="Salida 11 6" xfId="2841" xr:uid="{00000000-0005-0000-0000-00005A0C0000}"/>
    <cellStyle name="Salida 11 7" xfId="2842" xr:uid="{00000000-0005-0000-0000-00005B0C0000}"/>
    <cellStyle name="Salida 12" xfId="2843" xr:uid="{00000000-0005-0000-0000-00005C0C0000}"/>
    <cellStyle name="Salida 12 2" xfId="2844" xr:uid="{00000000-0005-0000-0000-00005D0C0000}"/>
    <cellStyle name="Salida 12 3" xfId="2845" xr:uid="{00000000-0005-0000-0000-00005E0C0000}"/>
    <cellStyle name="Salida 12 4" xfId="2846" xr:uid="{00000000-0005-0000-0000-00005F0C0000}"/>
    <cellStyle name="Salida 12 5" xfId="2847" xr:uid="{00000000-0005-0000-0000-0000600C0000}"/>
    <cellStyle name="Salida 12 6" xfId="2848" xr:uid="{00000000-0005-0000-0000-0000610C0000}"/>
    <cellStyle name="Salida 12 7" xfId="2849" xr:uid="{00000000-0005-0000-0000-0000620C0000}"/>
    <cellStyle name="Salida 13" xfId="2850" xr:uid="{00000000-0005-0000-0000-0000630C0000}"/>
    <cellStyle name="Salida 13 2" xfId="2851" xr:uid="{00000000-0005-0000-0000-0000640C0000}"/>
    <cellStyle name="Salida 13 3" xfId="2852" xr:uid="{00000000-0005-0000-0000-0000650C0000}"/>
    <cellStyle name="Salida 13 4" xfId="2853" xr:uid="{00000000-0005-0000-0000-0000660C0000}"/>
    <cellStyle name="Salida 13 5" xfId="2854" xr:uid="{00000000-0005-0000-0000-0000670C0000}"/>
    <cellStyle name="Salida 13 6" xfId="2855" xr:uid="{00000000-0005-0000-0000-0000680C0000}"/>
    <cellStyle name="Salida 13 7" xfId="2856" xr:uid="{00000000-0005-0000-0000-0000690C0000}"/>
    <cellStyle name="Salida 14" xfId="2857" xr:uid="{00000000-0005-0000-0000-00006A0C0000}"/>
    <cellStyle name="Salida 14 2" xfId="2858" xr:uid="{00000000-0005-0000-0000-00006B0C0000}"/>
    <cellStyle name="Salida 14 3" xfId="2859" xr:uid="{00000000-0005-0000-0000-00006C0C0000}"/>
    <cellStyle name="Salida 14 4" xfId="2860" xr:uid="{00000000-0005-0000-0000-00006D0C0000}"/>
    <cellStyle name="Salida 14 5" xfId="2861" xr:uid="{00000000-0005-0000-0000-00006E0C0000}"/>
    <cellStyle name="Salida 14 6" xfId="2862" xr:uid="{00000000-0005-0000-0000-00006F0C0000}"/>
    <cellStyle name="Salida 14 7" xfId="2863" xr:uid="{00000000-0005-0000-0000-0000700C0000}"/>
    <cellStyle name="Salida 15" xfId="2864" xr:uid="{00000000-0005-0000-0000-0000710C0000}"/>
    <cellStyle name="Salida 15 2" xfId="2865" xr:uid="{00000000-0005-0000-0000-0000720C0000}"/>
    <cellStyle name="Salida 15 3" xfId="2866" xr:uid="{00000000-0005-0000-0000-0000730C0000}"/>
    <cellStyle name="Salida 15 4" xfId="2867" xr:uid="{00000000-0005-0000-0000-0000740C0000}"/>
    <cellStyle name="Salida 15 5" xfId="2868" xr:uid="{00000000-0005-0000-0000-0000750C0000}"/>
    <cellStyle name="Salida 15 6" xfId="2869" xr:uid="{00000000-0005-0000-0000-0000760C0000}"/>
    <cellStyle name="Salida 15 7" xfId="2870" xr:uid="{00000000-0005-0000-0000-0000770C0000}"/>
    <cellStyle name="Salida 16" xfId="2871" xr:uid="{00000000-0005-0000-0000-0000780C0000}"/>
    <cellStyle name="Salida 16 2" xfId="2872" xr:uid="{00000000-0005-0000-0000-0000790C0000}"/>
    <cellStyle name="Salida 16 3" xfId="2873" xr:uid="{00000000-0005-0000-0000-00007A0C0000}"/>
    <cellStyle name="Salida 16 4" xfId="2874" xr:uid="{00000000-0005-0000-0000-00007B0C0000}"/>
    <cellStyle name="Salida 16 5" xfId="2875" xr:uid="{00000000-0005-0000-0000-00007C0C0000}"/>
    <cellStyle name="Salida 16 6" xfId="2876" xr:uid="{00000000-0005-0000-0000-00007D0C0000}"/>
    <cellStyle name="Salida 16 7" xfId="2877" xr:uid="{00000000-0005-0000-0000-00007E0C0000}"/>
    <cellStyle name="Salida 17" xfId="2878" xr:uid="{00000000-0005-0000-0000-00007F0C0000}"/>
    <cellStyle name="Salida 17 2" xfId="2879" xr:uid="{00000000-0005-0000-0000-0000800C0000}"/>
    <cellStyle name="Salida 17 3" xfId="2880" xr:uid="{00000000-0005-0000-0000-0000810C0000}"/>
    <cellStyle name="Salida 17 4" xfId="2881" xr:uid="{00000000-0005-0000-0000-0000820C0000}"/>
    <cellStyle name="Salida 17 5" xfId="2882" xr:uid="{00000000-0005-0000-0000-0000830C0000}"/>
    <cellStyle name="Salida 17 6" xfId="2883" xr:uid="{00000000-0005-0000-0000-0000840C0000}"/>
    <cellStyle name="Salida 18" xfId="2884" xr:uid="{00000000-0005-0000-0000-0000850C0000}"/>
    <cellStyle name="Salida 19" xfId="2885" xr:uid="{00000000-0005-0000-0000-0000860C0000}"/>
    <cellStyle name="Salida 2" xfId="2886" xr:uid="{00000000-0005-0000-0000-0000870C0000}"/>
    <cellStyle name="Salida 2 10" xfId="2887" xr:uid="{00000000-0005-0000-0000-0000880C0000}"/>
    <cellStyle name="Salida 2 11" xfId="2888" xr:uid="{00000000-0005-0000-0000-0000890C0000}"/>
    <cellStyle name="Salida 2 12" xfId="2889" xr:uid="{00000000-0005-0000-0000-00008A0C0000}"/>
    <cellStyle name="Salida 2 13" xfId="2890" xr:uid="{00000000-0005-0000-0000-00008B0C0000}"/>
    <cellStyle name="Salida 2 14" xfId="2891" xr:uid="{00000000-0005-0000-0000-00008C0C0000}"/>
    <cellStyle name="Salida 2 15" xfId="2892" xr:uid="{00000000-0005-0000-0000-00008D0C0000}"/>
    <cellStyle name="Salida 2 16" xfId="2893" xr:uid="{00000000-0005-0000-0000-00008E0C0000}"/>
    <cellStyle name="Salida 2 17" xfId="2894" xr:uid="{00000000-0005-0000-0000-00008F0C0000}"/>
    <cellStyle name="Salida 2 18" xfId="2895" xr:uid="{00000000-0005-0000-0000-0000900C0000}"/>
    <cellStyle name="Salida 2 19" xfId="2896" xr:uid="{00000000-0005-0000-0000-0000910C0000}"/>
    <cellStyle name="Salida 2 2" xfId="2897" xr:uid="{00000000-0005-0000-0000-0000920C0000}"/>
    <cellStyle name="Salida 2 20" xfId="3805" xr:uid="{00000000-0005-0000-0000-0000930C0000}"/>
    <cellStyle name="Salida 2 3" xfId="2898" xr:uid="{00000000-0005-0000-0000-0000940C0000}"/>
    <cellStyle name="Salida 2 4" xfId="2899" xr:uid="{00000000-0005-0000-0000-0000950C0000}"/>
    <cellStyle name="Salida 2 5" xfId="2900" xr:uid="{00000000-0005-0000-0000-0000960C0000}"/>
    <cellStyle name="Salida 2 6" xfId="2901" xr:uid="{00000000-0005-0000-0000-0000970C0000}"/>
    <cellStyle name="Salida 2 7" xfId="2902" xr:uid="{00000000-0005-0000-0000-0000980C0000}"/>
    <cellStyle name="Salida 2 8" xfId="2903" xr:uid="{00000000-0005-0000-0000-0000990C0000}"/>
    <cellStyle name="Salida 2 9" xfId="2904" xr:uid="{00000000-0005-0000-0000-00009A0C0000}"/>
    <cellStyle name="Salida 20" xfId="2905" xr:uid="{00000000-0005-0000-0000-00009B0C0000}"/>
    <cellStyle name="Salida 21" xfId="2906" xr:uid="{00000000-0005-0000-0000-00009C0C0000}"/>
    <cellStyle name="Salida 22" xfId="2907" xr:uid="{00000000-0005-0000-0000-00009D0C0000}"/>
    <cellStyle name="Salida 23" xfId="2908" xr:uid="{00000000-0005-0000-0000-00009E0C0000}"/>
    <cellStyle name="Salida 24" xfId="3804" xr:uid="{00000000-0005-0000-0000-00009F0C0000}"/>
    <cellStyle name="Salida 3" xfId="2909" xr:uid="{00000000-0005-0000-0000-0000A00C0000}"/>
    <cellStyle name="Salida 3 2" xfId="3806" xr:uid="{00000000-0005-0000-0000-0000A10C0000}"/>
    <cellStyle name="Salida 4" xfId="2910" xr:uid="{00000000-0005-0000-0000-0000A20C0000}"/>
    <cellStyle name="Salida 5" xfId="2911" xr:uid="{00000000-0005-0000-0000-0000A30C0000}"/>
    <cellStyle name="Salida 6" xfId="2912" xr:uid="{00000000-0005-0000-0000-0000A40C0000}"/>
    <cellStyle name="Salida 7" xfId="2913" xr:uid="{00000000-0005-0000-0000-0000A50C0000}"/>
    <cellStyle name="Salida 8" xfId="2914" xr:uid="{00000000-0005-0000-0000-0000A60C0000}"/>
    <cellStyle name="Salida 9" xfId="2915" xr:uid="{00000000-0005-0000-0000-0000A70C0000}"/>
    <cellStyle name="Texto de advertencia 10" xfId="2916" xr:uid="{00000000-0005-0000-0000-0000A80C0000}"/>
    <cellStyle name="Texto de advertencia 11" xfId="2917" xr:uid="{00000000-0005-0000-0000-0000A90C0000}"/>
    <cellStyle name="Texto de advertencia 11 2" xfId="2918" xr:uid="{00000000-0005-0000-0000-0000AA0C0000}"/>
    <cellStyle name="Texto de advertencia 11 3" xfId="2919" xr:uid="{00000000-0005-0000-0000-0000AB0C0000}"/>
    <cellStyle name="Texto de advertencia 11 4" xfId="2920" xr:uid="{00000000-0005-0000-0000-0000AC0C0000}"/>
    <cellStyle name="Texto de advertencia 11 5" xfId="2921" xr:uid="{00000000-0005-0000-0000-0000AD0C0000}"/>
    <cellStyle name="Texto de advertencia 11 6" xfId="2922" xr:uid="{00000000-0005-0000-0000-0000AE0C0000}"/>
    <cellStyle name="Texto de advertencia 11 7" xfId="2923" xr:uid="{00000000-0005-0000-0000-0000AF0C0000}"/>
    <cellStyle name="Texto de advertencia 12" xfId="2924" xr:uid="{00000000-0005-0000-0000-0000B00C0000}"/>
    <cellStyle name="Texto de advertencia 12 2" xfId="2925" xr:uid="{00000000-0005-0000-0000-0000B10C0000}"/>
    <cellStyle name="Texto de advertencia 12 3" xfId="2926" xr:uid="{00000000-0005-0000-0000-0000B20C0000}"/>
    <cellStyle name="Texto de advertencia 12 4" xfId="2927" xr:uid="{00000000-0005-0000-0000-0000B30C0000}"/>
    <cellStyle name="Texto de advertencia 12 5" xfId="2928" xr:uid="{00000000-0005-0000-0000-0000B40C0000}"/>
    <cellStyle name="Texto de advertencia 12 6" xfId="2929" xr:uid="{00000000-0005-0000-0000-0000B50C0000}"/>
    <cellStyle name="Texto de advertencia 12 7" xfId="2930" xr:uid="{00000000-0005-0000-0000-0000B60C0000}"/>
    <cellStyle name="Texto de advertencia 13" xfId="2931" xr:uid="{00000000-0005-0000-0000-0000B70C0000}"/>
    <cellStyle name="Texto de advertencia 13 2" xfId="2932" xr:uid="{00000000-0005-0000-0000-0000B80C0000}"/>
    <cellStyle name="Texto de advertencia 13 3" xfId="2933" xr:uid="{00000000-0005-0000-0000-0000B90C0000}"/>
    <cellStyle name="Texto de advertencia 13 4" xfId="2934" xr:uid="{00000000-0005-0000-0000-0000BA0C0000}"/>
    <cellStyle name="Texto de advertencia 13 5" xfId="2935" xr:uid="{00000000-0005-0000-0000-0000BB0C0000}"/>
    <cellStyle name="Texto de advertencia 13 6" xfId="2936" xr:uid="{00000000-0005-0000-0000-0000BC0C0000}"/>
    <cellStyle name="Texto de advertencia 13 7" xfId="2937" xr:uid="{00000000-0005-0000-0000-0000BD0C0000}"/>
    <cellStyle name="Texto de advertencia 14" xfId="2938" xr:uid="{00000000-0005-0000-0000-0000BE0C0000}"/>
    <cellStyle name="Texto de advertencia 14 2" xfId="2939" xr:uid="{00000000-0005-0000-0000-0000BF0C0000}"/>
    <cellStyle name="Texto de advertencia 14 3" xfId="2940" xr:uid="{00000000-0005-0000-0000-0000C00C0000}"/>
    <cellStyle name="Texto de advertencia 14 4" xfId="2941" xr:uid="{00000000-0005-0000-0000-0000C10C0000}"/>
    <cellStyle name="Texto de advertencia 14 5" xfId="2942" xr:uid="{00000000-0005-0000-0000-0000C20C0000}"/>
    <cellStyle name="Texto de advertencia 14 6" xfId="2943" xr:uid="{00000000-0005-0000-0000-0000C30C0000}"/>
    <cellStyle name="Texto de advertencia 14 7" xfId="2944" xr:uid="{00000000-0005-0000-0000-0000C40C0000}"/>
    <cellStyle name="Texto de advertencia 15" xfId="2945" xr:uid="{00000000-0005-0000-0000-0000C50C0000}"/>
    <cellStyle name="Texto de advertencia 15 2" xfId="2946" xr:uid="{00000000-0005-0000-0000-0000C60C0000}"/>
    <cellStyle name="Texto de advertencia 15 3" xfId="2947" xr:uid="{00000000-0005-0000-0000-0000C70C0000}"/>
    <cellStyle name="Texto de advertencia 15 4" xfId="2948" xr:uid="{00000000-0005-0000-0000-0000C80C0000}"/>
    <cellStyle name="Texto de advertencia 15 5" xfId="2949" xr:uid="{00000000-0005-0000-0000-0000C90C0000}"/>
    <cellStyle name="Texto de advertencia 15 6" xfId="2950" xr:uid="{00000000-0005-0000-0000-0000CA0C0000}"/>
    <cellStyle name="Texto de advertencia 15 7" xfId="2951" xr:uid="{00000000-0005-0000-0000-0000CB0C0000}"/>
    <cellStyle name="Texto de advertencia 16" xfId="2952" xr:uid="{00000000-0005-0000-0000-0000CC0C0000}"/>
    <cellStyle name="Texto de advertencia 16 2" xfId="2953" xr:uid="{00000000-0005-0000-0000-0000CD0C0000}"/>
    <cellStyle name="Texto de advertencia 16 3" xfId="2954" xr:uid="{00000000-0005-0000-0000-0000CE0C0000}"/>
    <cellStyle name="Texto de advertencia 16 4" xfId="2955" xr:uid="{00000000-0005-0000-0000-0000CF0C0000}"/>
    <cellStyle name="Texto de advertencia 16 5" xfId="2956" xr:uid="{00000000-0005-0000-0000-0000D00C0000}"/>
    <cellStyle name="Texto de advertencia 16 6" xfId="2957" xr:uid="{00000000-0005-0000-0000-0000D10C0000}"/>
    <cellStyle name="Texto de advertencia 16 7" xfId="2958" xr:uid="{00000000-0005-0000-0000-0000D20C0000}"/>
    <cellStyle name="Texto de advertencia 17" xfId="2959" xr:uid="{00000000-0005-0000-0000-0000D30C0000}"/>
    <cellStyle name="Texto de advertencia 17 2" xfId="2960" xr:uid="{00000000-0005-0000-0000-0000D40C0000}"/>
    <cellStyle name="Texto de advertencia 17 3" xfId="2961" xr:uid="{00000000-0005-0000-0000-0000D50C0000}"/>
    <cellStyle name="Texto de advertencia 17 4" xfId="2962" xr:uid="{00000000-0005-0000-0000-0000D60C0000}"/>
    <cellStyle name="Texto de advertencia 17 5" xfId="2963" xr:uid="{00000000-0005-0000-0000-0000D70C0000}"/>
    <cellStyle name="Texto de advertencia 17 6" xfId="2964" xr:uid="{00000000-0005-0000-0000-0000D80C0000}"/>
    <cellStyle name="Texto de advertencia 18" xfId="2965" xr:uid="{00000000-0005-0000-0000-0000D90C0000}"/>
    <cellStyle name="Texto de advertencia 19" xfId="2966" xr:uid="{00000000-0005-0000-0000-0000DA0C0000}"/>
    <cellStyle name="Texto de advertencia 2" xfId="2967" xr:uid="{00000000-0005-0000-0000-0000DB0C0000}"/>
    <cellStyle name="Texto de advertencia 2 10" xfId="2968" xr:uid="{00000000-0005-0000-0000-0000DC0C0000}"/>
    <cellStyle name="Texto de advertencia 2 11" xfId="2969" xr:uid="{00000000-0005-0000-0000-0000DD0C0000}"/>
    <cellStyle name="Texto de advertencia 2 12" xfId="2970" xr:uid="{00000000-0005-0000-0000-0000DE0C0000}"/>
    <cellStyle name="Texto de advertencia 2 13" xfId="2971" xr:uid="{00000000-0005-0000-0000-0000DF0C0000}"/>
    <cellStyle name="Texto de advertencia 2 14" xfId="2972" xr:uid="{00000000-0005-0000-0000-0000E00C0000}"/>
    <cellStyle name="Texto de advertencia 2 15" xfId="2973" xr:uid="{00000000-0005-0000-0000-0000E10C0000}"/>
    <cellStyle name="Texto de advertencia 2 16" xfId="2974" xr:uid="{00000000-0005-0000-0000-0000E20C0000}"/>
    <cellStyle name="Texto de advertencia 2 17" xfId="2975" xr:uid="{00000000-0005-0000-0000-0000E30C0000}"/>
    <cellStyle name="Texto de advertencia 2 18" xfId="2976" xr:uid="{00000000-0005-0000-0000-0000E40C0000}"/>
    <cellStyle name="Texto de advertencia 2 19" xfId="2977" xr:uid="{00000000-0005-0000-0000-0000E50C0000}"/>
    <cellStyle name="Texto de advertencia 2 2" xfId="2978" xr:uid="{00000000-0005-0000-0000-0000E60C0000}"/>
    <cellStyle name="Texto de advertencia 2 20" xfId="3807" xr:uid="{00000000-0005-0000-0000-0000E70C0000}"/>
    <cellStyle name="Texto de advertencia 2 3" xfId="2979" xr:uid="{00000000-0005-0000-0000-0000E80C0000}"/>
    <cellStyle name="Texto de advertencia 2 4" xfId="2980" xr:uid="{00000000-0005-0000-0000-0000E90C0000}"/>
    <cellStyle name="Texto de advertencia 2 5" xfId="2981" xr:uid="{00000000-0005-0000-0000-0000EA0C0000}"/>
    <cellStyle name="Texto de advertencia 2 6" xfId="2982" xr:uid="{00000000-0005-0000-0000-0000EB0C0000}"/>
    <cellStyle name="Texto de advertencia 2 7" xfId="2983" xr:uid="{00000000-0005-0000-0000-0000EC0C0000}"/>
    <cellStyle name="Texto de advertencia 2 8" xfId="2984" xr:uid="{00000000-0005-0000-0000-0000ED0C0000}"/>
    <cellStyle name="Texto de advertencia 2 9" xfId="2985" xr:uid="{00000000-0005-0000-0000-0000EE0C0000}"/>
    <cellStyle name="Texto de advertencia 20" xfId="2986" xr:uid="{00000000-0005-0000-0000-0000EF0C0000}"/>
    <cellStyle name="Texto de advertencia 21" xfId="2987" xr:uid="{00000000-0005-0000-0000-0000F00C0000}"/>
    <cellStyle name="Texto de advertencia 22" xfId="2988" xr:uid="{00000000-0005-0000-0000-0000F10C0000}"/>
    <cellStyle name="Texto de advertencia 23" xfId="2989" xr:uid="{00000000-0005-0000-0000-0000F20C0000}"/>
    <cellStyle name="Texto de advertencia 3" xfId="2990" xr:uid="{00000000-0005-0000-0000-0000F30C0000}"/>
    <cellStyle name="Texto de advertencia 4" xfId="2991" xr:uid="{00000000-0005-0000-0000-0000F40C0000}"/>
    <cellStyle name="Texto de advertencia 5" xfId="2992" xr:uid="{00000000-0005-0000-0000-0000F50C0000}"/>
    <cellStyle name="Texto de advertencia 6" xfId="2993" xr:uid="{00000000-0005-0000-0000-0000F60C0000}"/>
    <cellStyle name="Texto de advertencia 7" xfId="2994" xr:uid="{00000000-0005-0000-0000-0000F70C0000}"/>
    <cellStyle name="Texto de advertencia 8" xfId="2995" xr:uid="{00000000-0005-0000-0000-0000F80C0000}"/>
    <cellStyle name="Texto de advertencia 9" xfId="2996" xr:uid="{00000000-0005-0000-0000-0000F90C0000}"/>
    <cellStyle name="Texto explicativo 10" xfId="2997" xr:uid="{00000000-0005-0000-0000-0000FA0C0000}"/>
    <cellStyle name="Texto explicativo 11" xfId="2998" xr:uid="{00000000-0005-0000-0000-0000FB0C0000}"/>
    <cellStyle name="Texto explicativo 11 2" xfId="2999" xr:uid="{00000000-0005-0000-0000-0000FC0C0000}"/>
    <cellStyle name="Texto explicativo 11 3" xfId="3000" xr:uid="{00000000-0005-0000-0000-0000FD0C0000}"/>
    <cellStyle name="Texto explicativo 11 4" xfId="3001" xr:uid="{00000000-0005-0000-0000-0000FE0C0000}"/>
    <cellStyle name="Texto explicativo 11 5" xfId="3002" xr:uid="{00000000-0005-0000-0000-0000FF0C0000}"/>
    <cellStyle name="Texto explicativo 11 6" xfId="3003" xr:uid="{00000000-0005-0000-0000-0000000D0000}"/>
    <cellStyle name="Texto explicativo 11 7" xfId="3004" xr:uid="{00000000-0005-0000-0000-0000010D0000}"/>
    <cellStyle name="Texto explicativo 12" xfId="3005" xr:uid="{00000000-0005-0000-0000-0000020D0000}"/>
    <cellStyle name="Texto explicativo 12 2" xfId="3006" xr:uid="{00000000-0005-0000-0000-0000030D0000}"/>
    <cellStyle name="Texto explicativo 12 3" xfId="3007" xr:uid="{00000000-0005-0000-0000-0000040D0000}"/>
    <cellStyle name="Texto explicativo 12 4" xfId="3008" xr:uid="{00000000-0005-0000-0000-0000050D0000}"/>
    <cellStyle name="Texto explicativo 12 5" xfId="3009" xr:uid="{00000000-0005-0000-0000-0000060D0000}"/>
    <cellStyle name="Texto explicativo 12 6" xfId="3010" xr:uid="{00000000-0005-0000-0000-0000070D0000}"/>
    <cellStyle name="Texto explicativo 12 7" xfId="3011" xr:uid="{00000000-0005-0000-0000-0000080D0000}"/>
    <cellStyle name="Texto explicativo 13" xfId="3012" xr:uid="{00000000-0005-0000-0000-0000090D0000}"/>
    <cellStyle name="Texto explicativo 13 2" xfId="3013" xr:uid="{00000000-0005-0000-0000-00000A0D0000}"/>
    <cellStyle name="Texto explicativo 13 3" xfId="3014" xr:uid="{00000000-0005-0000-0000-00000B0D0000}"/>
    <cellStyle name="Texto explicativo 13 4" xfId="3015" xr:uid="{00000000-0005-0000-0000-00000C0D0000}"/>
    <cellStyle name="Texto explicativo 13 5" xfId="3016" xr:uid="{00000000-0005-0000-0000-00000D0D0000}"/>
    <cellStyle name="Texto explicativo 13 6" xfId="3017" xr:uid="{00000000-0005-0000-0000-00000E0D0000}"/>
    <cellStyle name="Texto explicativo 13 7" xfId="3018" xr:uid="{00000000-0005-0000-0000-00000F0D0000}"/>
    <cellStyle name="Texto explicativo 14" xfId="3019" xr:uid="{00000000-0005-0000-0000-0000100D0000}"/>
    <cellStyle name="Texto explicativo 14 2" xfId="3020" xr:uid="{00000000-0005-0000-0000-0000110D0000}"/>
    <cellStyle name="Texto explicativo 14 3" xfId="3021" xr:uid="{00000000-0005-0000-0000-0000120D0000}"/>
    <cellStyle name="Texto explicativo 14 4" xfId="3022" xr:uid="{00000000-0005-0000-0000-0000130D0000}"/>
    <cellStyle name="Texto explicativo 14 5" xfId="3023" xr:uid="{00000000-0005-0000-0000-0000140D0000}"/>
    <cellStyle name="Texto explicativo 14 6" xfId="3024" xr:uid="{00000000-0005-0000-0000-0000150D0000}"/>
    <cellStyle name="Texto explicativo 14 7" xfId="3025" xr:uid="{00000000-0005-0000-0000-0000160D0000}"/>
    <cellStyle name="Texto explicativo 15" xfId="3026" xr:uid="{00000000-0005-0000-0000-0000170D0000}"/>
    <cellStyle name="Texto explicativo 15 2" xfId="3027" xr:uid="{00000000-0005-0000-0000-0000180D0000}"/>
    <cellStyle name="Texto explicativo 15 3" xfId="3028" xr:uid="{00000000-0005-0000-0000-0000190D0000}"/>
    <cellStyle name="Texto explicativo 15 4" xfId="3029" xr:uid="{00000000-0005-0000-0000-00001A0D0000}"/>
    <cellStyle name="Texto explicativo 15 5" xfId="3030" xr:uid="{00000000-0005-0000-0000-00001B0D0000}"/>
    <cellStyle name="Texto explicativo 15 6" xfId="3031" xr:uid="{00000000-0005-0000-0000-00001C0D0000}"/>
    <cellStyle name="Texto explicativo 15 7" xfId="3032" xr:uid="{00000000-0005-0000-0000-00001D0D0000}"/>
    <cellStyle name="Texto explicativo 16" xfId="3033" xr:uid="{00000000-0005-0000-0000-00001E0D0000}"/>
    <cellStyle name="Texto explicativo 16 2" xfId="3034" xr:uid="{00000000-0005-0000-0000-00001F0D0000}"/>
    <cellStyle name="Texto explicativo 16 3" xfId="3035" xr:uid="{00000000-0005-0000-0000-0000200D0000}"/>
    <cellStyle name="Texto explicativo 16 4" xfId="3036" xr:uid="{00000000-0005-0000-0000-0000210D0000}"/>
    <cellStyle name="Texto explicativo 16 5" xfId="3037" xr:uid="{00000000-0005-0000-0000-0000220D0000}"/>
    <cellStyle name="Texto explicativo 16 6" xfId="3038" xr:uid="{00000000-0005-0000-0000-0000230D0000}"/>
    <cellStyle name="Texto explicativo 16 7" xfId="3039" xr:uid="{00000000-0005-0000-0000-0000240D0000}"/>
    <cellStyle name="Texto explicativo 17" xfId="3040" xr:uid="{00000000-0005-0000-0000-0000250D0000}"/>
    <cellStyle name="Texto explicativo 17 2" xfId="3041" xr:uid="{00000000-0005-0000-0000-0000260D0000}"/>
    <cellStyle name="Texto explicativo 17 3" xfId="3042" xr:uid="{00000000-0005-0000-0000-0000270D0000}"/>
    <cellStyle name="Texto explicativo 17 4" xfId="3043" xr:uid="{00000000-0005-0000-0000-0000280D0000}"/>
    <cellStyle name="Texto explicativo 17 5" xfId="3044" xr:uid="{00000000-0005-0000-0000-0000290D0000}"/>
    <cellStyle name="Texto explicativo 17 6" xfId="3045" xr:uid="{00000000-0005-0000-0000-00002A0D0000}"/>
    <cellStyle name="Texto explicativo 18" xfId="3046" xr:uid="{00000000-0005-0000-0000-00002B0D0000}"/>
    <cellStyle name="Texto explicativo 19" xfId="3047" xr:uid="{00000000-0005-0000-0000-00002C0D0000}"/>
    <cellStyle name="Texto explicativo 2" xfId="3048" xr:uid="{00000000-0005-0000-0000-00002D0D0000}"/>
    <cellStyle name="Texto explicativo 2 10" xfId="3049" xr:uid="{00000000-0005-0000-0000-00002E0D0000}"/>
    <cellStyle name="Texto explicativo 2 11" xfId="3050" xr:uid="{00000000-0005-0000-0000-00002F0D0000}"/>
    <cellStyle name="Texto explicativo 2 12" xfId="3051" xr:uid="{00000000-0005-0000-0000-0000300D0000}"/>
    <cellStyle name="Texto explicativo 2 13" xfId="3052" xr:uid="{00000000-0005-0000-0000-0000310D0000}"/>
    <cellStyle name="Texto explicativo 2 14" xfId="3053" xr:uid="{00000000-0005-0000-0000-0000320D0000}"/>
    <cellStyle name="Texto explicativo 2 15" xfId="3054" xr:uid="{00000000-0005-0000-0000-0000330D0000}"/>
    <cellStyle name="Texto explicativo 2 16" xfId="3055" xr:uid="{00000000-0005-0000-0000-0000340D0000}"/>
    <cellStyle name="Texto explicativo 2 17" xfId="3056" xr:uid="{00000000-0005-0000-0000-0000350D0000}"/>
    <cellStyle name="Texto explicativo 2 18" xfId="3057" xr:uid="{00000000-0005-0000-0000-0000360D0000}"/>
    <cellStyle name="Texto explicativo 2 19" xfId="3058" xr:uid="{00000000-0005-0000-0000-0000370D0000}"/>
    <cellStyle name="Texto explicativo 2 2" xfId="3059" xr:uid="{00000000-0005-0000-0000-0000380D0000}"/>
    <cellStyle name="Texto explicativo 2 20" xfId="3808" xr:uid="{00000000-0005-0000-0000-0000390D0000}"/>
    <cellStyle name="Texto explicativo 2 3" xfId="3060" xr:uid="{00000000-0005-0000-0000-00003A0D0000}"/>
    <cellStyle name="Texto explicativo 2 4" xfId="3061" xr:uid="{00000000-0005-0000-0000-00003B0D0000}"/>
    <cellStyle name="Texto explicativo 2 5" xfId="3062" xr:uid="{00000000-0005-0000-0000-00003C0D0000}"/>
    <cellStyle name="Texto explicativo 2 6" xfId="3063" xr:uid="{00000000-0005-0000-0000-00003D0D0000}"/>
    <cellStyle name="Texto explicativo 2 7" xfId="3064" xr:uid="{00000000-0005-0000-0000-00003E0D0000}"/>
    <cellStyle name="Texto explicativo 2 8" xfId="3065" xr:uid="{00000000-0005-0000-0000-00003F0D0000}"/>
    <cellStyle name="Texto explicativo 2 9" xfId="3066" xr:uid="{00000000-0005-0000-0000-0000400D0000}"/>
    <cellStyle name="Texto explicativo 20" xfId="3067" xr:uid="{00000000-0005-0000-0000-0000410D0000}"/>
    <cellStyle name="Texto explicativo 21" xfId="3068" xr:uid="{00000000-0005-0000-0000-0000420D0000}"/>
    <cellStyle name="Texto explicativo 22" xfId="3069" xr:uid="{00000000-0005-0000-0000-0000430D0000}"/>
    <cellStyle name="Texto explicativo 23" xfId="3070" xr:uid="{00000000-0005-0000-0000-0000440D0000}"/>
    <cellStyle name="Texto explicativo 3" xfId="3071" xr:uid="{00000000-0005-0000-0000-0000450D0000}"/>
    <cellStyle name="Texto explicativo 4" xfId="3072" xr:uid="{00000000-0005-0000-0000-0000460D0000}"/>
    <cellStyle name="Texto explicativo 5" xfId="3073" xr:uid="{00000000-0005-0000-0000-0000470D0000}"/>
    <cellStyle name="Texto explicativo 6" xfId="3074" xr:uid="{00000000-0005-0000-0000-0000480D0000}"/>
    <cellStyle name="Texto explicativo 7" xfId="3075" xr:uid="{00000000-0005-0000-0000-0000490D0000}"/>
    <cellStyle name="Texto explicativo 8" xfId="3076" xr:uid="{00000000-0005-0000-0000-00004A0D0000}"/>
    <cellStyle name="Texto explicativo 9" xfId="3077" xr:uid="{00000000-0005-0000-0000-00004B0D0000}"/>
    <cellStyle name="Título 1 10" xfId="3078" xr:uid="{00000000-0005-0000-0000-00004C0D0000}"/>
    <cellStyle name="Título 1 11" xfId="3079" xr:uid="{00000000-0005-0000-0000-00004D0D0000}"/>
    <cellStyle name="Título 1 11 2" xfId="3080" xr:uid="{00000000-0005-0000-0000-00004E0D0000}"/>
    <cellStyle name="Título 1 11 3" xfId="3081" xr:uid="{00000000-0005-0000-0000-00004F0D0000}"/>
    <cellStyle name="Título 1 11 4" xfId="3082" xr:uid="{00000000-0005-0000-0000-0000500D0000}"/>
    <cellStyle name="Título 1 11 5" xfId="3083" xr:uid="{00000000-0005-0000-0000-0000510D0000}"/>
    <cellStyle name="Título 1 11 6" xfId="3084" xr:uid="{00000000-0005-0000-0000-0000520D0000}"/>
    <cellStyle name="Título 1 11 7" xfId="3085" xr:uid="{00000000-0005-0000-0000-0000530D0000}"/>
    <cellStyle name="Título 1 12" xfId="3086" xr:uid="{00000000-0005-0000-0000-0000540D0000}"/>
    <cellStyle name="Título 1 12 2" xfId="3087" xr:uid="{00000000-0005-0000-0000-0000550D0000}"/>
    <cellStyle name="Título 1 12 3" xfId="3088" xr:uid="{00000000-0005-0000-0000-0000560D0000}"/>
    <cellStyle name="Título 1 12 4" xfId="3089" xr:uid="{00000000-0005-0000-0000-0000570D0000}"/>
    <cellStyle name="Título 1 12 5" xfId="3090" xr:uid="{00000000-0005-0000-0000-0000580D0000}"/>
    <cellStyle name="Título 1 12 6" xfId="3091" xr:uid="{00000000-0005-0000-0000-0000590D0000}"/>
    <cellStyle name="Título 1 12 7" xfId="3092" xr:uid="{00000000-0005-0000-0000-00005A0D0000}"/>
    <cellStyle name="Título 1 13" xfId="3093" xr:uid="{00000000-0005-0000-0000-00005B0D0000}"/>
    <cellStyle name="Título 1 13 2" xfId="3094" xr:uid="{00000000-0005-0000-0000-00005C0D0000}"/>
    <cellStyle name="Título 1 13 3" xfId="3095" xr:uid="{00000000-0005-0000-0000-00005D0D0000}"/>
    <cellStyle name="Título 1 13 4" xfId="3096" xr:uid="{00000000-0005-0000-0000-00005E0D0000}"/>
    <cellStyle name="Título 1 13 5" xfId="3097" xr:uid="{00000000-0005-0000-0000-00005F0D0000}"/>
    <cellStyle name="Título 1 13 6" xfId="3098" xr:uid="{00000000-0005-0000-0000-0000600D0000}"/>
    <cellStyle name="Título 1 13 7" xfId="3099" xr:uid="{00000000-0005-0000-0000-0000610D0000}"/>
    <cellStyle name="Título 1 14" xfId="3100" xr:uid="{00000000-0005-0000-0000-0000620D0000}"/>
    <cellStyle name="Título 1 14 2" xfId="3101" xr:uid="{00000000-0005-0000-0000-0000630D0000}"/>
    <cellStyle name="Título 1 14 3" xfId="3102" xr:uid="{00000000-0005-0000-0000-0000640D0000}"/>
    <cellStyle name="Título 1 14 4" xfId="3103" xr:uid="{00000000-0005-0000-0000-0000650D0000}"/>
    <cellStyle name="Título 1 14 5" xfId="3104" xr:uid="{00000000-0005-0000-0000-0000660D0000}"/>
    <cellStyle name="Título 1 14 6" xfId="3105" xr:uid="{00000000-0005-0000-0000-0000670D0000}"/>
    <cellStyle name="Título 1 14 7" xfId="3106" xr:uid="{00000000-0005-0000-0000-0000680D0000}"/>
    <cellStyle name="Título 1 15" xfId="3107" xr:uid="{00000000-0005-0000-0000-0000690D0000}"/>
    <cellStyle name="Título 1 15 2" xfId="3108" xr:uid="{00000000-0005-0000-0000-00006A0D0000}"/>
    <cellStyle name="Título 1 15 3" xfId="3109" xr:uid="{00000000-0005-0000-0000-00006B0D0000}"/>
    <cellStyle name="Título 1 15 4" xfId="3110" xr:uid="{00000000-0005-0000-0000-00006C0D0000}"/>
    <cellStyle name="Título 1 15 5" xfId="3111" xr:uid="{00000000-0005-0000-0000-00006D0D0000}"/>
    <cellStyle name="Título 1 15 6" xfId="3112" xr:uid="{00000000-0005-0000-0000-00006E0D0000}"/>
    <cellStyle name="Título 1 15 7" xfId="3113" xr:uid="{00000000-0005-0000-0000-00006F0D0000}"/>
    <cellStyle name="Título 1 16" xfId="3114" xr:uid="{00000000-0005-0000-0000-0000700D0000}"/>
    <cellStyle name="Título 1 16 2" xfId="3115" xr:uid="{00000000-0005-0000-0000-0000710D0000}"/>
    <cellStyle name="Título 1 16 3" xfId="3116" xr:uid="{00000000-0005-0000-0000-0000720D0000}"/>
    <cellStyle name="Título 1 16 4" xfId="3117" xr:uid="{00000000-0005-0000-0000-0000730D0000}"/>
    <cellStyle name="Título 1 16 5" xfId="3118" xr:uid="{00000000-0005-0000-0000-0000740D0000}"/>
    <cellStyle name="Título 1 16 6" xfId="3119" xr:uid="{00000000-0005-0000-0000-0000750D0000}"/>
    <cellStyle name="Título 1 16 7" xfId="3120" xr:uid="{00000000-0005-0000-0000-0000760D0000}"/>
    <cellStyle name="Título 1 17" xfId="3121" xr:uid="{00000000-0005-0000-0000-0000770D0000}"/>
    <cellStyle name="Título 1 17 2" xfId="3122" xr:uid="{00000000-0005-0000-0000-0000780D0000}"/>
    <cellStyle name="Título 1 17 3" xfId="3123" xr:uid="{00000000-0005-0000-0000-0000790D0000}"/>
    <cellStyle name="Título 1 17 4" xfId="3124" xr:uid="{00000000-0005-0000-0000-00007A0D0000}"/>
    <cellStyle name="Título 1 17 5" xfId="3125" xr:uid="{00000000-0005-0000-0000-00007B0D0000}"/>
    <cellStyle name="Título 1 17 6" xfId="3126" xr:uid="{00000000-0005-0000-0000-00007C0D0000}"/>
    <cellStyle name="Título 1 18" xfId="3127" xr:uid="{00000000-0005-0000-0000-00007D0D0000}"/>
    <cellStyle name="Título 1 19" xfId="3128" xr:uid="{00000000-0005-0000-0000-00007E0D0000}"/>
    <cellStyle name="Título 1 2" xfId="3129" xr:uid="{00000000-0005-0000-0000-00007F0D0000}"/>
    <cellStyle name="Título 1 2 10" xfId="3130" xr:uid="{00000000-0005-0000-0000-0000800D0000}"/>
    <cellStyle name="Título 1 2 11" xfId="3131" xr:uid="{00000000-0005-0000-0000-0000810D0000}"/>
    <cellStyle name="Título 1 2 12" xfId="3132" xr:uid="{00000000-0005-0000-0000-0000820D0000}"/>
    <cellStyle name="Título 1 2 13" xfId="3133" xr:uid="{00000000-0005-0000-0000-0000830D0000}"/>
    <cellStyle name="Título 1 2 14" xfId="3134" xr:uid="{00000000-0005-0000-0000-0000840D0000}"/>
    <cellStyle name="Título 1 2 15" xfId="3135" xr:uid="{00000000-0005-0000-0000-0000850D0000}"/>
    <cellStyle name="Título 1 2 16" xfId="3136" xr:uid="{00000000-0005-0000-0000-0000860D0000}"/>
    <cellStyle name="Título 1 2 17" xfId="3137" xr:uid="{00000000-0005-0000-0000-0000870D0000}"/>
    <cellStyle name="Título 1 2 18" xfId="3138" xr:uid="{00000000-0005-0000-0000-0000880D0000}"/>
    <cellStyle name="Título 1 2 19" xfId="3139" xr:uid="{00000000-0005-0000-0000-0000890D0000}"/>
    <cellStyle name="Título 1 2 2" xfId="3140" xr:uid="{00000000-0005-0000-0000-00008A0D0000}"/>
    <cellStyle name="Título 1 2 20" xfId="3811" xr:uid="{00000000-0005-0000-0000-00008B0D0000}"/>
    <cellStyle name="Título 1 2 3" xfId="3141" xr:uid="{00000000-0005-0000-0000-00008C0D0000}"/>
    <cellStyle name="Título 1 2 4" xfId="3142" xr:uid="{00000000-0005-0000-0000-00008D0D0000}"/>
    <cellStyle name="Título 1 2 5" xfId="3143" xr:uid="{00000000-0005-0000-0000-00008E0D0000}"/>
    <cellStyle name="Título 1 2 6" xfId="3144" xr:uid="{00000000-0005-0000-0000-00008F0D0000}"/>
    <cellStyle name="Título 1 2 7" xfId="3145" xr:uid="{00000000-0005-0000-0000-0000900D0000}"/>
    <cellStyle name="Título 1 2 8" xfId="3146" xr:uid="{00000000-0005-0000-0000-0000910D0000}"/>
    <cellStyle name="Título 1 2 9" xfId="3147" xr:uid="{00000000-0005-0000-0000-0000920D0000}"/>
    <cellStyle name="Título 1 20" xfId="3148" xr:uid="{00000000-0005-0000-0000-0000930D0000}"/>
    <cellStyle name="Título 1 21" xfId="3149" xr:uid="{00000000-0005-0000-0000-0000940D0000}"/>
    <cellStyle name="Título 1 22" xfId="3150" xr:uid="{00000000-0005-0000-0000-0000950D0000}"/>
    <cellStyle name="Título 1 23" xfId="3151" xr:uid="{00000000-0005-0000-0000-0000960D0000}"/>
    <cellStyle name="Título 1 24" xfId="3810" xr:uid="{00000000-0005-0000-0000-0000970D0000}"/>
    <cellStyle name="Título 1 3" xfId="3152" xr:uid="{00000000-0005-0000-0000-0000980D0000}"/>
    <cellStyle name="Título 1 3 2" xfId="3812" xr:uid="{00000000-0005-0000-0000-0000990D0000}"/>
    <cellStyle name="Título 1 4" xfId="3153" xr:uid="{00000000-0005-0000-0000-00009A0D0000}"/>
    <cellStyle name="Título 1 5" xfId="3154" xr:uid="{00000000-0005-0000-0000-00009B0D0000}"/>
    <cellStyle name="Título 1 6" xfId="3155" xr:uid="{00000000-0005-0000-0000-00009C0D0000}"/>
    <cellStyle name="Título 1 7" xfId="3156" xr:uid="{00000000-0005-0000-0000-00009D0D0000}"/>
    <cellStyle name="Título 1 8" xfId="3157" xr:uid="{00000000-0005-0000-0000-00009E0D0000}"/>
    <cellStyle name="Título 1 9" xfId="3158" xr:uid="{00000000-0005-0000-0000-00009F0D0000}"/>
    <cellStyle name="Título 10" xfId="3159" xr:uid="{00000000-0005-0000-0000-0000A00D0000}"/>
    <cellStyle name="Título 11" xfId="3160" xr:uid="{00000000-0005-0000-0000-0000A10D0000}"/>
    <cellStyle name="Título 12" xfId="3161" xr:uid="{00000000-0005-0000-0000-0000A20D0000}"/>
    <cellStyle name="Título 13" xfId="3162" xr:uid="{00000000-0005-0000-0000-0000A30D0000}"/>
    <cellStyle name="Título 13 2" xfId="3163" xr:uid="{00000000-0005-0000-0000-0000A40D0000}"/>
    <cellStyle name="Título 13 3" xfId="3164" xr:uid="{00000000-0005-0000-0000-0000A50D0000}"/>
    <cellStyle name="Título 13 4" xfId="3165" xr:uid="{00000000-0005-0000-0000-0000A60D0000}"/>
    <cellStyle name="Título 13 5" xfId="3166" xr:uid="{00000000-0005-0000-0000-0000A70D0000}"/>
    <cellStyle name="Título 13 6" xfId="3167" xr:uid="{00000000-0005-0000-0000-0000A80D0000}"/>
    <cellStyle name="Título 13 7" xfId="3168" xr:uid="{00000000-0005-0000-0000-0000A90D0000}"/>
    <cellStyle name="Título 14" xfId="3169" xr:uid="{00000000-0005-0000-0000-0000AA0D0000}"/>
    <cellStyle name="Título 14 2" xfId="3170" xr:uid="{00000000-0005-0000-0000-0000AB0D0000}"/>
    <cellStyle name="Título 14 3" xfId="3171" xr:uid="{00000000-0005-0000-0000-0000AC0D0000}"/>
    <cellStyle name="Título 14 4" xfId="3172" xr:uid="{00000000-0005-0000-0000-0000AD0D0000}"/>
    <cellStyle name="Título 14 5" xfId="3173" xr:uid="{00000000-0005-0000-0000-0000AE0D0000}"/>
    <cellStyle name="Título 14 6" xfId="3174" xr:uid="{00000000-0005-0000-0000-0000AF0D0000}"/>
    <cellStyle name="Título 14 7" xfId="3175" xr:uid="{00000000-0005-0000-0000-0000B00D0000}"/>
    <cellStyle name="Título 15" xfId="3176" xr:uid="{00000000-0005-0000-0000-0000B10D0000}"/>
    <cellStyle name="Título 15 2" xfId="3177" xr:uid="{00000000-0005-0000-0000-0000B20D0000}"/>
    <cellStyle name="Título 15 3" xfId="3178" xr:uid="{00000000-0005-0000-0000-0000B30D0000}"/>
    <cellStyle name="Título 15 4" xfId="3179" xr:uid="{00000000-0005-0000-0000-0000B40D0000}"/>
    <cellStyle name="Título 15 5" xfId="3180" xr:uid="{00000000-0005-0000-0000-0000B50D0000}"/>
    <cellStyle name="Título 15 6" xfId="3181" xr:uid="{00000000-0005-0000-0000-0000B60D0000}"/>
    <cellStyle name="Título 15 7" xfId="3182" xr:uid="{00000000-0005-0000-0000-0000B70D0000}"/>
    <cellStyle name="Título 16" xfId="3183" xr:uid="{00000000-0005-0000-0000-0000B80D0000}"/>
    <cellStyle name="Título 16 2" xfId="3184" xr:uid="{00000000-0005-0000-0000-0000B90D0000}"/>
    <cellStyle name="Título 16 3" xfId="3185" xr:uid="{00000000-0005-0000-0000-0000BA0D0000}"/>
    <cellStyle name="Título 16 4" xfId="3186" xr:uid="{00000000-0005-0000-0000-0000BB0D0000}"/>
    <cellStyle name="Título 16 5" xfId="3187" xr:uid="{00000000-0005-0000-0000-0000BC0D0000}"/>
    <cellStyle name="Título 16 6" xfId="3188" xr:uid="{00000000-0005-0000-0000-0000BD0D0000}"/>
    <cellStyle name="Título 16 7" xfId="3189" xr:uid="{00000000-0005-0000-0000-0000BE0D0000}"/>
    <cellStyle name="Título 17" xfId="3190" xr:uid="{00000000-0005-0000-0000-0000BF0D0000}"/>
    <cellStyle name="Título 17 2" xfId="3191" xr:uid="{00000000-0005-0000-0000-0000C00D0000}"/>
    <cellStyle name="Título 17 3" xfId="3192" xr:uid="{00000000-0005-0000-0000-0000C10D0000}"/>
    <cellStyle name="Título 17 4" xfId="3193" xr:uid="{00000000-0005-0000-0000-0000C20D0000}"/>
    <cellStyle name="Título 17 5" xfId="3194" xr:uid="{00000000-0005-0000-0000-0000C30D0000}"/>
    <cellStyle name="Título 17 6" xfId="3195" xr:uid="{00000000-0005-0000-0000-0000C40D0000}"/>
    <cellStyle name="Título 17 7" xfId="3196" xr:uid="{00000000-0005-0000-0000-0000C50D0000}"/>
    <cellStyle name="Título 18" xfId="3197" xr:uid="{00000000-0005-0000-0000-0000C60D0000}"/>
    <cellStyle name="Título 18 2" xfId="3198" xr:uid="{00000000-0005-0000-0000-0000C70D0000}"/>
    <cellStyle name="Título 18 3" xfId="3199" xr:uid="{00000000-0005-0000-0000-0000C80D0000}"/>
    <cellStyle name="Título 18 4" xfId="3200" xr:uid="{00000000-0005-0000-0000-0000C90D0000}"/>
    <cellStyle name="Título 18 5" xfId="3201" xr:uid="{00000000-0005-0000-0000-0000CA0D0000}"/>
    <cellStyle name="Título 18 6" xfId="3202" xr:uid="{00000000-0005-0000-0000-0000CB0D0000}"/>
    <cellStyle name="Título 18 7" xfId="3203" xr:uid="{00000000-0005-0000-0000-0000CC0D0000}"/>
    <cellStyle name="Título 19" xfId="3204" xr:uid="{00000000-0005-0000-0000-0000CD0D0000}"/>
    <cellStyle name="Título 19 2" xfId="3205" xr:uid="{00000000-0005-0000-0000-0000CE0D0000}"/>
    <cellStyle name="Título 19 3" xfId="3206" xr:uid="{00000000-0005-0000-0000-0000CF0D0000}"/>
    <cellStyle name="Título 19 4" xfId="3207" xr:uid="{00000000-0005-0000-0000-0000D00D0000}"/>
    <cellStyle name="Título 19 5" xfId="3208" xr:uid="{00000000-0005-0000-0000-0000D10D0000}"/>
    <cellStyle name="Título 19 6" xfId="3209" xr:uid="{00000000-0005-0000-0000-0000D20D0000}"/>
    <cellStyle name="Título 2 10" xfId="3210" xr:uid="{00000000-0005-0000-0000-0000D30D0000}"/>
    <cellStyle name="Título 2 11" xfId="3211" xr:uid="{00000000-0005-0000-0000-0000D40D0000}"/>
    <cellStyle name="Título 2 11 2" xfId="3212" xr:uid="{00000000-0005-0000-0000-0000D50D0000}"/>
    <cellStyle name="Título 2 11 3" xfId="3213" xr:uid="{00000000-0005-0000-0000-0000D60D0000}"/>
    <cellStyle name="Título 2 11 4" xfId="3214" xr:uid="{00000000-0005-0000-0000-0000D70D0000}"/>
    <cellStyle name="Título 2 11 5" xfId="3215" xr:uid="{00000000-0005-0000-0000-0000D80D0000}"/>
    <cellStyle name="Título 2 11 6" xfId="3216" xr:uid="{00000000-0005-0000-0000-0000D90D0000}"/>
    <cellStyle name="Título 2 11 7" xfId="3217" xr:uid="{00000000-0005-0000-0000-0000DA0D0000}"/>
    <cellStyle name="Título 2 12" xfId="3218" xr:uid="{00000000-0005-0000-0000-0000DB0D0000}"/>
    <cellStyle name="Título 2 12 2" xfId="3219" xr:uid="{00000000-0005-0000-0000-0000DC0D0000}"/>
    <cellStyle name="Título 2 12 3" xfId="3220" xr:uid="{00000000-0005-0000-0000-0000DD0D0000}"/>
    <cellStyle name="Título 2 12 4" xfId="3221" xr:uid="{00000000-0005-0000-0000-0000DE0D0000}"/>
    <cellStyle name="Título 2 12 5" xfId="3222" xr:uid="{00000000-0005-0000-0000-0000DF0D0000}"/>
    <cellStyle name="Título 2 12 6" xfId="3223" xr:uid="{00000000-0005-0000-0000-0000E00D0000}"/>
    <cellStyle name="Título 2 12 7" xfId="3224" xr:uid="{00000000-0005-0000-0000-0000E10D0000}"/>
    <cellStyle name="Título 2 13" xfId="3225" xr:uid="{00000000-0005-0000-0000-0000E20D0000}"/>
    <cellStyle name="Título 2 13 2" xfId="3226" xr:uid="{00000000-0005-0000-0000-0000E30D0000}"/>
    <cellStyle name="Título 2 13 3" xfId="3227" xr:uid="{00000000-0005-0000-0000-0000E40D0000}"/>
    <cellStyle name="Título 2 13 4" xfId="3228" xr:uid="{00000000-0005-0000-0000-0000E50D0000}"/>
    <cellStyle name="Título 2 13 5" xfId="3229" xr:uid="{00000000-0005-0000-0000-0000E60D0000}"/>
    <cellStyle name="Título 2 13 6" xfId="3230" xr:uid="{00000000-0005-0000-0000-0000E70D0000}"/>
    <cellStyle name="Título 2 13 7" xfId="3231" xr:uid="{00000000-0005-0000-0000-0000E80D0000}"/>
    <cellStyle name="Título 2 14" xfId="3232" xr:uid="{00000000-0005-0000-0000-0000E90D0000}"/>
    <cellStyle name="Título 2 14 2" xfId="3233" xr:uid="{00000000-0005-0000-0000-0000EA0D0000}"/>
    <cellStyle name="Título 2 14 3" xfId="3234" xr:uid="{00000000-0005-0000-0000-0000EB0D0000}"/>
    <cellStyle name="Título 2 14 4" xfId="3235" xr:uid="{00000000-0005-0000-0000-0000EC0D0000}"/>
    <cellStyle name="Título 2 14 5" xfId="3236" xr:uid="{00000000-0005-0000-0000-0000ED0D0000}"/>
    <cellStyle name="Título 2 14 6" xfId="3237" xr:uid="{00000000-0005-0000-0000-0000EE0D0000}"/>
    <cellStyle name="Título 2 14 7" xfId="3238" xr:uid="{00000000-0005-0000-0000-0000EF0D0000}"/>
    <cellStyle name="Título 2 15" xfId="3239" xr:uid="{00000000-0005-0000-0000-0000F00D0000}"/>
    <cellStyle name="Título 2 15 2" xfId="3240" xr:uid="{00000000-0005-0000-0000-0000F10D0000}"/>
    <cellStyle name="Título 2 15 3" xfId="3241" xr:uid="{00000000-0005-0000-0000-0000F20D0000}"/>
    <cellStyle name="Título 2 15 4" xfId="3242" xr:uid="{00000000-0005-0000-0000-0000F30D0000}"/>
    <cellStyle name="Título 2 15 5" xfId="3243" xr:uid="{00000000-0005-0000-0000-0000F40D0000}"/>
    <cellStyle name="Título 2 15 6" xfId="3244" xr:uid="{00000000-0005-0000-0000-0000F50D0000}"/>
    <cellStyle name="Título 2 15 7" xfId="3245" xr:uid="{00000000-0005-0000-0000-0000F60D0000}"/>
    <cellStyle name="Título 2 16" xfId="3246" xr:uid="{00000000-0005-0000-0000-0000F70D0000}"/>
    <cellStyle name="Título 2 16 2" xfId="3247" xr:uid="{00000000-0005-0000-0000-0000F80D0000}"/>
    <cellStyle name="Título 2 16 3" xfId="3248" xr:uid="{00000000-0005-0000-0000-0000F90D0000}"/>
    <cellStyle name="Título 2 16 4" xfId="3249" xr:uid="{00000000-0005-0000-0000-0000FA0D0000}"/>
    <cellStyle name="Título 2 16 5" xfId="3250" xr:uid="{00000000-0005-0000-0000-0000FB0D0000}"/>
    <cellStyle name="Título 2 16 6" xfId="3251" xr:uid="{00000000-0005-0000-0000-0000FC0D0000}"/>
    <cellStyle name="Título 2 16 7" xfId="3252" xr:uid="{00000000-0005-0000-0000-0000FD0D0000}"/>
    <cellStyle name="Título 2 17" xfId="3253" xr:uid="{00000000-0005-0000-0000-0000FE0D0000}"/>
    <cellStyle name="Título 2 17 2" xfId="3254" xr:uid="{00000000-0005-0000-0000-0000FF0D0000}"/>
    <cellStyle name="Título 2 17 3" xfId="3255" xr:uid="{00000000-0005-0000-0000-0000000E0000}"/>
    <cellStyle name="Título 2 17 4" xfId="3256" xr:uid="{00000000-0005-0000-0000-0000010E0000}"/>
    <cellStyle name="Título 2 17 5" xfId="3257" xr:uid="{00000000-0005-0000-0000-0000020E0000}"/>
    <cellStyle name="Título 2 17 6" xfId="3258" xr:uid="{00000000-0005-0000-0000-0000030E0000}"/>
    <cellStyle name="Título 2 18" xfId="3259" xr:uid="{00000000-0005-0000-0000-0000040E0000}"/>
    <cellStyle name="Título 2 19" xfId="3260" xr:uid="{00000000-0005-0000-0000-0000050E0000}"/>
    <cellStyle name="Título 2 2" xfId="3261" xr:uid="{00000000-0005-0000-0000-0000060E0000}"/>
    <cellStyle name="Título 2 2 10" xfId="3262" xr:uid="{00000000-0005-0000-0000-0000070E0000}"/>
    <cellStyle name="Título 2 2 11" xfId="3263" xr:uid="{00000000-0005-0000-0000-0000080E0000}"/>
    <cellStyle name="Título 2 2 12" xfId="3264" xr:uid="{00000000-0005-0000-0000-0000090E0000}"/>
    <cellStyle name="Título 2 2 13" xfId="3265" xr:uid="{00000000-0005-0000-0000-00000A0E0000}"/>
    <cellStyle name="Título 2 2 14" xfId="3266" xr:uid="{00000000-0005-0000-0000-00000B0E0000}"/>
    <cellStyle name="Título 2 2 15" xfId="3267" xr:uid="{00000000-0005-0000-0000-00000C0E0000}"/>
    <cellStyle name="Título 2 2 16" xfId="3268" xr:uid="{00000000-0005-0000-0000-00000D0E0000}"/>
    <cellStyle name="Título 2 2 17" xfId="3269" xr:uid="{00000000-0005-0000-0000-00000E0E0000}"/>
    <cellStyle name="Título 2 2 18" xfId="3270" xr:uid="{00000000-0005-0000-0000-00000F0E0000}"/>
    <cellStyle name="Título 2 2 19" xfId="3271" xr:uid="{00000000-0005-0000-0000-0000100E0000}"/>
    <cellStyle name="Título 2 2 2" xfId="3272" xr:uid="{00000000-0005-0000-0000-0000110E0000}"/>
    <cellStyle name="Título 2 2 20" xfId="3814" xr:uid="{00000000-0005-0000-0000-0000120E0000}"/>
    <cellStyle name="Título 2 2 3" xfId="3273" xr:uid="{00000000-0005-0000-0000-0000130E0000}"/>
    <cellStyle name="Título 2 2 4" xfId="3274" xr:uid="{00000000-0005-0000-0000-0000140E0000}"/>
    <cellStyle name="Título 2 2 5" xfId="3275" xr:uid="{00000000-0005-0000-0000-0000150E0000}"/>
    <cellStyle name="Título 2 2 6" xfId="3276" xr:uid="{00000000-0005-0000-0000-0000160E0000}"/>
    <cellStyle name="Título 2 2 7" xfId="3277" xr:uid="{00000000-0005-0000-0000-0000170E0000}"/>
    <cellStyle name="Título 2 2 8" xfId="3278" xr:uid="{00000000-0005-0000-0000-0000180E0000}"/>
    <cellStyle name="Título 2 2 9" xfId="3279" xr:uid="{00000000-0005-0000-0000-0000190E0000}"/>
    <cellStyle name="Título 2 20" xfId="3280" xr:uid="{00000000-0005-0000-0000-00001A0E0000}"/>
    <cellStyle name="Título 2 21" xfId="3281" xr:uid="{00000000-0005-0000-0000-00001B0E0000}"/>
    <cellStyle name="Título 2 22" xfId="3282" xr:uid="{00000000-0005-0000-0000-00001C0E0000}"/>
    <cellStyle name="Título 2 23" xfId="3283" xr:uid="{00000000-0005-0000-0000-00001D0E0000}"/>
    <cellStyle name="Título 2 24" xfId="3813" xr:uid="{00000000-0005-0000-0000-00001E0E0000}"/>
    <cellStyle name="Título 2 3" xfId="3284" xr:uid="{00000000-0005-0000-0000-00001F0E0000}"/>
    <cellStyle name="Título 2 3 2" xfId="3815" xr:uid="{00000000-0005-0000-0000-0000200E0000}"/>
    <cellStyle name="Título 2 4" xfId="3285" xr:uid="{00000000-0005-0000-0000-0000210E0000}"/>
    <cellStyle name="Título 2 5" xfId="3286" xr:uid="{00000000-0005-0000-0000-0000220E0000}"/>
    <cellStyle name="Título 2 6" xfId="3287" xr:uid="{00000000-0005-0000-0000-0000230E0000}"/>
    <cellStyle name="Título 2 7" xfId="3288" xr:uid="{00000000-0005-0000-0000-0000240E0000}"/>
    <cellStyle name="Título 2 8" xfId="3289" xr:uid="{00000000-0005-0000-0000-0000250E0000}"/>
    <cellStyle name="Título 2 9" xfId="3290" xr:uid="{00000000-0005-0000-0000-0000260E0000}"/>
    <cellStyle name="Título 20" xfId="3291" xr:uid="{00000000-0005-0000-0000-0000270E0000}"/>
    <cellStyle name="Título 21" xfId="3292" xr:uid="{00000000-0005-0000-0000-0000280E0000}"/>
    <cellStyle name="Título 22" xfId="3293" xr:uid="{00000000-0005-0000-0000-0000290E0000}"/>
    <cellStyle name="Título 23" xfId="3294" xr:uid="{00000000-0005-0000-0000-00002A0E0000}"/>
    <cellStyle name="Título 24" xfId="3295" xr:uid="{00000000-0005-0000-0000-00002B0E0000}"/>
    <cellStyle name="Título 25" xfId="3296" xr:uid="{00000000-0005-0000-0000-00002C0E0000}"/>
    <cellStyle name="Título 26" xfId="3809" xr:uid="{00000000-0005-0000-0000-00002D0E0000}"/>
    <cellStyle name="Título 3 10" xfId="3297" xr:uid="{00000000-0005-0000-0000-00002E0E0000}"/>
    <cellStyle name="Título 3 11" xfId="3298" xr:uid="{00000000-0005-0000-0000-00002F0E0000}"/>
    <cellStyle name="Título 3 11 2" xfId="3299" xr:uid="{00000000-0005-0000-0000-0000300E0000}"/>
    <cellStyle name="Título 3 11 3" xfId="3300" xr:uid="{00000000-0005-0000-0000-0000310E0000}"/>
    <cellStyle name="Título 3 11 4" xfId="3301" xr:uid="{00000000-0005-0000-0000-0000320E0000}"/>
    <cellStyle name="Título 3 11 5" xfId="3302" xr:uid="{00000000-0005-0000-0000-0000330E0000}"/>
    <cellStyle name="Título 3 11 6" xfId="3303" xr:uid="{00000000-0005-0000-0000-0000340E0000}"/>
    <cellStyle name="Título 3 11 7" xfId="3304" xr:uid="{00000000-0005-0000-0000-0000350E0000}"/>
    <cellStyle name="Título 3 12" xfId="3305" xr:uid="{00000000-0005-0000-0000-0000360E0000}"/>
    <cellStyle name="Título 3 12 2" xfId="3306" xr:uid="{00000000-0005-0000-0000-0000370E0000}"/>
    <cellStyle name="Título 3 12 3" xfId="3307" xr:uid="{00000000-0005-0000-0000-0000380E0000}"/>
    <cellStyle name="Título 3 12 4" xfId="3308" xr:uid="{00000000-0005-0000-0000-0000390E0000}"/>
    <cellStyle name="Título 3 12 5" xfId="3309" xr:uid="{00000000-0005-0000-0000-00003A0E0000}"/>
    <cellStyle name="Título 3 12 6" xfId="3310" xr:uid="{00000000-0005-0000-0000-00003B0E0000}"/>
    <cellStyle name="Título 3 12 7" xfId="3311" xr:uid="{00000000-0005-0000-0000-00003C0E0000}"/>
    <cellStyle name="Título 3 13" xfId="3312" xr:uid="{00000000-0005-0000-0000-00003D0E0000}"/>
    <cellStyle name="Título 3 13 2" xfId="3313" xr:uid="{00000000-0005-0000-0000-00003E0E0000}"/>
    <cellStyle name="Título 3 13 3" xfId="3314" xr:uid="{00000000-0005-0000-0000-00003F0E0000}"/>
    <cellStyle name="Título 3 13 4" xfId="3315" xr:uid="{00000000-0005-0000-0000-0000400E0000}"/>
    <cellStyle name="Título 3 13 5" xfId="3316" xr:uid="{00000000-0005-0000-0000-0000410E0000}"/>
    <cellStyle name="Título 3 13 6" xfId="3317" xr:uid="{00000000-0005-0000-0000-0000420E0000}"/>
    <cellStyle name="Título 3 13 7" xfId="3318" xr:uid="{00000000-0005-0000-0000-0000430E0000}"/>
    <cellStyle name="Título 3 14" xfId="3319" xr:uid="{00000000-0005-0000-0000-0000440E0000}"/>
    <cellStyle name="Título 3 14 2" xfId="3320" xr:uid="{00000000-0005-0000-0000-0000450E0000}"/>
    <cellStyle name="Título 3 14 3" xfId="3321" xr:uid="{00000000-0005-0000-0000-0000460E0000}"/>
    <cellStyle name="Título 3 14 4" xfId="3322" xr:uid="{00000000-0005-0000-0000-0000470E0000}"/>
    <cellStyle name="Título 3 14 5" xfId="3323" xr:uid="{00000000-0005-0000-0000-0000480E0000}"/>
    <cellStyle name="Título 3 14 6" xfId="3324" xr:uid="{00000000-0005-0000-0000-0000490E0000}"/>
    <cellStyle name="Título 3 14 7" xfId="3325" xr:uid="{00000000-0005-0000-0000-00004A0E0000}"/>
    <cellStyle name="Título 3 15" xfId="3326" xr:uid="{00000000-0005-0000-0000-00004B0E0000}"/>
    <cellStyle name="Título 3 15 2" xfId="3327" xr:uid="{00000000-0005-0000-0000-00004C0E0000}"/>
    <cellStyle name="Título 3 15 3" xfId="3328" xr:uid="{00000000-0005-0000-0000-00004D0E0000}"/>
    <cellStyle name="Título 3 15 4" xfId="3329" xr:uid="{00000000-0005-0000-0000-00004E0E0000}"/>
    <cellStyle name="Título 3 15 5" xfId="3330" xr:uid="{00000000-0005-0000-0000-00004F0E0000}"/>
    <cellStyle name="Título 3 15 6" xfId="3331" xr:uid="{00000000-0005-0000-0000-0000500E0000}"/>
    <cellStyle name="Título 3 15 7" xfId="3332" xr:uid="{00000000-0005-0000-0000-0000510E0000}"/>
    <cellStyle name="Título 3 16" xfId="3333" xr:uid="{00000000-0005-0000-0000-0000520E0000}"/>
    <cellStyle name="Título 3 16 2" xfId="3334" xr:uid="{00000000-0005-0000-0000-0000530E0000}"/>
    <cellStyle name="Título 3 16 3" xfId="3335" xr:uid="{00000000-0005-0000-0000-0000540E0000}"/>
    <cellStyle name="Título 3 16 4" xfId="3336" xr:uid="{00000000-0005-0000-0000-0000550E0000}"/>
    <cellStyle name="Título 3 16 5" xfId="3337" xr:uid="{00000000-0005-0000-0000-0000560E0000}"/>
    <cellStyle name="Título 3 16 6" xfId="3338" xr:uid="{00000000-0005-0000-0000-0000570E0000}"/>
    <cellStyle name="Título 3 16 7" xfId="3339" xr:uid="{00000000-0005-0000-0000-0000580E0000}"/>
    <cellStyle name="Título 3 17" xfId="3340" xr:uid="{00000000-0005-0000-0000-0000590E0000}"/>
    <cellStyle name="Título 3 17 2" xfId="3341" xr:uid="{00000000-0005-0000-0000-00005A0E0000}"/>
    <cellStyle name="Título 3 17 3" xfId="3342" xr:uid="{00000000-0005-0000-0000-00005B0E0000}"/>
    <cellStyle name="Título 3 17 4" xfId="3343" xr:uid="{00000000-0005-0000-0000-00005C0E0000}"/>
    <cellStyle name="Título 3 17 5" xfId="3344" xr:uid="{00000000-0005-0000-0000-00005D0E0000}"/>
    <cellStyle name="Título 3 17 6" xfId="3345" xr:uid="{00000000-0005-0000-0000-00005E0E0000}"/>
    <cellStyle name="Título 3 18" xfId="3346" xr:uid="{00000000-0005-0000-0000-00005F0E0000}"/>
    <cellStyle name="Título 3 19" xfId="3347" xr:uid="{00000000-0005-0000-0000-0000600E0000}"/>
    <cellStyle name="Título 3 2" xfId="3348" xr:uid="{00000000-0005-0000-0000-0000610E0000}"/>
    <cellStyle name="Título 3 2 10" xfId="3349" xr:uid="{00000000-0005-0000-0000-0000620E0000}"/>
    <cellStyle name="Título 3 2 11" xfId="3350" xr:uid="{00000000-0005-0000-0000-0000630E0000}"/>
    <cellStyle name="Título 3 2 12" xfId="3351" xr:uid="{00000000-0005-0000-0000-0000640E0000}"/>
    <cellStyle name="Título 3 2 13" xfId="3352" xr:uid="{00000000-0005-0000-0000-0000650E0000}"/>
    <cellStyle name="Título 3 2 14" xfId="3353" xr:uid="{00000000-0005-0000-0000-0000660E0000}"/>
    <cellStyle name="Título 3 2 15" xfId="3354" xr:uid="{00000000-0005-0000-0000-0000670E0000}"/>
    <cellStyle name="Título 3 2 16" xfId="3355" xr:uid="{00000000-0005-0000-0000-0000680E0000}"/>
    <cellStyle name="Título 3 2 17" xfId="3356" xr:uid="{00000000-0005-0000-0000-0000690E0000}"/>
    <cellStyle name="Título 3 2 18" xfId="3357" xr:uid="{00000000-0005-0000-0000-00006A0E0000}"/>
    <cellStyle name="Título 3 2 19" xfId="3358" xr:uid="{00000000-0005-0000-0000-00006B0E0000}"/>
    <cellStyle name="Título 3 2 2" xfId="3359" xr:uid="{00000000-0005-0000-0000-00006C0E0000}"/>
    <cellStyle name="Título 3 2 20" xfId="3817" xr:uid="{00000000-0005-0000-0000-00006D0E0000}"/>
    <cellStyle name="Título 3 2 3" xfId="3360" xr:uid="{00000000-0005-0000-0000-00006E0E0000}"/>
    <cellStyle name="Título 3 2 4" xfId="3361" xr:uid="{00000000-0005-0000-0000-00006F0E0000}"/>
    <cellStyle name="Título 3 2 5" xfId="3362" xr:uid="{00000000-0005-0000-0000-0000700E0000}"/>
    <cellStyle name="Título 3 2 6" xfId="3363" xr:uid="{00000000-0005-0000-0000-0000710E0000}"/>
    <cellStyle name="Título 3 2 7" xfId="3364" xr:uid="{00000000-0005-0000-0000-0000720E0000}"/>
    <cellStyle name="Título 3 2 8" xfId="3365" xr:uid="{00000000-0005-0000-0000-0000730E0000}"/>
    <cellStyle name="Título 3 2 9" xfId="3366" xr:uid="{00000000-0005-0000-0000-0000740E0000}"/>
    <cellStyle name="Título 3 20" xfId="3367" xr:uid="{00000000-0005-0000-0000-0000750E0000}"/>
    <cellStyle name="Título 3 21" xfId="3368" xr:uid="{00000000-0005-0000-0000-0000760E0000}"/>
    <cellStyle name="Título 3 22" xfId="3369" xr:uid="{00000000-0005-0000-0000-0000770E0000}"/>
    <cellStyle name="Título 3 23" xfId="3370" xr:uid="{00000000-0005-0000-0000-0000780E0000}"/>
    <cellStyle name="Título 3 24" xfId="3816" xr:uid="{00000000-0005-0000-0000-0000790E0000}"/>
    <cellStyle name="Título 3 3" xfId="3371" xr:uid="{00000000-0005-0000-0000-00007A0E0000}"/>
    <cellStyle name="Título 3 3 2" xfId="3818" xr:uid="{00000000-0005-0000-0000-00007B0E0000}"/>
    <cellStyle name="Título 3 4" xfId="3372" xr:uid="{00000000-0005-0000-0000-00007C0E0000}"/>
    <cellStyle name="Título 3 5" xfId="3373" xr:uid="{00000000-0005-0000-0000-00007D0E0000}"/>
    <cellStyle name="Título 3 6" xfId="3374" xr:uid="{00000000-0005-0000-0000-00007E0E0000}"/>
    <cellStyle name="Título 3 7" xfId="3375" xr:uid="{00000000-0005-0000-0000-00007F0E0000}"/>
    <cellStyle name="Título 3 8" xfId="3376" xr:uid="{00000000-0005-0000-0000-0000800E0000}"/>
    <cellStyle name="Título 3 9" xfId="3377" xr:uid="{00000000-0005-0000-0000-0000810E0000}"/>
    <cellStyle name="Título 4" xfId="3378" xr:uid="{00000000-0005-0000-0000-0000820E0000}"/>
    <cellStyle name="Título 4 10" xfId="3379" xr:uid="{00000000-0005-0000-0000-0000830E0000}"/>
    <cellStyle name="Título 4 11" xfId="3380" xr:uid="{00000000-0005-0000-0000-0000840E0000}"/>
    <cellStyle name="Título 4 12" xfId="3381" xr:uid="{00000000-0005-0000-0000-0000850E0000}"/>
    <cellStyle name="Título 4 13" xfId="3382" xr:uid="{00000000-0005-0000-0000-0000860E0000}"/>
    <cellStyle name="Título 4 14" xfId="3383" xr:uid="{00000000-0005-0000-0000-0000870E0000}"/>
    <cellStyle name="Título 4 15" xfId="3384" xr:uid="{00000000-0005-0000-0000-0000880E0000}"/>
    <cellStyle name="Título 4 16" xfId="3385" xr:uid="{00000000-0005-0000-0000-0000890E0000}"/>
    <cellStyle name="Título 4 17" xfId="3386" xr:uid="{00000000-0005-0000-0000-00008A0E0000}"/>
    <cellStyle name="Título 4 18" xfId="3387" xr:uid="{00000000-0005-0000-0000-00008B0E0000}"/>
    <cellStyle name="Título 4 19" xfId="3388" xr:uid="{00000000-0005-0000-0000-00008C0E0000}"/>
    <cellStyle name="Título 4 2" xfId="3389" xr:uid="{00000000-0005-0000-0000-00008D0E0000}"/>
    <cellStyle name="Título 4 20" xfId="3819" xr:uid="{00000000-0005-0000-0000-00008E0E0000}"/>
    <cellStyle name="Título 4 3" xfId="3390" xr:uid="{00000000-0005-0000-0000-00008F0E0000}"/>
    <cellStyle name="Título 4 4" xfId="3391" xr:uid="{00000000-0005-0000-0000-0000900E0000}"/>
    <cellStyle name="Título 4 5" xfId="3392" xr:uid="{00000000-0005-0000-0000-0000910E0000}"/>
    <cellStyle name="Título 4 6" xfId="3393" xr:uid="{00000000-0005-0000-0000-0000920E0000}"/>
    <cellStyle name="Título 4 7" xfId="3394" xr:uid="{00000000-0005-0000-0000-0000930E0000}"/>
    <cellStyle name="Título 4 8" xfId="3395" xr:uid="{00000000-0005-0000-0000-0000940E0000}"/>
    <cellStyle name="Título 4 9" xfId="3396" xr:uid="{00000000-0005-0000-0000-0000950E0000}"/>
    <cellStyle name="Título 5" xfId="3397" xr:uid="{00000000-0005-0000-0000-0000960E0000}"/>
    <cellStyle name="Título 5 2" xfId="3820" xr:uid="{00000000-0005-0000-0000-0000970E0000}"/>
    <cellStyle name="Título 6" xfId="3398" xr:uid="{00000000-0005-0000-0000-0000980E0000}"/>
    <cellStyle name="Título 7" xfId="3399" xr:uid="{00000000-0005-0000-0000-0000990E0000}"/>
    <cellStyle name="Título 8" xfId="3400" xr:uid="{00000000-0005-0000-0000-00009A0E0000}"/>
    <cellStyle name="Título 9" xfId="3401" xr:uid="{00000000-0005-0000-0000-00009B0E0000}"/>
    <cellStyle name="Total 10" xfId="3402" xr:uid="{00000000-0005-0000-0000-00009C0E0000}"/>
    <cellStyle name="Total 11" xfId="3403" xr:uid="{00000000-0005-0000-0000-00009D0E0000}"/>
    <cellStyle name="Total 11 2" xfId="3404" xr:uid="{00000000-0005-0000-0000-00009E0E0000}"/>
    <cellStyle name="Total 11 3" xfId="3405" xr:uid="{00000000-0005-0000-0000-00009F0E0000}"/>
    <cellStyle name="Total 11 4" xfId="3406" xr:uid="{00000000-0005-0000-0000-0000A00E0000}"/>
    <cellStyle name="Total 11 5" xfId="3407" xr:uid="{00000000-0005-0000-0000-0000A10E0000}"/>
    <cellStyle name="Total 11 6" xfId="3408" xr:uid="{00000000-0005-0000-0000-0000A20E0000}"/>
    <cellStyle name="Total 11 7" xfId="3409" xr:uid="{00000000-0005-0000-0000-0000A30E0000}"/>
    <cellStyle name="Total 12" xfId="3410" xr:uid="{00000000-0005-0000-0000-0000A40E0000}"/>
    <cellStyle name="Total 12 2" xfId="3411" xr:uid="{00000000-0005-0000-0000-0000A50E0000}"/>
    <cellStyle name="Total 12 3" xfId="3412" xr:uid="{00000000-0005-0000-0000-0000A60E0000}"/>
    <cellStyle name="Total 12 4" xfId="3413" xr:uid="{00000000-0005-0000-0000-0000A70E0000}"/>
    <cellStyle name="Total 12 5" xfId="3414" xr:uid="{00000000-0005-0000-0000-0000A80E0000}"/>
    <cellStyle name="Total 12 6" xfId="3415" xr:uid="{00000000-0005-0000-0000-0000A90E0000}"/>
    <cellStyle name="Total 12 7" xfId="3416" xr:uid="{00000000-0005-0000-0000-0000AA0E0000}"/>
    <cellStyle name="Total 13" xfId="3417" xr:uid="{00000000-0005-0000-0000-0000AB0E0000}"/>
    <cellStyle name="Total 13 2" xfId="3418" xr:uid="{00000000-0005-0000-0000-0000AC0E0000}"/>
    <cellStyle name="Total 13 3" xfId="3419" xr:uid="{00000000-0005-0000-0000-0000AD0E0000}"/>
    <cellStyle name="Total 13 4" xfId="3420" xr:uid="{00000000-0005-0000-0000-0000AE0E0000}"/>
    <cellStyle name="Total 13 5" xfId="3421" xr:uid="{00000000-0005-0000-0000-0000AF0E0000}"/>
    <cellStyle name="Total 13 6" xfId="3422" xr:uid="{00000000-0005-0000-0000-0000B00E0000}"/>
    <cellStyle name="Total 13 7" xfId="3423" xr:uid="{00000000-0005-0000-0000-0000B10E0000}"/>
    <cellStyle name="Total 14" xfId="3424" xr:uid="{00000000-0005-0000-0000-0000B20E0000}"/>
    <cellStyle name="Total 14 2" xfId="3425" xr:uid="{00000000-0005-0000-0000-0000B30E0000}"/>
    <cellStyle name="Total 14 3" xfId="3426" xr:uid="{00000000-0005-0000-0000-0000B40E0000}"/>
    <cellStyle name="Total 14 4" xfId="3427" xr:uid="{00000000-0005-0000-0000-0000B50E0000}"/>
    <cellStyle name="Total 14 5" xfId="3428" xr:uid="{00000000-0005-0000-0000-0000B60E0000}"/>
    <cellStyle name="Total 14 6" xfId="3429" xr:uid="{00000000-0005-0000-0000-0000B70E0000}"/>
    <cellStyle name="Total 14 7" xfId="3430" xr:uid="{00000000-0005-0000-0000-0000B80E0000}"/>
    <cellStyle name="Total 15" xfId="3431" xr:uid="{00000000-0005-0000-0000-0000B90E0000}"/>
    <cellStyle name="Total 15 2" xfId="3432" xr:uid="{00000000-0005-0000-0000-0000BA0E0000}"/>
    <cellStyle name="Total 15 3" xfId="3433" xr:uid="{00000000-0005-0000-0000-0000BB0E0000}"/>
    <cellStyle name="Total 15 4" xfId="3434" xr:uid="{00000000-0005-0000-0000-0000BC0E0000}"/>
    <cellStyle name="Total 15 5" xfId="3435" xr:uid="{00000000-0005-0000-0000-0000BD0E0000}"/>
    <cellStyle name="Total 15 6" xfId="3436" xr:uid="{00000000-0005-0000-0000-0000BE0E0000}"/>
    <cellStyle name="Total 15 7" xfId="3437" xr:uid="{00000000-0005-0000-0000-0000BF0E0000}"/>
    <cellStyle name="Total 16" xfId="3438" xr:uid="{00000000-0005-0000-0000-0000C00E0000}"/>
    <cellStyle name="Total 16 2" xfId="3439" xr:uid="{00000000-0005-0000-0000-0000C10E0000}"/>
    <cellStyle name="Total 16 3" xfId="3440" xr:uid="{00000000-0005-0000-0000-0000C20E0000}"/>
    <cellStyle name="Total 16 4" xfId="3441" xr:uid="{00000000-0005-0000-0000-0000C30E0000}"/>
    <cellStyle name="Total 16 5" xfId="3442" xr:uid="{00000000-0005-0000-0000-0000C40E0000}"/>
    <cellStyle name="Total 16 6" xfId="3443" xr:uid="{00000000-0005-0000-0000-0000C50E0000}"/>
    <cellStyle name="Total 16 7" xfId="3444" xr:uid="{00000000-0005-0000-0000-0000C60E0000}"/>
    <cellStyle name="Total 17" xfId="3445" xr:uid="{00000000-0005-0000-0000-0000C70E0000}"/>
    <cellStyle name="Total 17 2" xfId="3446" xr:uid="{00000000-0005-0000-0000-0000C80E0000}"/>
    <cellStyle name="Total 17 3" xfId="3447" xr:uid="{00000000-0005-0000-0000-0000C90E0000}"/>
    <cellStyle name="Total 17 4" xfId="3448" xr:uid="{00000000-0005-0000-0000-0000CA0E0000}"/>
    <cellStyle name="Total 17 5" xfId="3449" xr:uid="{00000000-0005-0000-0000-0000CB0E0000}"/>
    <cellStyle name="Total 17 6" xfId="3450" xr:uid="{00000000-0005-0000-0000-0000CC0E0000}"/>
    <cellStyle name="Total 18" xfId="3451" xr:uid="{00000000-0005-0000-0000-0000CD0E0000}"/>
    <cellStyle name="Total 19" xfId="3452" xr:uid="{00000000-0005-0000-0000-0000CE0E0000}"/>
    <cellStyle name="Total 2" xfId="3453" xr:uid="{00000000-0005-0000-0000-0000CF0E0000}"/>
    <cellStyle name="Total 2 10" xfId="3454" xr:uid="{00000000-0005-0000-0000-0000D00E0000}"/>
    <cellStyle name="Total 2 11" xfId="3455" xr:uid="{00000000-0005-0000-0000-0000D10E0000}"/>
    <cellStyle name="Total 2 12" xfId="3456" xr:uid="{00000000-0005-0000-0000-0000D20E0000}"/>
    <cellStyle name="Total 2 13" xfId="3457" xr:uid="{00000000-0005-0000-0000-0000D30E0000}"/>
    <cellStyle name="Total 2 14" xfId="3458" xr:uid="{00000000-0005-0000-0000-0000D40E0000}"/>
    <cellStyle name="Total 2 15" xfId="3459" xr:uid="{00000000-0005-0000-0000-0000D50E0000}"/>
    <cellStyle name="Total 2 16" xfId="3460" xr:uid="{00000000-0005-0000-0000-0000D60E0000}"/>
    <cellStyle name="Total 2 17" xfId="3461" xr:uid="{00000000-0005-0000-0000-0000D70E0000}"/>
    <cellStyle name="Total 2 18" xfId="3462" xr:uid="{00000000-0005-0000-0000-0000D80E0000}"/>
    <cellStyle name="Total 2 19" xfId="3463" xr:uid="{00000000-0005-0000-0000-0000D90E0000}"/>
    <cellStyle name="Total 2 2" xfId="3464" xr:uid="{00000000-0005-0000-0000-0000DA0E0000}"/>
    <cellStyle name="Total 2 20" xfId="3822" xr:uid="{00000000-0005-0000-0000-0000DB0E0000}"/>
    <cellStyle name="Total 2 3" xfId="3465" xr:uid="{00000000-0005-0000-0000-0000DC0E0000}"/>
    <cellStyle name="Total 2 4" xfId="3466" xr:uid="{00000000-0005-0000-0000-0000DD0E0000}"/>
    <cellStyle name="Total 2 5" xfId="3467" xr:uid="{00000000-0005-0000-0000-0000DE0E0000}"/>
    <cellStyle name="Total 2 6" xfId="3468" xr:uid="{00000000-0005-0000-0000-0000DF0E0000}"/>
    <cellStyle name="Total 2 7" xfId="3469" xr:uid="{00000000-0005-0000-0000-0000E00E0000}"/>
    <cellStyle name="Total 2 8" xfId="3470" xr:uid="{00000000-0005-0000-0000-0000E10E0000}"/>
    <cellStyle name="Total 2 9" xfId="3471" xr:uid="{00000000-0005-0000-0000-0000E20E0000}"/>
    <cellStyle name="Total 20" xfId="3472" xr:uid="{00000000-0005-0000-0000-0000E30E0000}"/>
    <cellStyle name="Total 21" xfId="3473" xr:uid="{00000000-0005-0000-0000-0000E40E0000}"/>
    <cellStyle name="Total 22" xfId="3474" xr:uid="{00000000-0005-0000-0000-0000E50E0000}"/>
    <cellStyle name="Total 23" xfId="3475" xr:uid="{00000000-0005-0000-0000-0000E60E0000}"/>
    <cellStyle name="Total 24" xfId="3821" xr:uid="{00000000-0005-0000-0000-0000E70E0000}"/>
    <cellStyle name="Total 3" xfId="3476" xr:uid="{00000000-0005-0000-0000-0000E80E0000}"/>
    <cellStyle name="Total 3 2" xfId="3823" xr:uid="{00000000-0005-0000-0000-0000E90E0000}"/>
    <cellStyle name="Total 4" xfId="3477" xr:uid="{00000000-0005-0000-0000-0000EA0E0000}"/>
    <cellStyle name="Total 5" xfId="3478" xr:uid="{00000000-0005-0000-0000-0000EB0E0000}"/>
    <cellStyle name="Total 6" xfId="3479" xr:uid="{00000000-0005-0000-0000-0000EC0E0000}"/>
    <cellStyle name="Total 7" xfId="3480" xr:uid="{00000000-0005-0000-0000-0000ED0E0000}"/>
    <cellStyle name="Total 8" xfId="3481" xr:uid="{00000000-0005-0000-0000-0000EE0E0000}"/>
    <cellStyle name="Total 9" xfId="3482" xr:uid="{00000000-0005-0000-0000-0000EF0E0000}"/>
  </cellStyles>
  <dxfs count="169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strike val="0"/>
      </font>
      <numFmt numFmtId="0" formatCode="General"/>
    </dxf>
    <dxf>
      <font>
        <b/>
        <i/>
        <strike val="0"/>
      </font>
      <numFmt numFmtId="0" formatCode="General"/>
    </dxf>
    <dxf>
      <font>
        <b/>
        <i/>
        <strike val="0"/>
      </font>
      <numFmt numFmtId="0" formatCode="General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auto="1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solid">
          <bgColor theme="0" tint="-0.14996795556505021"/>
        </patternFill>
      </fill>
    </dxf>
    <dxf>
      <font>
        <color rgb="FFFFC000"/>
      </font>
      <numFmt numFmtId="179" formatCode="m/d/yyyy"/>
      <fill>
        <patternFill>
          <bgColor rgb="FFC00000"/>
        </patternFill>
      </fill>
    </dxf>
    <dxf>
      <font>
        <color theme="0"/>
      </font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auto="1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solid">
          <bgColor theme="0" tint="-0.14996795556505021"/>
        </patternFill>
      </fill>
    </dxf>
    <dxf>
      <font>
        <color rgb="FFFFC000"/>
      </font>
      <numFmt numFmtId="179" formatCode="m/d/yyyy"/>
      <fill>
        <patternFill>
          <bgColor rgb="FFC00000"/>
        </patternFill>
      </fill>
    </dxf>
    <dxf>
      <font>
        <color theme="0"/>
      </font>
    </dxf>
    <dxf>
      <font>
        <color rgb="FFFF0000"/>
      </font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rgb="FFFFFF00"/>
      </font>
      <fill>
        <patternFill>
          <bgColor rgb="FFFF0000"/>
        </patternFill>
      </fill>
    </dxf>
    <dxf>
      <font>
        <color rgb="FF00B050"/>
      </font>
      <fill>
        <patternFill>
          <bgColor rgb="FFFFFF99"/>
        </patternFill>
      </fill>
    </dxf>
    <dxf>
      <font>
        <color rgb="FF00B050"/>
      </font>
      <fill>
        <patternFill>
          <bgColor rgb="FFFFFF99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FFC000"/>
      </font>
      <fill>
        <patternFill>
          <bgColor theme="8"/>
        </patternFill>
      </fill>
    </dxf>
    <dxf>
      <font>
        <color theme="5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5</xdr:row>
      <xdr:rowOff>19050</xdr:rowOff>
    </xdr:from>
    <xdr:to>
      <xdr:col>7</xdr:col>
      <xdr:colOff>409575</xdr:colOff>
      <xdr:row>7</xdr:row>
      <xdr:rowOff>21487</xdr:rowOff>
    </xdr:to>
    <xdr:pic macro="[0]!Etiq1"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145732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20</xdr:row>
      <xdr:rowOff>19050</xdr:rowOff>
    </xdr:from>
    <xdr:to>
      <xdr:col>7</xdr:col>
      <xdr:colOff>419100</xdr:colOff>
      <xdr:row>22</xdr:row>
      <xdr:rowOff>21487</xdr:rowOff>
    </xdr:to>
    <xdr:pic macro="[0]!Etiq2"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725" y="23907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371475</xdr:colOff>
      <xdr:row>37</xdr:row>
      <xdr:rowOff>2436</xdr:rowOff>
    </xdr:to>
    <xdr:pic macro="[0]!Etiq3"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3051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50</xdr:row>
      <xdr:rowOff>0</xdr:rowOff>
    </xdr:from>
    <xdr:to>
      <xdr:col>7</xdr:col>
      <xdr:colOff>371475</xdr:colOff>
      <xdr:row>52</xdr:row>
      <xdr:rowOff>2437</xdr:rowOff>
    </xdr:to>
    <xdr:pic macro="[0]!Etiq4"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2386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65</xdr:row>
      <xdr:rowOff>0</xdr:rowOff>
    </xdr:from>
    <xdr:to>
      <xdr:col>7</xdr:col>
      <xdr:colOff>371475</xdr:colOff>
      <xdr:row>67</xdr:row>
      <xdr:rowOff>2437</xdr:rowOff>
    </xdr:to>
    <xdr:pic macro="[0]!Etiq5"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1720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371475</xdr:colOff>
      <xdr:row>82</xdr:row>
      <xdr:rowOff>2436</xdr:rowOff>
    </xdr:to>
    <xdr:pic macro="[0]!Etiq6">
      <xdr:nvPicPr>
        <xdr:cNvPr id="7" name="6 Ima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105525"/>
          <a:ext cx="371475" cy="34796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371475</xdr:colOff>
      <xdr:row>97</xdr:row>
      <xdr:rowOff>2436</xdr:rowOff>
    </xdr:to>
    <xdr:pic macro="[0]!Etiq7"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0389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371475</xdr:colOff>
      <xdr:row>112</xdr:row>
      <xdr:rowOff>2435</xdr:rowOff>
    </xdr:to>
    <xdr:pic macro="[0]!Etiq8">
      <xdr:nvPicPr>
        <xdr:cNvPr id="9" name="8 Image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9724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7</xdr:col>
      <xdr:colOff>371475</xdr:colOff>
      <xdr:row>127</xdr:row>
      <xdr:rowOff>2437</xdr:rowOff>
    </xdr:to>
    <xdr:pic macro="[0]!Etiq9">
      <xdr:nvPicPr>
        <xdr:cNvPr id="10" name="9 Image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9058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7</xdr:col>
      <xdr:colOff>371475</xdr:colOff>
      <xdr:row>142</xdr:row>
      <xdr:rowOff>2437</xdr:rowOff>
    </xdr:to>
    <xdr:pic macro="[0]!Etiq10">
      <xdr:nvPicPr>
        <xdr:cNvPr id="11" name="10 Image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83932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7</xdr:col>
      <xdr:colOff>371475</xdr:colOff>
      <xdr:row>157</xdr:row>
      <xdr:rowOff>2437</xdr:rowOff>
    </xdr:to>
    <xdr:pic macro="[0]!Etiq11">
      <xdr:nvPicPr>
        <xdr:cNvPr id="12" name="11 Imagen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7727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7</xdr:col>
      <xdr:colOff>371475</xdr:colOff>
      <xdr:row>172</xdr:row>
      <xdr:rowOff>2437</xdr:rowOff>
    </xdr:to>
    <xdr:pic macro="[0]!Etiq12">
      <xdr:nvPicPr>
        <xdr:cNvPr id="13" name="12 Imagen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17062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7</xdr:col>
      <xdr:colOff>371475</xdr:colOff>
      <xdr:row>187</xdr:row>
      <xdr:rowOff>2436</xdr:rowOff>
    </xdr:to>
    <xdr:pic macro="[0]!Etiq13">
      <xdr:nvPicPr>
        <xdr:cNvPr id="14" name="13 Image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26396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7</xdr:col>
      <xdr:colOff>371475</xdr:colOff>
      <xdr:row>202</xdr:row>
      <xdr:rowOff>2435</xdr:rowOff>
    </xdr:to>
    <xdr:pic macro="[0]!Etiq14"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3573125"/>
          <a:ext cx="371475" cy="34796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7</xdr:col>
      <xdr:colOff>371475</xdr:colOff>
      <xdr:row>217</xdr:row>
      <xdr:rowOff>2436</xdr:rowOff>
    </xdr:to>
    <xdr:pic macro="[0]!Etiq15">
      <xdr:nvPicPr>
        <xdr:cNvPr id="16" name="15 Imagen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4506575"/>
          <a:ext cx="371475" cy="34796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7</xdr:col>
      <xdr:colOff>371475</xdr:colOff>
      <xdr:row>232</xdr:row>
      <xdr:rowOff>2437</xdr:rowOff>
    </xdr:to>
    <xdr:pic macro="[0]!Etiq16">
      <xdr:nvPicPr>
        <xdr:cNvPr id="17" name="16 Imagen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54400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7</xdr:col>
      <xdr:colOff>371475</xdr:colOff>
      <xdr:row>247</xdr:row>
      <xdr:rowOff>2436</xdr:rowOff>
    </xdr:to>
    <xdr:pic macro="[0]!Etiq17">
      <xdr:nvPicPr>
        <xdr:cNvPr id="18" name="17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63734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260</xdr:row>
      <xdr:rowOff>0</xdr:rowOff>
    </xdr:from>
    <xdr:to>
      <xdr:col>7</xdr:col>
      <xdr:colOff>371475</xdr:colOff>
      <xdr:row>262</xdr:row>
      <xdr:rowOff>2438</xdr:rowOff>
    </xdr:to>
    <xdr:pic macro="[0]!Etiq18">
      <xdr:nvPicPr>
        <xdr:cNvPr id="19" name="18 Image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730692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275</xdr:row>
      <xdr:rowOff>0</xdr:rowOff>
    </xdr:from>
    <xdr:to>
      <xdr:col>7</xdr:col>
      <xdr:colOff>371475</xdr:colOff>
      <xdr:row>277</xdr:row>
      <xdr:rowOff>2436</xdr:rowOff>
    </xdr:to>
    <xdr:pic macro="[0]!Etiq19">
      <xdr:nvPicPr>
        <xdr:cNvPr id="20" name="19 Imagen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82403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290</xdr:row>
      <xdr:rowOff>0</xdr:rowOff>
    </xdr:from>
    <xdr:to>
      <xdr:col>7</xdr:col>
      <xdr:colOff>371475</xdr:colOff>
      <xdr:row>292</xdr:row>
      <xdr:rowOff>2436</xdr:rowOff>
    </xdr:to>
    <xdr:pic macro="[0]!Etiq20">
      <xdr:nvPicPr>
        <xdr:cNvPr id="21" name="20 Image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91738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305</xdr:row>
      <xdr:rowOff>0</xdr:rowOff>
    </xdr:from>
    <xdr:to>
      <xdr:col>7</xdr:col>
      <xdr:colOff>371475</xdr:colOff>
      <xdr:row>307</xdr:row>
      <xdr:rowOff>2437</xdr:rowOff>
    </xdr:to>
    <xdr:pic macro="[0]!Etiq21">
      <xdr:nvPicPr>
        <xdr:cNvPr id="22" name="21 Image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01072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320</xdr:row>
      <xdr:rowOff>0</xdr:rowOff>
    </xdr:from>
    <xdr:to>
      <xdr:col>7</xdr:col>
      <xdr:colOff>371475</xdr:colOff>
      <xdr:row>322</xdr:row>
      <xdr:rowOff>2437</xdr:rowOff>
    </xdr:to>
    <xdr:pic macro="[0]!Etiq22">
      <xdr:nvPicPr>
        <xdr:cNvPr id="23" name="22 Image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10407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335</xdr:row>
      <xdr:rowOff>0</xdr:rowOff>
    </xdr:from>
    <xdr:to>
      <xdr:col>7</xdr:col>
      <xdr:colOff>371475</xdr:colOff>
      <xdr:row>337</xdr:row>
      <xdr:rowOff>2436</xdr:rowOff>
    </xdr:to>
    <xdr:pic macro="[0]!Etiq23">
      <xdr:nvPicPr>
        <xdr:cNvPr id="24" name="23 Imagen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1974175"/>
          <a:ext cx="371475" cy="34796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350</xdr:row>
      <xdr:rowOff>0</xdr:rowOff>
    </xdr:from>
    <xdr:to>
      <xdr:col>7</xdr:col>
      <xdr:colOff>371475</xdr:colOff>
      <xdr:row>352</xdr:row>
      <xdr:rowOff>2437</xdr:rowOff>
    </xdr:to>
    <xdr:pic macro="[0]!Etiq24">
      <xdr:nvPicPr>
        <xdr:cNvPr id="25" name="24 Image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29076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365</xdr:row>
      <xdr:rowOff>0</xdr:rowOff>
    </xdr:from>
    <xdr:to>
      <xdr:col>7</xdr:col>
      <xdr:colOff>371475</xdr:colOff>
      <xdr:row>367</xdr:row>
      <xdr:rowOff>2436</xdr:rowOff>
    </xdr:to>
    <xdr:pic macro="[0]!Etiq25">
      <xdr:nvPicPr>
        <xdr:cNvPr id="26" name="25 Imagen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38410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380</xdr:row>
      <xdr:rowOff>0</xdr:rowOff>
    </xdr:from>
    <xdr:to>
      <xdr:col>7</xdr:col>
      <xdr:colOff>371475</xdr:colOff>
      <xdr:row>382</xdr:row>
      <xdr:rowOff>2435</xdr:rowOff>
    </xdr:to>
    <xdr:pic macro="[0]!Etiq26">
      <xdr:nvPicPr>
        <xdr:cNvPr id="27" name="26 Imagen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47745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395</xdr:row>
      <xdr:rowOff>0</xdr:rowOff>
    </xdr:from>
    <xdr:to>
      <xdr:col>7</xdr:col>
      <xdr:colOff>371475</xdr:colOff>
      <xdr:row>397</xdr:row>
      <xdr:rowOff>2438</xdr:rowOff>
    </xdr:to>
    <xdr:pic macro="[0]!Etiq27">
      <xdr:nvPicPr>
        <xdr:cNvPr id="28" name="27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57079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410</xdr:row>
      <xdr:rowOff>0</xdr:rowOff>
    </xdr:from>
    <xdr:to>
      <xdr:col>7</xdr:col>
      <xdr:colOff>371475</xdr:colOff>
      <xdr:row>412</xdr:row>
      <xdr:rowOff>2436</xdr:rowOff>
    </xdr:to>
    <xdr:pic macro="[0]!Etiq28">
      <xdr:nvPicPr>
        <xdr:cNvPr id="29" name="28 Imagen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66414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425</xdr:row>
      <xdr:rowOff>0</xdr:rowOff>
    </xdr:from>
    <xdr:to>
      <xdr:col>7</xdr:col>
      <xdr:colOff>371475</xdr:colOff>
      <xdr:row>427</xdr:row>
      <xdr:rowOff>2437</xdr:rowOff>
    </xdr:to>
    <xdr:pic macro="[0]!Etiq29">
      <xdr:nvPicPr>
        <xdr:cNvPr id="30" name="29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75748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440</xdr:row>
      <xdr:rowOff>0</xdr:rowOff>
    </xdr:from>
    <xdr:to>
      <xdr:col>7</xdr:col>
      <xdr:colOff>371475</xdr:colOff>
      <xdr:row>442</xdr:row>
      <xdr:rowOff>2436</xdr:rowOff>
    </xdr:to>
    <xdr:pic macro="[0]!Etiq30">
      <xdr:nvPicPr>
        <xdr:cNvPr id="31" name="30 Image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85083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455</xdr:row>
      <xdr:rowOff>0</xdr:rowOff>
    </xdr:from>
    <xdr:to>
      <xdr:col>7</xdr:col>
      <xdr:colOff>371475</xdr:colOff>
      <xdr:row>457</xdr:row>
      <xdr:rowOff>2435</xdr:rowOff>
    </xdr:to>
    <xdr:pic macro="[0]!Etiq31"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9441775"/>
          <a:ext cx="371475" cy="34796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470</xdr:row>
      <xdr:rowOff>0</xdr:rowOff>
    </xdr:from>
    <xdr:to>
      <xdr:col>7</xdr:col>
      <xdr:colOff>371475</xdr:colOff>
      <xdr:row>472</xdr:row>
      <xdr:rowOff>2435</xdr:rowOff>
    </xdr:to>
    <xdr:pic macro="[0]!Etiq32">
      <xdr:nvPicPr>
        <xdr:cNvPr id="33" name="32 Imagen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375225"/>
          <a:ext cx="371475" cy="34796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485</xdr:row>
      <xdr:rowOff>0</xdr:rowOff>
    </xdr:from>
    <xdr:to>
      <xdr:col>7</xdr:col>
      <xdr:colOff>371475</xdr:colOff>
      <xdr:row>487</xdr:row>
      <xdr:rowOff>2437</xdr:rowOff>
    </xdr:to>
    <xdr:pic macro="[0]!Etiq33"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30867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500</xdr:row>
      <xdr:rowOff>0</xdr:rowOff>
    </xdr:from>
    <xdr:to>
      <xdr:col>7</xdr:col>
      <xdr:colOff>371475</xdr:colOff>
      <xdr:row>502</xdr:row>
      <xdr:rowOff>2437</xdr:rowOff>
    </xdr:to>
    <xdr:pic macro="[0]!Etiq34">
      <xdr:nvPicPr>
        <xdr:cNvPr id="35" name="34 Imagen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22421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515</xdr:row>
      <xdr:rowOff>0</xdr:rowOff>
    </xdr:from>
    <xdr:to>
      <xdr:col>7</xdr:col>
      <xdr:colOff>371475</xdr:colOff>
      <xdr:row>517</xdr:row>
      <xdr:rowOff>2438</xdr:rowOff>
    </xdr:to>
    <xdr:pic macro="[0]!Etiq35">
      <xdr:nvPicPr>
        <xdr:cNvPr id="36" name="35 Imagen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31755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530</xdr:row>
      <xdr:rowOff>0</xdr:rowOff>
    </xdr:from>
    <xdr:to>
      <xdr:col>7</xdr:col>
      <xdr:colOff>371475</xdr:colOff>
      <xdr:row>532</xdr:row>
      <xdr:rowOff>2437</xdr:rowOff>
    </xdr:to>
    <xdr:pic macro="[0]!Etiq36">
      <xdr:nvPicPr>
        <xdr:cNvPr id="37" name="36 Imagen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410902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545</xdr:row>
      <xdr:rowOff>0</xdr:rowOff>
    </xdr:from>
    <xdr:to>
      <xdr:col>7</xdr:col>
      <xdr:colOff>371475</xdr:colOff>
      <xdr:row>547</xdr:row>
      <xdr:rowOff>2436</xdr:rowOff>
    </xdr:to>
    <xdr:pic macro="[0]!Etiq37">
      <xdr:nvPicPr>
        <xdr:cNvPr id="38" name="37 Imagen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50424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560</xdr:row>
      <xdr:rowOff>0</xdr:rowOff>
    </xdr:from>
    <xdr:to>
      <xdr:col>7</xdr:col>
      <xdr:colOff>371475</xdr:colOff>
      <xdr:row>562</xdr:row>
      <xdr:rowOff>2438</xdr:rowOff>
    </xdr:to>
    <xdr:pic macro="[0]!Etiq38">
      <xdr:nvPicPr>
        <xdr:cNvPr id="39" name="38 Imagen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597592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575</xdr:row>
      <xdr:rowOff>0</xdr:rowOff>
    </xdr:from>
    <xdr:to>
      <xdr:col>7</xdr:col>
      <xdr:colOff>371475</xdr:colOff>
      <xdr:row>577</xdr:row>
      <xdr:rowOff>2437</xdr:rowOff>
    </xdr:to>
    <xdr:pic macro="[0]!Etiq39">
      <xdr:nvPicPr>
        <xdr:cNvPr id="40" name="39 Image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69093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590</xdr:row>
      <xdr:rowOff>0</xdr:rowOff>
    </xdr:from>
    <xdr:to>
      <xdr:col>7</xdr:col>
      <xdr:colOff>371475</xdr:colOff>
      <xdr:row>592</xdr:row>
      <xdr:rowOff>2437</xdr:rowOff>
    </xdr:to>
    <xdr:pic macro="[0]!Etiq40">
      <xdr:nvPicPr>
        <xdr:cNvPr id="41" name="40 Imagen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7842825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605</xdr:row>
      <xdr:rowOff>0</xdr:rowOff>
    </xdr:from>
    <xdr:to>
      <xdr:col>7</xdr:col>
      <xdr:colOff>371475</xdr:colOff>
      <xdr:row>607</xdr:row>
      <xdr:rowOff>2438</xdr:rowOff>
    </xdr:to>
    <xdr:pic macro="[0]!Etiq41">
      <xdr:nvPicPr>
        <xdr:cNvPr id="42" name="41 Image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87762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620</xdr:row>
      <xdr:rowOff>0</xdr:rowOff>
    </xdr:from>
    <xdr:to>
      <xdr:col>7</xdr:col>
      <xdr:colOff>371475</xdr:colOff>
      <xdr:row>622</xdr:row>
      <xdr:rowOff>2437</xdr:rowOff>
    </xdr:to>
    <xdr:pic macro="[0]!Etiq42">
      <xdr:nvPicPr>
        <xdr:cNvPr id="43" name="42 Imagen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970972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635</xdr:row>
      <xdr:rowOff>0</xdr:rowOff>
    </xdr:from>
    <xdr:to>
      <xdr:col>7</xdr:col>
      <xdr:colOff>371475</xdr:colOff>
      <xdr:row>637</xdr:row>
      <xdr:rowOff>2437</xdr:rowOff>
    </xdr:to>
    <xdr:pic macro="[0]!Etiq43">
      <xdr:nvPicPr>
        <xdr:cNvPr id="44" name="43 Image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0643175"/>
          <a:ext cx="371475" cy="3479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650</xdr:row>
      <xdr:rowOff>0</xdr:rowOff>
    </xdr:from>
    <xdr:to>
      <xdr:col>7</xdr:col>
      <xdr:colOff>371475</xdr:colOff>
      <xdr:row>652</xdr:row>
      <xdr:rowOff>2438</xdr:rowOff>
    </xdr:to>
    <xdr:pic macro="[0]!Etiq44">
      <xdr:nvPicPr>
        <xdr:cNvPr id="45" name="44 Imagen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1576625"/>
          <a:ext cx="371475" cy="3479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5</xdr:row>
      <xdr:rowOff>19050</xdr:rowOff>
    </xdr:from>
    <xdr:to>
      <xdr:col>7</xdr:col>
      <xdr:colOff>409575</xdr:colOff>
      <xdr:row>7</xdr:row>
      <xdr:rowOff>36142</xdr:rowOff>
    </xdr:to>
    <xdr:pic macro="[0]!Etiq1"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8763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36</xdr:row>
      <xdr:rowOff>19050</xdr:rowOff>
    </xdr:from>
    <xdr:to>
      <xdr:col>7</xdr:col>
      <xdr:colOff>419100</xdr:colOff>
      <xdr:row>38</xdr:row>
      <xdr:rowOff>36141</xdr:rowOff>
    </xdr:to>
    <xdr:pic macro="[0]!Etiq2"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725" y="34480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371475</xdr:colOff>
      <xdr:row>69</xdr:row>
      <xdr:rowOff>17090</xdr:rowOff>
    </xdr:to>
    <xdr:pic macro="[0]!Etiq3">
      <xdr:nvPicPr>
        <xdr:cNvPr id="4" name="3 Image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0007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7</xdr:col>
      <xdr:colOff>371475</xdr:colOff>
      <xdr:row>100</xdr:row>
      <xdr:rowOff>17091</xdr:rowOff>
    </xdr:to>
    <xdr:pic macro="[0]!Etiq4">
      <xdr:nvPicPr>
        <xdr:cNvPr id="5" name="4 Imagen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5725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7</xdr:col>
      <xdr:colOff>371475</xdr:colOff>
      <xdr:row>131</xdr:row>
      <xdr:rowOff>17090</xdr:rowOff>
    </xdr:to>
    <xdr:pic macro="[0]!Etiq5">
      <xdr:nvPicPr>
        <xdr:cNvPr id="6" name="5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11442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7</xdr:col>
      <xdr:colOff>371475</xdr:colOff>
      <xdr:row>162</xdr:row>
      <xdr:rowOff>17090</xdr:rowOff>
    </xdr:to>
    <xdr:pic macro="[0]!Etiq6">
      <xdr:nvPicPr>
        <xdr:cNvPr id="7" name="6 Image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371600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7</xdr:col>
      <xdr:colOff>371475</xdr:colOff>
      <xdr:row>193</xdr:row>
      <xdr:rowOff>17089</xdr:rowOff>
    </xdr:to>
    <xdr:pic macro="[0]!Etiq7"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62877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222</xdr:row>
      <xdr:rowOff>0</xdr:rowOff>
    </xdr:from>
    <xdr:to>
      <xdr:col>7</xdr:col>
      <xdr:colOff>371475</xdr:colOff>
      <xdr:row>224</xdr:row>
      <xdr:rowOff>17090</xdr:rowOff>
    </xdr:to>
    <xdr:pic macro="[0]!Etiq8">
      <xdr:nvPicPr>
        <xdr:cNvPr id="9" name="8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8859500"/>
          <a:ext cx="371475" cy="3453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253</xdr:row>
      <xdr:rowOff>0</xdr:rowOff>
    </xdr:from>
    <xdr:to>
      <xdr:col>7</xdr:col>
      <xdr:colOff>371475</xdr:colOff>
      <xdr:row>255</xdr:row>
      <xdr:rowOff>17091</xdr:rowOff>
    </xdr:to>
    <xdr:pic macro="[0]!Etiq9">
      <xdr:nvPicPr>
        <xdr:cNvPr id="10" name="9 Image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14312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284</xdr:row>
      <xdr:rowOff>0</xdr:rowOff>
    </xdr:from>
    <xdr:to>
      <xdr:col>7</xdr:col>
      <xdr:colOff>371475</xdr:colOff>
      <xdr:row>286</xdr:row>
      <xdr:rowOff>17091</xdr:rowOff>
    </xdr:to>
    <xdr:pic macro="[0]!Etiq10"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40030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315</xdr:row>
      <xdr:rowOff>0</xdr:rowOff>
    </xdr:from>
    <xdr:to>
      <xdr:col>7</xdr:col>
      <xdr:colOff>371475</xdr:colOff>
      <xdr:row>317</xdr:row>
      <xdr:rowOff>17091</xdr:rowOff>
    </xdr:to>
    <xdr:pic macro="[0]!Etiq11">
      <xdr:nvPicPr>
        <xdr:cNvPr id="12" name="11 Image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65747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346</xdr:row>
      <xdr:rowOff>0</xdr:rowOff>
    </xdr:from>
    <xdr:to>
      <xdr:col>7</xdr:col>
      <xdr:colOff>371475</xdr:colOff>
      <xdr:row>348</xdr:row>
      <xdr:rowOff>17090</xdr:rowOff>
    </xdr:to>
    <xdr:pic macro="[0]!Etiq12">
      <xdr:nvPicPr>
        <xdr:cNvPr id="13" name="12 Imagen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91465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377</xdr:row>
      <xdr:rowOff>0</xdr:rowOff>
    </xdr:from>
    <xdr:to>
      <xdr:col>7</xdr:col>
      <xdr:colOff>371475</xdr:colOff>
      <xdr:row>379</xdr:row>
      <xdr:rowOff>17090</xdr:rowOff>
    </xdr:to>
    <xdr:pic macro="[0]!Etiq13">
      <xdr:nvPicPr>
        <xdr:cNvPr id="14" name="13 Image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7182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408</xdr:row>
      <xdr:rowOff>0</xdr:rowOff>
    </xdr:from>
    <xdr:to>
      <xdr:col>7</xdr:col>
      <xdr:colOff>371475</xdr:colOff>
      <xdr:row>410</xdr:row>
      <xdr:rowOff>17088</xdr:rowOff>
    </xdr:to>
    <xdr:pic macro="[0]!Etiq14">
      <xdr:nvPicPr>
        <xdr:cNvPr id="15" name="14 Image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4290000"/>
          <a:ext cx="371475" cy="3453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439</xdr:row>
      <xdr:rowOff>0</xdr:rowOff>
    </xdr:from>
    <xdr:to>
      <xdr:col>7</xdr:col>
      <xdr:colOff>371475</xdr:colOff>
      <xdr:row>441</xdr:row>
      <xdr:rowOff>17090</xdr:rowOff>
    </xdr:to>
    <xdr:pic macro="[0]!Etiq15">
      <xdr:nvPicPr>
        <xdr:cNvPr id="16" name="15 Imagen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68617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470</xdr:row>
      <xdr:rowOff>0</xdr:rowOff>
    </xdr:from>
    <xdr:to>
      <xdr:col>7</xdr:col>
      <xdr:colOff>371475</xdr:colOff>
      <xdr:row>472</xdr:row>
      <xdr:rowOff>17090</xdr:rowOff>
    </xdr:to>
    <xdr:pic macro="[0]!Etiq16">
      <xdr:nvPicPr>
        <xdr:cNvPr id="17" name="16 Image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94335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501</xdr:row>
      <xdr:rowOff>0</xdr:rowOff>
    </xdr:from>
    <xdr:to>
      <xdr:col>7</xdr:col>
      <xdr:colOff>371475</xdr:colOff>
      <xdr:row>503</xdr:row>
      <xdr:rowOff>17091</xdr:rowOff>
    </xdr:to>
    <xdr:pic macro="[0]!Etiq17">
      <xdr:nvPicPr>
        <xdr:cNvPr id="18" name="17 Imagen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20052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532</xdr:row>
      <xdr:rowOff>0</xdr:rowOff>
    </xdr:from>
    <xdr:to>
      <xdr:col>7</xdr:col>
      <xdr:colOff>371475</xdr:colOff>
      <xdr:row>534</xdr:row>
      <xdr:rowOff>17092</xdr:rowOff>
    </xdr:to>
    <xdr:pic macro="[0]!Etiq18">
      <xdr:nvPicPr>
        <xdr:cNvPr id="19" name="18 Imagen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4577000"/>
          <a:ext cx="371475" cy="3453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563</xdr:row>
      <xdr:rowOff>0</xdr:rowOff>
    </xdr:from>
    <xdr:to>
      <xdr:col>7</xdr:col>
      <xdr:colOff>371475</xdr:colOff>
      <xdr:row>565</xdr:row>
      <xdr:rowOff>17091</xdr:rowOff>
    </xdr:to>
    <xdr:pic macro="[0]!Etiq19">
      <xdr:nvPicPr>
        <xdr:cNvPr id="20" name="19 Imagen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71487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594</xdr:row>
      <xdr:rowOff>0</xdr:rowOff>
    </xdr:from>
    <xdr:to>
      <xdr:col>7</xdr:col>
      <xdr:colOff>371475</xdr:colOff>
      <xdr:row>596</xdr:row>
      <xdr:rowOff>17090</xdr:rowOff>
    </xdr:to>
    <xdr:pic macro="[0]!Etiq20">
      <xdr:nvPicPr>
        <xdr:cNvPr id="21" name="20 Imagen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972050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625</xdr:row>
      <xdr:rowOff>0</xdr:rowOff>
    </xdr:from>
    <xdr:to>
      <xdr:col>7</xdr:col>
      <xdr:colOff>371475</xdr:colOff>
      <xdr:row>627</xdr:row>
      <xdr:rowOff>17091</xdr:rowOff>
    </xdr:to>
    <xdr:pic macro="[0]!Etiq21">
      <xdr:nvPicPr>
        <xdr:cNvPr id="22" name="21 Image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22922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656</xdr:row>
      <xdr:rowOff>0</xdr:rowOff>
    </xdr:from>
    <xdr:to>
      <xdr:col>7</xdr:col>
      <xdr:colOff>371475</xdr:colOff>
      <xdr:row>658</xdr:row>
      <xdr:rowOff>17091</xdr:rowOff>
    </xdr:to>
    <xdr:pic macro="[0]!Etiq22">
      <xdr:nvPicPr>
        <xdr:cNvPr id="23" name="22 Imagen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48640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687</xdr:row>
      <xdr:rowOff>0</xdr:rowOff>
    </xdr:from>
    <xdr:to>
      <xdr:col>7</xdr:col>
      <xdr:colOff>371475</xdr:colOff>
      <xdr:row>689</xdr:row>
      <xdr:rowOff>17088</xdr:rowOff>
    </xdr:to>
    <xdr:pic macro="[0]!Etiq23">
      <xdr:nvPicPr>
        <xdr:cNvPr id="24" name="23 Imagen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74357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718</xdr:row>
      <xdr:rowOff>0</xdr:rowOff>
    </xdr:from>
    <xdr:to>
      <xdr:col>7</xdr:col>
      <xdr:colOff>371475</xdr:colOff>
      <xdr:row>720</xdr:row>
      <xdr:rowOff>17091</xdr:rowOff>
    </xdr:to>
    <xdr:pic macro="[0]!Etiq24">
      <xdr:nvPicPr>
        <xdr:cNvPr id="25" name="24 Imagen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00075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749</xdr:row>
      <xdr:rowOff>0</xdr:rowOff>
    </xdr:from>
    <xdr:to>
      <xdr:col>7</xdr:col>
      <xdr:colOff>371475</xdr:colOff>
      <xdr:row>751</xdr:row>
      <xdr:rowOff>17088</xdr:rowOff>
    </xdr:to>
    <xdr:pic macro="[0]!Etiq25">
      <xdr:nvPicPr>
        <xdr:cNvPr id="26" name="25 Imagen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25792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780</xdr:row>
      <xdr:rowOff>0</xdr:rowOff>
    </xdr:from>
    <xdr:to>
      <xdr:col>7</xdr:col>
      <xdr:colOff>371475</xdr:colOff>
      <xdr:row>782</xdr:row>
      <xdr:rowOff>17090</xdr:rowOff>
    </xdr:to>
    <xdr:pic macro="[0]!Etiq26">
      <xdr:nvPicPr>
        <xdr:cNvPr id="27" name="26 Image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5151000"/>
          <a:ext cx="371475" cy="3453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811</xdr:row>
      <xdr:rowOff>0</xdr:rowOff>
    </xdr:from>
    <xdr:to>
      <xdr:col>7</xdr:col>
      <xdr:colOff>371475</xdr:colOff>
      <xdr:row>813</xdr:row>
      <xdr:rowOff>17092</xdr:rowOff>
    </xdr:to>
    <xdr:pic macro="[0]!Etiq27">
      <xdr:nvPicPr>
        <xdr:cNvPr id="28" name="27 Imagen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7722750"/>
          <a:ext cx="371475" cy="3453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842</xdr:row>
      <xdr:rowOff>0</xdr:rowOff>
    </xdr:from>
    <xdr:to>
      <xdr:col>7</xdr:col>
      <xdr:colOff>371475</xdr:colOff>
      <xdr:row>844</xdr:row>
      <xdr:rowOff>17091</xdr:rowOff>
    </xdr:to>
    <xdr:pic macro="[0]!Etiq28">
      <xdr:nvPicPr>
        <xdr:cNvPr id="29" name="28 Imagen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029450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873</xdr:row>
      <xdr:rowOff>0</xdr:rowOff>
    </xdr:from>
    <xdr:to>
      <xdr:col>7</xdr:col>
      <xdr:colOff>371475</xdr:colOff>
      <xdr:row>875</xdr:row>
      <xdr:rowOff>17091</xdr:rowOff>
    </xdr:to>
    <xdr:pic macro="[0]!Etiq29">
      <xdr:nvPicPr>
        <xdr:cNvPr id="30" name="29 Imagen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28662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904</xdr:row>
      <xdr:rowOff>0</xdr:rowOff>
    </xdr:from>
    <xdr:to>
      <xdr:col>7</xdr:col>
      <xdr:colOff>371475</xdr:colOff>
      <xdr:row>906</xdr:row>
      <xdr:rowOff>17090</xdr:rowOff>
    </xdr:to>
    <xdr:pic macro="[0]!Etiq30">
      <xdr:nvPicPr>
        <xdr:cNvPr id="31" name="30 Imagen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543800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935</xdr:row>
      <xdr:rowOff>0</xdr:rowOff>
    </xdr:from>
    <xdr:to>
      <xdr:col>7</xdr:col>
      <xdr:colOff>371475</xdr:colOff>
      <xdr:row>937</xdr:row>
      <xdr:rowOff>17089</xdr:rowOff>
    </xdr:to>
    <xdr:pic macro="[0]!Etiq31">
      <xdr:nvPicPr>
        <xdr:cNvPr id="32" name="31 Imagen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8009750"/>
          <a:ext cx="371475" cy="3453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966</xdr:row>
      <xdr:rowOff>0</xdr:rowOff>
    </xdr:from>
    <xdr:to>
      <xdr:col>7</xdr:col>
      <xdr:colOff>371475</xdr:colOff>
      <xdr:row>968</xdr:row>
      <xdr:rowOff>17089</xdr:rowOff>
    </xdr:to>
    <xdr:pic macro="[0]!Etiq32">
      <xdr:nvPicPr>
        <xdr:cNvPr id="33" name="32 Imagen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0581500"/>
          <a:ext cx="371475" cy="3453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997</xdr:row>
      <xdr:rowOff>0</xdr:rowOff>
    </xdr:from>
    <xdr:to>
      <xdr:col>7</xdr:col>
      <xdr:colOff>371475</xdr:colOff>
      <xdr:row>999</xdr:row>
      <xdr:rowOff>17091</xdr:rowOff>
    </xdr:to>
    <xdr:pic macro="[0]!Etiq33">
      <xdr:nvPicPr>
        <xdr:cNvPr id="34" name="33 Imagen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31532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1028</xdr:row>
      <xdr:rowOff>0</xdr:rowOff>
    </xdr:from>
    <xdr:to>
      <xdr:col>7</xdr:col>
      <xdr:colOff>371475</xdr:colOff>
      <xdr:row>1030</xdr:row>
      <xdr:rowOff>17090</xdr:rowOff>
    </xdr:to>
    <xdr:pic macro="[0]!Etiq34">
      <xdr:nvPicPr>
        <xdr:cNvPr id="35" name="34 Imagen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57250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1059</xdr:row>
      <xdr:rowOff>0</xdr:rowOff>
    </xdr:from>
    <xdr:to>
      <xdr:col>7</xdr:col>
      <xdr:colOff>371475</xdr:colOff>
      <xdr:row>1061</xdr:row>
      <xdr:rowOff>17092</xdr:rowOff>
    </xdr:to>
    <xdr:pic macro="[0]!Etiq35">
      <xdr:nvPicPr>
        <xdr:cNvPr id="36" name="35 Imagen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8296750"/>
          <a:ext cx="371475" cy="3453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1090</xdr:row>
      <xdr:rowOff>0</xdr:rowOff>
    </xdr:from>
    <xdr:to>
      <xdr:col>7</xdr:col>
      <xdr:colOff>371475</xdr:colOff>
      <xdr:row>1092</xdr:row>
      <xdr:rowOff>17089</xdr:rowOff>
    </xdr:to>
    <xdr:pic macro="[0]!Etiq36">
      <xdr:nvPicPr>
        <xdr:cNvPr id="37" name="36 Imagen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08685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1121</xdr:row>
      <xdr:rowOff>0</xdr:rowOff>
    </xdr:from>
    <xdr:to>
      <xdr:col>7</xdr:col>
      <xdr:colOff>371475</xdr:colOff>
      <xdr:row>1123</xdr:row>
      <xdr:rowOff>17091</xdr:rowOff>
    </xdr:to>
    <xdr:pic macro="[0]!Etiq37">
      <xdr:nvPicPr>
        <xdr:cNvPr id="38" name="37 Imagen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3440250"/>
          <a:ext cx="371475" cy="3453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1152</xdr:row>
      <xdr:rowOff>0</xdr:rowOff>
    </xdr:from>
    <xdr:to>
      <xdr:col>7</xdr:col>
      <xdr:colOff>371475</xdr:colOff>
      <xdr:row>1154</xdr:row>
      <xdr:rowOff>17091</xdr:rowOff>
    </xdr:to>
    <xdr:pic macro="[0]!Etiq38">
      <xdr:nvPicPr>
        <xdr:cNvPr id="39" name="38 Imagen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6012000"/>
          <a:ext cx="371475" cy="3453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1183</xdr:row>
      <xdr:rowOff>0</xdr:rowOff>
    </xdr:from>
    <xdr:to>
      <xdr:col>7</xdr:col>
      <xdr:colOff>371475</xdr:colOff>
      <xdr:row>1185</xdr:row>
      <xdr:rowOff>17092</xdr:rowOff>
    </xdr:to>
    <xdr:pic macro="[0]!Etiq39">
      <xdr:nvPicPr>
        <xdr:cNvPr id="40" name="39 Imagen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85837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1214</xdr:row>
      <xdr:rowOff>0</xdr:rowOff>
    </xdr:from>
    <xdr:to>
      <xdr:col>7</xdr:col>
      <xdr:colOff>371475</xdr:colOff>
      <xdr:row>1216</xdr:row>
      <xdr:rowOff>17091</xdr:rowOff>
    </xdr:to>
    <xdr:pic macro="[0]!Etiq40">
      <xdr:nvPicPr>
        <xdr:cNvPr id="41" name="40 Imagen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11555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1245</xdr:row>
      <xdr:rowOff>0</xdr:rowOff>
    </xdr:from>
    <xdr:to>
      <xdr:col>7</xdr:col>
      <xdr:colOff>371475</xdr:colOff>
      <xdr:row>1247</xdr:row>
      <xdr:rowOff>17092</xdr:rowOff>
    </xdr:to>
    <xdr:pic macro="[0]!Etiq41">
      <xdr:nvPicPr>
        <xdr:cNvPr id="42" name="41 Image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3727250"/>
          <a:ext cx="371475" cy="3453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1276</xdr:row>
      <xdr:rowOff>0</xdr:rowOff>
    </xdr:from>
    <xdr:to>
      <xdr:col>7</xdr:col>
      <xdr:colOff>371475</xdr:colOff>
      <xdr:row>1278</xdr:row>
      <xdr:rowOff>17091</xdr:rowOff>
    </xdr:to>
    <xdr:pic macro="[0]!Etiq42">
      <xdr:nvPicPr>
        <xdr:cNvPr id="43" name="42 Imagen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629900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1307</xdr:row>
      <xdr:rowOff>0</xdr:rowOff>
    </xdr:from>
    <xdr:to>
      <xdr:col>7</xdr:col>
      <xdr:colOff>371475</xdr:colOff>
      <xdr:row>1309</xdr:row>
      <xdr:rowOff>17090</xdr:rowOff>
    </xdr:to>
    <xdr:pic macro="[0]!Etiq43">
      <xdr:nvPicPr>
        <xdr:cNvPr id="44" name="43 Image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8870750"/>
          <a:ext cx="371475" cy="3453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1338</xdr:row>
      <xdr:rowOff>0</xdr:rowOff>
    </xdr:from>
    <xdr:to>
      <xdr:col>7</xdr:col>
      <xdr:colOff>371475</xdr:colOff>
      <xdr:row>1340</xdr:row>
      <xdr:rowOff>17092</xdr:rowOff>
    </xdr:to>
    <xdr:pic macro="[0]!Etiq44">
      <xdr:nvPicPr>
        <xdr:cNvPr id="45" name="44 Imagen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11442500"/>
          <a:ext cx="371475" cy="345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1524000</xdr:colOff>
      <xdr:row>85</xdr:row>
      <xdr:rowOff>0</xdr:rowOff>
    </xdr:from>
    <xdr:ext cx="77782" cy="226766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638300" y="8839200"/>
          <a:ext cx="194454" cy="283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1</xdr:col>
      <xdr:colOff>1524000</xdr:colOff>
      <xdr:row>85</xdr:row>
      <xdr:rowOff>0</xdr:rowOff>
    </xdr:from>
    <xdr:ext cx="77782" cy="226766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38300" y="8839200"/>
          <a:ext cx="194454" cy="283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1</xdr:col>
      <xdr:colOff>1524000</xdr:colOff>
      <xdr:row>83</xdr:row>
      <xdr:rowOff>0</xdr:rowOff>
    </xdr:from>
    <xdr:ext cx="77782" cy="226766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524000" y="10934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1</xdr:col>
      <xdr:colOff>1524000</xdr:colOff>
      <xdr:row>83</xdr:row>
      <xdr:rowOff>0</xdr:rowOff>
    </xdr:from>
    <xdr:ext cx="77782" cy="226766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524000" y="10934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15</xdr:col>
      <xdr:colOff>0</xdr:colOff>
      <xdr:row>74</xdr:row>
      <xdr:rowOff>171450</xdr:rowOff>
    </xdr:from>
    <xdr:ext cx="194454" cy="401170"/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638300" y="22431375"/>
          <a:ext cx="194454" cy="4011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52916</xdr:colOff>
      <xdr:row>6</xdr:row>
      <xdr:rowOff>201081</xdr:rowOff>
    </xdr:from>
    <xdr:to>
      <xdr:col>18</xdr:col>
      <xdr:colOff>603245</xdr:colOff>
      <xdr:row>7</xdr:row>
      <xdr:rowOff>317496</xdr:rowOff>
    </xdr:to>
    <xdr:sp macro="[0]!ORD_CAMP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4467416" y="2423581"/>
          <a:ext cx="1608662" cy="486832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ORDENAR POR</a:t>
          </a:r>
        </a:p>
        <a:p>
          <a:pPr algn="ctr"/>
          <a:r>
            <a:rPr lang="es-CO" sz="1100"/>
            <a:t>CAMPAÑA</a:t>
          </a:r>
        </a:p>
      </xdr:txBody>
    </xdr:sp>
    <xdr:clientData/>
  </xdr:twoCellAnchor>
  <xdr:twoCellAnchor>
    <xdr:from>
      <xdr:col>10</xdr:col>
      <xdr:colOff>159376</xdr:colOff>
      <xdr:row>0</xdr:row>
      <xdr:rowOff>58520</xdr:rowOff>
    </xdr:from>
    <xdr:to>
      <xdr:col>11</xdr:col>
      <xdr:colOff>371043</xdr:colOff>
      <xdr:row>1</xdr:row>
      <xdr:rowOff>173878</xdr:rowOff>
    </xdr:to>
    <xdr:sp macro="[0]!VALIDAR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726523" y="58520"/>
          <a:ext cx="1220196" cy="48515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Times New Roman" pitchFamily="18" charset="0"/>
              <a:cs typeface="Times New Roman" pitchFamily="18" charset="0"/>
            </a:rPr>
            <a:t>RADICAR</a:t>
          </a:r>
          <a:endParaRPr lang="es-CO" sz="18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28575</xdr:colOff>
          <xdr:row>2</xdr:row>
          <xdr:rowOff>9525</xdr:rowOff>
        </xdr:to>
        <xdr:sp macro="" textlink="">
          <xdr:nvSpPr>
            <xdr:cNvPr id="4100" name="ComboBox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234869</xdr:colOff>
      <xdr:row>0</xdr:row>
      <xdr:rowOff>60287</xdr:rowOff>
    </xdr:from>
    <xdr:to>
      <xdr:col>17</xdr:col>
      <xdr:colOff>849774</xdr:colOff>
      <xdr:row>1</xdr:row>
      <xdr:rowOff>301426</xdr:rowOff>
    </xdr:to>
    <xdr:pic macro="[0]!LIMPIAR_FORMATO_DIL"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5040818" y="60287"/>
          <a:ext cx="614905" cy="614905"/>
        </a:xfrm>
        <a:prstGeom prst="rect">
          <a:avLst/>
        </a:prstGeom>
      </xdr:spPr>
    </xdr:pic>
    <xdr:clientData/>
  </xdr:twoCellAnchor>
  <xdr:twoCellAnchor editAs="oneCell">
    <xdr:from>
      <xdr:col>13</xdr:col>
      <xdr:colOff>289366</xdr:colOff>
      <xdr:row>0</xdr:row>
      <xdr:rowOff>60285</xdr:rowOff>
    </xdr:from>
    <xdr:to>
      <xdr:col>14</xdr:col>
      <xdr:colOff>72340</xdr:colOff>
      <xdr:row>1</xdr:row>
      <xdr:rowOff>325538</xdr:rowOff>
    </xdr:to>
    <xdr:pic macro="[0]!MARCAR">
      <xdr:nvPicPr>
        <xdr:cNvPr id="3" name="2 Imagen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2720" y="60285"/>
          <a:ext cx="639019" cy="6390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1276350</xdr:colOff>
          <xdr:row>4</xdr:row>
          <xdr:rowOff>342900</xdr:rowOff>
        </xdr:from>
        <xdr:to>
          <xdr:col>1</xdr:col>
          <xdr:colOff>1009650</xdr:colOff>
          <xdr:row>6</xdr:row>
          <xdr:rowOff>19050</xdr:rowOff>
        </xdr:to>
        <xdr:sp macro="" textlink="">
          <xdr:nvSpPr>
            <xdr:cNvPr id="4112" name="ADULTO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4</xdr:row>
          <xdr:rowOff>342900</xdr:rowOff>
        </xdr:from>
        <xdr:to>
          <xdr:col>2</xdr:col>
          <xdr:colOff>0</xdr:colOff>
          <xdr:row>6</xdr:row>
          <xdr:rowOff>19050</xdr:rowOff>
        </xdr:to>
        <xdr:sp macro="" textlink="">
          <xdr:nvSpPr>
            <xdr:cNvPr id="4121" name="NEO_PED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4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313764</xdr:colOff>
      <xdr:row>1</xdr:row>
      <xdr:rowOff>271432</xdr:rowOff>
    </xdr:from>
    <xdr:to>
      <xdr:col>11</xdr:col>
      <xdr:colOff>89647</xdr:colOff>
      <xdr:row>2</xdr:row>
      <xdr:rowOff>313766</xdr:rowOff>
    </xdr:to>
    <xdr:sp macro="[0]!VALIDAR2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0880911" y="641226"/>
          <a:ext cx="784412" cy="412128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Times New Roman" pitchFamily="18" charset="0"/>
              <a:cs typeface="Times New Roman" pitchFamily="18" charset="0"/>
            </a:rPr>
            <a:t>R</a:t>
          </a:r>
          <a:r>
            <a:rPr lang="es-CO" sz="1600" baseline="0">
              <a:latin typeface="Times New Roman" pitchFamily="18" charset="0"/>
              <a:cs typeface="Times New Roman" pitchFamily="18" charset="0"/>
            </a:rPr>
            <a:t> &amp; T</a:t>
          </a:r>
          <a:endParaRPr lang="es-CO" sz="18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9525</xdr:rowOff>
        </xdr:from>
        <xdr:to>
          <xdr:col>21</xdr:col>
          <xdr:colOff>9525</xdr:colOff>
          <xdr:row>9</xdr:row>
          <xdr:rowOff>0</xdr:rowOff>
        </xdr:to>
        <xdr:sp macro="" textlink="">
          <xdr:nvSpPr>
            <xdr:cNvPr id="4122" name="CommandButton1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4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8</xdr:row>
          <xdr:rowOff>28575</xdr:rowOff>
        </xdr:from>
        <xdr:to>
          <xdr:col>21</xdr:col>
          <xdr:colOff>647700</xdr:colOff>
          <xdr:row>9</xdr:row>
          <xdr:rowOff>0</xdr:rowOff>
        </xdr:to>
        <xdr:sp macro="" textlink="">
          <xdr:nvSpPr>
            <xdr:cNvPr id="4123" name="CommandButton2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4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202406</xdr:colOff>
      <xdr:row>5</xdr:row>
      <xdr:rowOff>155539</xdr:rowOff>
    </xdr:from>
    <xdr:to>
      <xdr:col>20</xdr:col>
      <xdr:colOff>653847</xdr:colOff>
      <xdr:row>6</xdr:row>
      <xdr:rowOff>234456</xdr:rowOff>
    </xdr:to>
    <xdr:pic macro="[0]!Borrar_VolDo_Voltotal">
      <xdr:nvPicPr>
        <xdr:cNvPr id="13" name="12 Imagen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7156906" y="2001008"/>
          <a:ext cx="451441" cy="44801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52918</xdr:colOff>
      <xdr:row>0</xdr:row>
      <xdr:rowOff>190499</xdr:rowOff>
    </xdr:from>
    <xdr:to>
      <xdr:col>18</xdr:col>
      <xdr:colOff>1068916</xdr:colOff>
      <xdr:row>2</xdr:row>
      <xdr:rowOff>169331</xdr:rowOff>
    </xdr:to>
    <xdr:sp macro="[0]!GenerarOrdenProduccion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938751" y="190499"/>
          <a:ext cx="1015998" cy="4127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t"/>
        <a:lstStyle/>
        <a:p>
          <a:pPr algn="l"/>
          <a:r>
            <a:rPr lang="es-CO" sz="1100"/>
            <a:t>Generar Orden de Producción</a:t>
          </a:r>
        </a:p>
      </xdr:txBody>
    </xdr:sp>
    <xdr:clientData/>
  </xdr:twoCellAnchor>
  <xdr:twoCellAnchor>
    <xdr:from>
      <xdr:col>21</xdr:col>
      <xdr:colOff>170568</xdr:colOff>
      <xdr:row>15</xdr:row>
      <xdr:rowOff>191860</xdr:rowOff>
    </xdr:from>
    <xdr:to>
      <xdr:col>27</xdr:col>
      <xdr:colOff>154988</xdr:colOff>
      <xdr:row>17</xdr:row>
      <xdr:rowOff>134002</xdr:rowOff>
    </xdr:to>
    <xdr:sp macro="[0]!MACRO_GEN_O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9274997" y="3648074"/>
          <a:ext cx="664777" cy="40478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ALL_OP</a:t>
          </a:r>
        </a:p>
      </xdr:txBody>
    </xdr:sp>
    <xdr:clientData/>
  </xdr:twoCellAnchor>
  <xdr:twoCellAnchor>
    <xdr:from>
      <xdr:col>21</xdr:col>
      <xdr:colOff>206542</xdr:colOff>
      <xdr:row>18</xdr:row>
      <xdr:rowOff>62137</xdr:rowOff>
    </xdr:from>
    <xdr:to>
      <xdr:col>27</xdr:col>
      <xdr:colOff>113568</xdr:colOff>
      <xdr:row>19</xdr:row>
      <xdr:rowOff>160002</xdr:rowOff>
    </xdr:to>
    <xdr:sp macro="[0]!ALL_HSJ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9310971" y="4212316"/>
          <a:ext cx="587383" cy="329186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ALL_HSJ</a:t>
          </a:r>
        </a:p>
      </xdr:txBody>
    </xdr:sp>
    <xdr:clientData/>
  </xdr:twoCellAnchor>
  <xdr:twoCellAnchor>
    <xdr:from>
      <xdr:col>21</xdr:col>
      <xdr:colOff>215948</xdr:colOff>
      <xdr:row>20</xdr:row>
      <xdr:rowOff>118680</xdr:rowOff>
    </xdr:from>
    <xdr:to>
      <xdr:col>27</xdr:col>
      <xdr:colOff>149066</xdr:colOff>
      <xdr:row>21</xdr:row>
      <xdr:rowOff>230152</xdr:rowOff>
    </xdr:to>
    <xdr:sp macro="[0]!ALL_HSC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9320377" y="4731501"/>
          <a:ext cx="613475" cy="356401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000"/>
            <a:t>ALL_HSC</a:t>
          </a:r>
        </a:p>
      </xdr:txBody>
    </xdr:sp>
    <xdr:clientData/>
  </xdr:twoCellAnchor>
  <xdr:twoCellAnchor>
    <xdr:from>
      <xdr:col>19</xdr:col>
      <xdr:colOff>223932</xdr:colOff>
      <xdr:row>4</xdr:row>
      <xdr:rowOff>232681</xdr:rowOff>
    </xdr:from>
    <xdr:to>
      <xdr:col>20</xdr:col>
      <xdr:colOff>460291</xdr:colOff>
      <xdr:row>6</xdr:row>
      <xdr:rowOff>188431</xdr:rowOff>
    </xdr:to>
    <xdr:sp macro="[0]!MACRO_GEN_OP_SAVE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7994861" y="1130752"/>
          <a:ext cx="1080001" cy="432000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ALL_OP_SAVE</a:t>
          </a:r>
        </a:p>
      </xdr:txBody>
    </xdr:sp>
    <xdr:clientData/>
  </xdr:twoCellAnchor>
  <xdr:twoCellAnchor>
    <xdr:from>
      <xdr:col>19</xdr:col>
      <xdr:colOff>190212</xdr:colOff>
      <xdr:row>7</xdr:row>
      <xdr:rowOff>61576</xdr:rowOff>
    </xdr:from>
    <xdr:to>
      <xdr:col>20</xdr:col>
      <xdr:colOff>551089</xdr:colOff>
      <xdr:row>8</xdr:row>
      <xdr:rowOff>173610</xdr:rowOff>
    </xdr:to>
    <xdr:sp macro="[0]!ALL_HSJ_SAVE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7961141" y="1667219"/>
          <a:ext cx="1204519" cy="343355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050"/>
            <a:t>ALL_HSJ_SAVE</a:t>
          </a:r>
        </a:p>
      </xdr:txBody>
    </xdr:sp>
    <xdr:clientData/>
  </xdr:twoCellAnchor>
  <xdr:twoCellAnchor>
    <xdr:from>
      <xdr:col>19</xdr:col>
      <xdr:colOff>171103</xdr:colOff>
      <xdr:row>9</xdr:row>
      <xdr:rowOff>50643</xdr:rowOff>
    </xdr:from>
    <xdr:to>
      <xdr:col>20</xdr:col>
      <xdr:colOff>515772</xdr:colOff>
      <xdr:row>10</xdr:row>
      <xdr:rowOff>175723</xdr:rowOff>
    </xdr:to>
    <xdr:sp macro="[0]!ALL_HSC_SAVE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7942032" y="2118929"/>
          <a:ext cx="1188311" cy="356401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000"/>
            <a:t>ALL_HSC_SAVE</a:t>
          </a:r>
        </a:p>
      </xdr:txBody>
    </xdr:sp>
    <xdr:clientData/>
  </xdr:twoCellAnchor>
  <xdr:twoCellAnchor editAs="oneCell">
    <xdr:from>
      <xdr:col>19</xdr:col>
      <xdr:colOff>68035</xdr:colOff>
      <xdr:row>16</xdr:row>
      <xdr:rowOff>13607</xdr:rowOff>
    </xdr:from>
    <xdr:to>
      <xdr:col>20</xdr:col>
      <xdr:colOff>427536</xdr:colOff>
      <xdr:row>19</xdr:row>
      <xdr:rowOff>40821</xdr:rowOff>
    </xdr:to>
    <xdr:pic macro="[0]!impresion_hoja_FR_PD_001">
      <xdr:nvPicPr>
        <xdr:cNvPr id="12" name="11 Imagen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5214" y="3701143"/>
          <a:ext cx="781322" cy="721178"/>
        </a:xfrm>
        <a:prstGeom prst="rect">
          <a:avLst/>
        </a:prstGeom>
      </xdr:spPr>
    </xdr:pic>
    <xdr:clientData/>
  </xdr:twoCellAnchor>
  <xdr:twoCellAnchor editAs="oneCell">
    <xdr:from>
      <xdr:col>27</xdr:col>
      <xdr:colOff>300719</xdr:colOff>
      <xdr:row>15</xdr:row>
      <xdr:rowOff>218895</xdr:rowOff>
    </xdr:from>
    <xdr:to>
      <xdr:col>28</xdr:col>
      <xdr:colOff>738760</xdr:colOff>
      <xdr:row>19</xdr:row>
      <xdr:rowOff>13609</xdr:rowOff>
    </xdr:to>
    <xdr:pic macro="[0]!save_FR_PD_001">
      <xdr:nvPicPr>
        <xdr:cNvPr id="6" name="5 Imagen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29" t="12857" r="10714" b="12500"/>
        <a:stretch/>
      </xdr:blipFill>
      <xdr:spPr>
        <a:xfrm>
          <a:off x="20085505" y="3675109"/>
          <a:ext cx="751005" cy="72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381000</xdr:colOff>
      <xdr:row>7</xdr:row>
      <xdr:rowOff>27215</xdr:rowOff>
    </xdr:from>
    <xdr:to>
      <xdr:col>28</xdr:col>
      <xdr:colOff>304663</xdr:colOff>
      <xdr:row>9</xdr:row>
      <xdr:rowOff>179477</xdr:rowOff>
    </xdr:to>
    <xdr:pic macro="[0]!LIMPIAR_FR_PD_001">
      <xdr:nvPicPr>
        <xdr:cNvPr id="14" name="13 Imagen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9975286" y="1632858"/>
          <a:ext cx="614905" cy="614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85726</xdr:colOff>
      <xdr:row>2</xdr:row>
      <xdr:rowOff>138977</xdr:rowOff>
    </xdr:from>
    <xdr:to>
      <xdr:col>12</xdr:col>
      <xdr:colOff>504266</xdr:colOff>
      <xdr:row>5</xdr:row>
      <xdr:rowOff>148501</xdr:rowOff>
    </xdr:to>
    <xdr:sp macro="[0]!GenerarSolicitudMedicamentos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975167" y="676859"/>
          <a:ext cx="1180540" cy="681877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 baseline="0"/>
            <a:t>Solicitud de Medicamentos</a:t>
          </a:r>
        </a:p>
        <a:p>
          <a:pPr algn="ctr"/>
          <a:r>
            <a:rPr lang="es-CO" sz="1100" baseline="0"/>
            <a:t>click AQUI</a:t>
          </a:r>
          <a:endParaRPr lang="es-CO" sz="1100"/>
        </a:p>
      </xdr:txBody>
    </xdr:sp>
    <xdr:clientData/>
  </xdr:twoCellAnchor>
  <xdr:twoCellAnchor editAs="oneCell">
    <xdr:from>
      <xdr:col>13</xdr:col>
      <xdr:colOff>235323</xdr:colOff>
      <xdr:row>2</xdr:row>
      <xdr:rowOff>191405</xdr:rowOff>
    </xdr:from>
    <xdr:to>
      <xdr:col>14</xdr:col>
      <xdr:colOff>229323</xdr:colOff>
      <xdr:row>5</xdr:row>
      <xdr:rowOff>148501</xdr:rowOff>
    </xdr:to>
    <xdr:pic macro="[0]!impresion_hoja_FR_PD_011">
      <xdr:nvPicPr>
        <xdr:cNvPr id="6" name="5 Imagen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8764" y="729287"/>
          <a:ext cx="756000" cy="629449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672353</xdr:colOff>
      <xdr:row>2</xdr:row>
      <xdr:rowOff>100854</xdr:rowOff>
    </xdr:from>
    <xdr:to>
      <xdr:col>15</xdr:col>
      <xdr:colOff>661358</xdr:colOff>
      <xdr:row>5</xdr:row>
      <xdr:rowOff>148501</xdr:rowOff>
    </xdr:to>
    <xdr:pic macro="[0]!save_FR_PD_011">
      <xdr:nvPicPr>
        <xdr:cNvPr id="4" name="3 Image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29" t="12857" r="10714" b="12500"/>
        <a:stretch/>
      </xdr:blipFill>
      <xdr:spPr>
        <a:xfrm>
          <a:off x="14847794" y="638736"/>
          <a:ext cx="751005" cy="72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66675</xdr:colOff>
      <xdr:row>2</xdr:row>
      <xdr:rowOff>114300</xdr:rowOff>
    </xdr:from>
    <xdr:to>
      <xdr:col>18</xdr:col>
      <xdr:colOff>683558</xdr:colOff>
      <xdr:row>4</xdr:row>
      <xdr:rowOff>38100</xdr:rowOff>
    </xdr:to>
    <xdr:sp macro="[0]!GenerarOrdenDespach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3950763" y="1078006"/>
          <a:ext cx="1378883" cy="52891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Orden de Despacho haga click</a:t>
          </a:r>
        </a:p>
      </xdr:txBody>
    </xdr:sp>
    <xdr:clientData/>
  </xdr:two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6" name="15 CuadroText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8" name="17 CuadroTexto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1" name="20 CuadroTexto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2" name="21 CuadroTexto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4" name="23 CuadroTexto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6" name="25 CuadroTexto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7" name="26 CuadroText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8" name="27 CuadroTexto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9" name="28 CuadroTexto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0" name="29 CuadroTexto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1" name="30 CuadroTexto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2" name="31 CuadroTexto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3" name="32 CuadroTexto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4" name="33 CuadroTexto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5" name="34 CuadroTexto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6" name="35 CuadroTexto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7" name="36 CuadroTexto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8" name="37 CuadroTexto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9" name="38 CuadroTexto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0" name="39 CuadroTexto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1" name="40 CuadroTexto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2" name="41 CuadroTexto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3" name="42 CuadroTexto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4" name="43 CuadroTexto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5" name="44 CuadroTexto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6" name="45 CuadroTexto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7" name="46 CuadroTexto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8" name="47 CuadroTexto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9" name="48 CuadroTexto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0" name="49 CuadroTexto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1" name="50 CuadroTexto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2" name="51 CuadroTexto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3" name="52 CuadroTexto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4" name="53 CuadroTexto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5" name="54 CuadroTexto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6" name="55 CuadroTexto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7" name="56 CuadroTexto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8" name="57 CuadroTexto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9" name="58 CuadroTexto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0" name="59 CuadroTexto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1" name="60 CuadroTexto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2" name="61 CuadroTexto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3" name="62 CuadroTexto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4" name="63 CuadroTexto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5" name="64 CuadroTexto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6" name="65 CuadroTexto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7" name="66 CuadroTexto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8" name="67 CuadroTexto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9" name="68 CuadroTexto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0" name="69 CuadroTexto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1" name="70 CuadroTexto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2" name="71 CuadroTexto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3" name="72 CuadroTexto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4" name="73 CuadroTexto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5" name="74 CuadroTexto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6" name="75 CuadroTexto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7" name="76 CuadroTexto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8" name="77 CuadroTexto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9" name="78 CuadroTexto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0" name="79 CuadroTexto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1" name="80 CuadroTexto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2" name="81 CuadroTexto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3" name="82 CuadroTexto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4" name="83 CuadroTexto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5" name="84 CuadroTexto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6" name="85 CuadroTexto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7" name="86 CuadroTexto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8" name="87 CuadroTexto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9" name="88 CuadroTexto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0" name="89 CuadroTexto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1" name="90 CuadroTexto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2" name="91 CuadroTexto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3" name="92 CuadroTexto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4" name="93 CuadroTexto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5" name="94 CuadroTexto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6" name="95 CuadroTexto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7" name="96 CuadroTexto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8" name="97 CuadroTexto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9" name="98 CuadroTexto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0" name="99 CuadroTexto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1" name="100 CuadroTexto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2" name="101 CuadroTexto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3" name="102 CuadroTexto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4" name="103 CuadroTexto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5" name="104 CuadroTexto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6" name="105 CuadroTexto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7" name="106 CuadroTexto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8" name="107 CuadroTexto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9" name="108 CuadroTexto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0" name="109 CuadroTexto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1" name="110 CuadroTexto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2" name="111 CuadroTexto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3" name="112 CuadroTexto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4" name="113 CuadroTexto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5" name="114 CuadroTexto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6" name="115 CuadroTexto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7" name="116 CuadroTexto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18" name="117 CuadroTexto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19" name="118 CuadroTexto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0" name="119 CuadroTexto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1" name="120 CuadroTexto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2" name="121 CuadroTexto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3" name="122 CuadroTexto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4" name="123 CuadroTexto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5" name="124 CuadroTexto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6" name="125 CuadroTexto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7" name="126 CuadroTexto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8" name="127 CuadroTexto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9" name="128 CuadroTexto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0" name="129 CuadroTexto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1" name="130 CuadroTexto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2" name="131 CuadroTexto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3" name="132 CuadroTexto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4" name="133 CuadroTexto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5" name="134 CuadroTexto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6" name="135 CuadroTexto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7" name="136 CuadroTexto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8" name="137 CuadroTexto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9" name="138 CuadroTexto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0" name="139 CuadroTexto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1" name="140 CuadroTexto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2" name="141 CuadroTexto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3" name="142 CuadroTexto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4" name="143 CuadroTexto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5" name="144 CuadroTexto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6" name="145 CuadroTexto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7" name="146 CuadroTexto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8" name="147 CuadroTexto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9" name="148 CuadroTexto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0" name="149 CuadroTexto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1" name="150 CuadroTexto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2" name="151 CuadroTexto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3" name="152 CuadroTexto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4" name="153 CuadroTexto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5" name="154 CuadroTexto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6" name="155 CuadroTexto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7" name="156 CuadroTexto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8" name="157 CuadroTexto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9" name="158 CuadroTexto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0" name="159 CuadroTexto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1" name="160 CuadroTexto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2" name="161 CuadroTexto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3" name="162 CuadroTexto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4" name="163 CuadroTexto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5" name="164 CuadroTexto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6" name="165 CuadroTexto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7" name="166 CuadroTexto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8" name="167 CuadroTexto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9" name="168 CuadroTexto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0" name="169 CuadroTexto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1" name="170 CuadroTexto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2" name="171 CuadroTexto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3" name="172 CuadroTexto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4" name="173 CuadroTexto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5" name="174 CuadroTexto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6" name="175 CuadroTexto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7" name="176 CuadroTexto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8" name="177 CuadroTexto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9" name="178 CuadroTexto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0" name="179 CuadroTexto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1" name="180 CuadroTexto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2" name="181 CuadroTexto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3" name="182 CuadroTexto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4" name="183 CuadroTexto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5" name="184 CuadroTexto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6" name="185 CuadroTexto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7" name="186 CuadroTexto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8" name="187 CuadroTexto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9" name="188 CuadroTexto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0" name="189 CuadroTexto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1" name="190 CuadroTexto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2" name="191 CuadroTexto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3" name="192 CuadroTexto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4" name="193 CuadroTexto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5" name="194 CuadroTexto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6" name="195 CuadroTexto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7" name="196 CuadroTexto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8" name="197 CuadroTexto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9" name="198 CuadroTexto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0" name="199 CuadroTexto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1" name="200 CuadroTexto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2" name="201 CuadroTexto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3" name="202 CuadroTexto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4" name="203 CuadroTexto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5" name="204 CuadroTexto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6" name="205 CuadroTexto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7" name="206 CuadroTexto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8" name="207 CuadroTexto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9" name="208 CuadroTexto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0" name="209 CuadroTexto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1" name="210 CuadroTexto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2" name="211 CuadroTexto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3" name="212 CuadroTexto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4" name="213 CuadroTexto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5" name="214 CuadroTexto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6" name="215 CuadroTexto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7" name="216 CuadroTexto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8" name="217 CuadroTexto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9" name="218 CuadroTexto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0" name="219 CuadroTexto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1" name="220 CuadroTexto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2" name="221 CuadroTexto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3" name="222 CuadroTexto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4" name="223 CuadroTexto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5" name="224 CuadroTexto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6" name="225 CuadroTexto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7" name="226 CuadroTexto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8" name="227 CuadroTexto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9" name="228 CuadroTexto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0" name="229 CuadroTexto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1" name="230 CuadroTexto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2" name="231 CuadroTexto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3" name="232 CuadroTexto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4" name="233 CuadroTexto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5" name="234 CuadroTexto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6" name="235 CuadroTexto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7" name="236 CuadroTexto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8" name="237 CuadroTexto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9" name="238 CuadroTexto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0" name="239 CuadroTexto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1" name="240 CuadroTexto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2" name="241 CuadroTexto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3" name="242 CuadroTexto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4" name="243 CuadroTexto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5" name="244 CuadroTexto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6" name="245 CuadroTexto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7" name="246 CuadroTexto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8" name="247 CuadroTexto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9" name="248 CuadroTexto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0" name="249 CuadroTexto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1" name="250 CuadroTexto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2" name="251 CuadroTexto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3" name="252 CuadroTexto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4" name="253 CuadroTexto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5" name="254 CuadroTexto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6" name="255 CuadroTexto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7" name="256 CuadroTexto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8" name="257 CuadroTexto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9" name="258 CuadroTexto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0" name="259 CuadroTexto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1" name="260 CuadroTexto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2" name="261 CuadroTexto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3" name="262 CuadroTexto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4" name="263 CuadroTexto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5" name="264 CuadroTexto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6" name="265 CuadroTexto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7" name="266 CuadroTexto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8" name="267 CuadroTexto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9" name="268 CuadroTexto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0" name="269 CuadroTexto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1" name="270 CuadroTexto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2" name="271 CuadroTexto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3" name="272 CuadroTexto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4" name="273 CuadroTexto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5" name="274 CuadroTexto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6" name="275 CuadroTexto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7" name="276 CuadroTexto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8" name="277 CuadroTexto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9" name="278 CuadroTexto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0" name="279 CuadroTexto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1" name="280 CuadroTexto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2" name="281 CuadroTexto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3" name="282 CuadroTexto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4" name="283 CuadroTexto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5" name="284 CuadroTexto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6" name="285 CuadroTexto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7" name="286 CuadroTexto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8" name="287 CuadroTexto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9" name="288 CuadroTexto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0" name="289 CuadroTexto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1" name="290 CuadroTexto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2" name="291 CuadroTexto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3" name="292 CuadroTexto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4" name="293 CuadroTexto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5" name="294 CuadroTexto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6" name="295 CuadroTexto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7" name="296 CuadroTexto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8" name="297 CuadroTexto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9" name="298 CuadroTexto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0" name="299 CuadroTexto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1" name="300 CuadroTexto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2" name="301 CuadroTexto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3" name="302 CuadroTexto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4" name="303 CuadroTexto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5" name="304 CuadroTexto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6" name="305 CuadroTexto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7" name="306 CuadroTexto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8" name="307 CuadroTexto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9" name="308 CuadroTexto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0" name="309 CuadroTexto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1" name="310 CuadroTexto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2" name="311 CuadroTexto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3" name="312 CuadroTexto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4" name="313 CuadroTexto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5" name="314 CuadroTexto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6" name="315 CuadroTexto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7" name="316 CuadroTexto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8" name="317 CuadroTexto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9" name="318 CuadroTexto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0" name="319 CuadroTexto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1" name="320 CuadroTexto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2" name="321 CuadroTexto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3" name="322 CuadroTexto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4" name="323 CuadroTexto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5" name="324 CuadroTexto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6" name="325 CuadroTexto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7" name="326 CuadroTexto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8" name="327 CuadroTexto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9" name="328 CuadroTexto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0" name="329 CuadroTexto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1" name="330 CuadroTexto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2" name="331 CuadroTexto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3" name="332 CuadroTexto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4" name="333 CuadroTexto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5" name="334 CuadroTexto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6" name="335 CuadroTexto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7" name="336 CuadroTexto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8" name="337 CuadroTexto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9" name="338 CuadroTexto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0" name="339 CuadroTexto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1" name="340 CuadroTexto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2" name="341 CuadroTexto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3" name="342 CuadroTexto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4" name="343 CuadroTexto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5" name="344 CuadroTexto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6" name="345 CuadroTexto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7" name="346 CuadroTexto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8" name="347 CuadroTexto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9" name="348 CuadroTexto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0" name="349 CuadroTexto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1" name="350 CuadroTexto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2" name="351 CuadroTexto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3" name="352 CuadroTexto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4" name="353 CuadroTexto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5" name="354 CuadroTexto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6" name="355 CuadroTexto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7" name="356 CuadroTexto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8" name="357 CuadroTexto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9" name="358 CuadroTexto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0" name="359 CuadroTexto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1" name="360 CuadroTexto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2" name="361 CuadroTexto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3" name="362 CuadroTexto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4" name="363 CuadroTexto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5" name="364 CuadroTexto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6" name="365 CuadroTexto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7" name="366 CuadroTexto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8" name="367 CuadroTexto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9" name="368 CuadroTexto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0" name="369 CuadroTexto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1" name="370 CuadroTexto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2" name="371 CuadroTexto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3" name="372 CuadroTexto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4" name="373 CuadroTexto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5" name="374 CuadroTexto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6" name="375 CuadroTexto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7" name="376 CuadroTexto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8" name="377 CuadroTexto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9" name="378 CuadroTexto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0" name="379 CuadroTexto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1" name="380 CuadroTexto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2" name="381 CuadroTexto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3" name="382 CuadroTexto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4" name="383 CuadroTexto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5" name="384 CuadroTexto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6" name="385 CuadroTexto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7" name="386 CuadroTexto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8" name="387 CuadroTexto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9" name="388 CuadroTexto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0" name="389 CuadroTexto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1" name="390 CuadroTexto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2" name="391 CuadroTexto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3" name="392 CuadroTexto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4" name="393 CuadroTexto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5" name="394 CuadroTexto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6" name="395 CuadroTexto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7" name="396 CuadroTexto">
          <a:extLst>
            <a:ext uri="{FF2B5EF4-FFF2-40B4-BE49-F238E27FC236}">
              <a16:creationId xmlns:a16="http://schemas.microsoft.com/office/drawing/2014/main" id="{00000000-0008-0000-0700-00008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8" name="397 CuadroTexto">
          <a:extLst>
            <a:ext uri="{FF2B5EF4-FFF2-40B4-BE49-F238E27FC236}">
              <a16:creationId xmlns:a16="http://schemas.microsoft.com/office/drawing/2014/main" id="{00000000-0008-0000-0700-00008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9" name="398 CuadroTexto">
          <a:extLst>
            <a:ext uri="{FF2B5EF4-FFF2-40B4-BE49-F238E27FC236}">
              <a16:creationId xmlns:a16="http://schemas.microsoft.com/office/drawing/2014/main" id="{00000000-0008-0000-0700-00008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0" name="399 CuadroTexto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1" name="400 CuadroTexto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2" name="401 CuadroTexto"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3" name="402 CuadroTexto">
          <a:extLst>
            <a:ext uri="{FF2B5EF4-FFF2-40B4-BE49-F238E27FC236}">
              <a16:creationId xmlns:a16="http://schemas.microsoft.com/office/drawing/2014/main" id="{00000000-0008-0000-0700-00009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4" name="403 CuadroTexto">
          <a:extLst>
            <a:ext uri="{FF2B5EF4-FFF2-40B4-BE49-F238E27FC236}">
              <a16:creationId xmlns:a16="http://schemas.microsoft.com/office/drawing/2014/main" id="{00000000-0008-0000-0700-00009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5" name="404 CuadroTexto">
          <a:extLst>
            <a:ext uri="{FF2B5EF4-FFF2-40B4-BE49-F238E27FC236}">
              <a16:creationId xmlns:a16="http://schemas.microsoft.com/office/drawing/2014/main" id="{00000000-0008-0000-0700-00009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6" name="405 CuadroTexto">
          <a:extLst>
            <a:ext uri="{FF2B5EF4-FFF2-40B4-BE49-F238E27FC236}">
              <a16:creationId xmlns:a16="http://schemas.microsoft.com/office/drawing/2014/main" id="{00000000-0008-0000-0700-00009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7" name="406 CuadroTexto">
          <a:extLst>
            <a:ext uri="{FF2B5EF4-FFF2-40B4-BE49-F238E27FC236}">
              <a16:creationId xmlns:a16="http://schemas.microsoft.com/office/drawing/2014/main" id="{00000000-0008-0000-0700-00009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8" name="407 CuadroTexto">
          <a:extLst>
            <a:ext uri="{FF2B5EF4-FFF2-40B4-BE49-F238E27FC236}">
              <a16:creationId xmlns:a16="http://schemas.microsoft.com/office/drawing/2014/main" id="{00000000-0008-0000-0700-00009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9" name="408 CuadroTexto">
          <a:extLst>
            <a:ext uri="{FF2B5EF4-FFF2-40B4-BE49-F238E27FC236}">
              <a16:creationId xmlns:a16="http://schemas.microsoft.com/office/drawing/2014/main" id="{00000000-0008-0000-0700-00009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0" name="409 CuadroTexto">
          <a:extLst>
            <a:ext uri="{FF2B5EF4-FFF2-40B4-BE49-F238E27FC236}">
              <a16:creationId xmlns:a16="http://schemas.microsoft.com/office/drawing/2014/main" id="{00000000-0008-0000-0700-00009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1" name="410 CuadroTexto">
          <a:extLst>
            <a:ext uri="{FF2B5EF4-FFF2-40B4-BE49-F238E27FC236}">
              <a16:creationId xmlns:a16="http://schemas.microsoft.com/office/drawing/2014/main" id="{00000000-0008-0000-0700-00009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2" name="411 CuadroTexto">
          <a:extLst>
            <a:ext uri="{FF2B5EF4-FFF2-40B4-BE49-F238E27FC236}">
              <a16:creationId xmlns:a16="http://schemas.microsoft.com/office/drawing/2014/main" id="{00000000-0008-0000-0700-00009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3" name="412 CuadroTexto">
          <a:extLst>
            <a:ext uri="{FF2B5EF4-FFF2-40B4-BE49-F238E27FC236}">
              <a16:creationId xmlns:a16="http://schemas.microsoft.com/office/drawing/2014/main" id="{00000000-0008-0000-0700-00009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4" name="413 CuadroTexto">
          <a:extLst>
            <a:ext uri="{FF2B5EF4-FFF2-40B4-BE49-F238E27FC236}">
              <a16:creationId xmlns:a16="http://schemas.microsoft.com/office/drawing/2014/main" id="{00000000-0008-0000-0700-00009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5" name="414 CuadroTexto">
          <a:extLst>
            <a:ext uri="{FF2B5EF4-FFF2-40B4-BE49-F238E27FC236}">
              <a16:creationId xmlns:a16="http://schemas.microsoft.com/office/drawing/2014/main" id="{00000000-0008-0000-0700-00009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6" name="415 CuadroTexto">
          <a:extLst>
            <a:ext uri="{FF2B5EF4-FFF2-40B4-BE49-F238E27FC236}">
              <a16:creationId xmlns:a16="http://schemas.microsoft.com/office/drawing/2014/main" id="{00000000-0008-0000-0700-0000A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7" name="416 CuadroTexto">
          <a:extLst>
            <a:ext uri="{FF2B5EF4-FFF2-40B4-BE49-F238E27FC236}">
              <a16:creationId xmlns:a16="http://schemas.microsoft.com/office/drawing/2014/main" id="{00000000-0008-0000-0700-0000A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8" name="417 CuadroTexto">
          <a:extLst>
            <a:ext uri="{FF2B5EF4-FFF2-40B4-BE49-F238E27FC236}">
              <a16:creationId xmlns:a16="http://schemas.microsoft.com/office/drawing/2014/main" id="{00000000-0008-0000-0700-0000A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9" name="418 CuadroTexto">
          <a:extLst>
            <a:ext uri="{FF2B5EF4-FFF2-40B4-BE49-F238E27FC236}">
              <a16:creationId xmlns:a16="http://schemas.microsoft.com/office/drawing/2014/main" id="{00000000-0008-0000-0700-0000A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0" name="419 CuadroTexto">
          <a:extLst>
            <a:ext uri="{FF2B5EF4-FFF2-40B4-BE49-F238E27FC236}">
              <a16:creationId xmlns:a16="http://schemas.microsoft.com/office/drawing/2014/main" id="{00000000-0008-0000-0700-0000A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1" name="420 CuadroTexto">
          <a:extLst>
            <a:ext uri="{FF2B5EF4-FFF2-40B4-BE49-F238E27FC236}">
              <a16:creationId xmlns:a16="http://schemas.microsoft.com/office/drawing/2014/main" id="{00000000-0008-0000-0700-0000A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2" name="421 CuadroTexto">
          <a:extLst>
            <a:ext uri="{FF2B5EF4-FFF2-40B4-BE49-F238E27FC236}">
              <a16:creationId xmlns:a16="http://schemas.microsoft.com/office/drawing/2014/main" id="{00000000-0008-0000-0700-0000A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3" name="422 CuadroTexto">
          <a:extLst>
            <a:ext uri="{FF2B5EF4-FFF2-40B4-BE49-F238E27FC236}">
              <a16:creationId xmlns:a16="http://schemas.microsoft.com/office/drawing/2014/main" id="{00000000-0008-0000-0700-0000A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4" name="423 CuadroTexto">
          <a:extLst>
            <a:ext uri="{FF2B5EF4-FFF2-40B4-BE49-F238E27FC236}">
              <a16:creationId xmlns:a16="http://schemas.microsoft.com/office/drawing/2014/main" id="{00000000-0008-0000-0700-0000A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5" name="424 CuadroTexto"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6" name="425 CuadroTexto">
          <a:extLst>
            <a:ext uri="{FF2B5EF4-FFF2-40B4-BE49-F238E27FC236}">
              <a16:creationId xmlns:a16="http://schemas.microsoft.com/office/drawing/2014/main" id="{00000000-0008-0000-0700-0000A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7" name="426 CuadroTexto">
          <a:extLst>
            <a:ext uri="{FF2B5EF4-FFF2-40B4-BE49-F238E27FC236}">
              <a16:creationId xmlns:a16="http://schemas.microsoft.com/office/drawing/2014/main" id="{00000000-0008-0000-0700-0000A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8" name="427 CuadroTexto">
          <a:extLst>
            <a:ext uri="{FF2B5EF4-FFF2-40B4-BE49-F238E27FC236}">
              <a16:creationId xmlns:a16="http://schemas.microsoft.com/office/drawing/2014/main" id="{00000000-0008-0000-0700-0000A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9" name="428 CuadroTexto">
          <a:extLst>
            <a:ext uri="{FF2B5EF4-FFF2-40B4-BE49-F238E27FC236}">
              <a16:creationId xmlns:a16="http://schemas.microsoft.com/office/drawing/2014/main" id="{00000000-0008-0000-0700-0000A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0" name="429 CuadroTexto">
          <a:extLst>
            <a:ext uri="{FF2B5EF4-FFF2-40B4-BE49-F238E27FC236}">
              <a16:creationId xmlns:a16="http://schemas.microsoft.com/office/drawing/2014/main" id="{00000000-0008-0000-0700-0000A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1" name="430 CuadroTexto">
          <a:extLst>
            <a:ext uri="{FF2B5EF4-FFF2-40B4-BE49-F238E27FC236}">
              <a16:creationId xmlns:a16="http://schemas.microsoft.com/office/drawing/2014/main" id="{00000000-0008-0000-0700-0000A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2" name="431 CuadroTexto">
          <a:extLst>
            <a:ext uri="{FF2B5EF4-FFF2-40B4-BE49-F238E27FC236}">
              <a16:creationId xmlns:a16="http://schemas.microsoft.com/office/drawing/2014/main" id="{00000000-0008-0000-0700-0000B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3" name="432 CuadroTexto">
          <a:extLst>
            <a:ext uri="{FF2B5EF4-FFF2-40B4-BE49-F238E27FC236}">
              <a16:creationId xmlns:a16="http://schemas.microsoft.com/office/drawing/2014/main" id="{00000000-0008-0000-0700-0000B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4" name="433 CuadroTexto">
          <a:extLst>
            <a:ext uri="{FF2B5EF4-FFF2-40B4-BE49-F238E27FC236}">
              <a16:creationId xmlns:a16="http://schemas.microsoft.com/office/drawing/2014/main" id="{00000000-0008-0000-0700-0000B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5" name="434 CuadroTexto">
          <a:extLst>
            <a:ext uri="{FF2B5EF4-FFF2-40B4-BE49-F238E27FC236}">
              <a16:creationId xmlns:a16="http://schemas.microsoft.com/office/drawing/2014/main" id="{00000000-0008-0000-0700-0000B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6" name="435 CuadroTexto">
          <a:extLst>
            <a:ext uri="{FF2B5EF4-FFF2-40B4-BE49-F238E27FC236}">
              <a16:creationId xmlns:a16="http://schemas.microsoft.com/office/drawing/2014/main" id="{00000000-0008-0000-0700-0000B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7" name="436 CuadroTexto">
          <a:extLst>
            <a:ext uri="{FF2B5EF4-FFF2-40B4-BE49-F238E27FC236}">
              <a16:creationId xmlns:a16="http://schemas.microsoft.com/office/drawing/2014/main" id="{00000000-0008-0000-0700-0000B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8" name="437 CuadroTexto">
          <a:extLst>
            <a:ext uri="{FF2B5EF4-FFF2-40B4-BE49-F238E27FC236}">
              <a16:creationId xmlns:a16="http://schemas.microsoft.com/office/drawing/2014/main" id="{00000000-0008-0000-0700-0000B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9" name="438 CuadroTexto">
          <a:extLst>
            <a:ext uri="{FF2B5EF4-FFF2-40B4-BE49-F238E27FC236}">
              <a16:creationId xmlns:a16="http://schemas.microsoft.com/office/drawing/2014/main" id="{00000000-0008-0000-0700-0000B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0" name="439 CuadroTexto">
          <a:extLst>
            <a:ext uri="{FF2B5EF4-FFF2-40B4-BE49-F238E27FC236}">
              <a16:creationId xmlns:a16="http://schemas.microsoft.com/office/drawing/2014/main" id="{00000000-0008-0000-0700-0000B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1" name="440 CuadroTexto">
          <a:extLst>
            <a:ext uri="{FF2B5EF4-FFF2-40B4-BE49-F238E27FC236}">
              <a16:creationId xmlns:a16="http://schemas.microsoft.com/office/drawing/2014/main" id="{00000000-0008-0000-0700-0000B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2" name="441 CuadroTexto">
          <a:extLst>
            <a:ext uri="{FF2B5EF4-FFF2-40B4-BE49-F238E27FC236}">
              <a16:creationId xmlns:a16="http://schemas.microsoft.com/office/drawing/2014/main" id="{00000000-0008-0000-0700-0000B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3" name="442 CuadroTexto">
          <a:extLst>
            <a:ext uri="{FF2B5EF4-FFF2-40B4-BE49-F238E27FC236}">
              <a16:creationId xmlns:a16="http://schemas.microsoft.com/office/drawing/2014/main" id="{00000000-0008-0000-0700-0000B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4" name="443 CuadroTexto">
          <a:extLst>
            <a:ext uri="{FF2B5EF4-FFF2-40B4-BE49-F238E27FC236}">
              <a16:creationId xmlns:a16="http://schemas.microsoft.com/office/drawing/2014/main" id="{00000000-0008-0000-0700-0000B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5" name="444 CuadroTexto">
          <a:extLst>
            <a:ext uri="{FF2B5EF4-FFF2-40B4-BE49-F238E27FC236}">
              <a16:creationId xmlns:a16="http://schemas.microsoft.com/office/drawing/2014/main" id="{00000000-0008-0000-0700-0000B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6" name="445 CuadroTexto">
          <a:extLst>
            <a:ext uri="{FF2B5EF4-FFF2-40B4-BE49-F238E27FC236}">
              <a16:creationId xmlns:a16="http://schemas.microsoft.com/office/drawing/2014/main" id="{00000000-0008-0000-0700-0000B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7" name="446 CuadroTexto">
          <a:extLst>
            <a:ext uri="{FF2B5EF4-FFF2-40B4-BE49-F238E27FC236}">
              <a16:creationId xmlns:a16="http://schemas.microsoft.com/office/drawing/2014/main" id="{00000000-0008-0000-0700-0000B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8" name="447 CuadroTexto">
          <a:extLst>
            <a:ext uri="{FF2B5EF4-FFF2-40B4-BE49-F238E27FC236}">
              <a16:creationId xmlns:a16="http://schemas.microsoft.com/office/drawing/2014/main" id="{00000000-0008-0000-0700-0000C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9" name="448 CuadroTexto">
          <a:extLst>
            <a:ext uri="{FF2B5EF4-FFF2-40B4-BE49-F238E27FC236}">
              <a16:creationId xmlns:a16="http://schemas.microsoft.com/office/drawing/2014/main" id="{00000000-0008-0000-0700-0000C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0" name="449 CuadroTexto">
          <a:extLst>
            <a:ext uri="{FF2B5EF4-FFF2-40B4-BE49-F238E27FC236}">
              <a16:creationId xmlns:a16="http://schemas.microsoft.com/office/drawing/2014/main" id="{00000000-0008-0000-0700-0000C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1" name="450 CuadroTexto">
          <a:extLst>
            <a:ext uri="{FF2B5EF4-FFF2-40B4-BE49-F238E27FC236}">
              <a16:creationId xmlns:a16="http://schemas.microsoft.com/office/drawing/2014/main" id="{00000000-0008-0000-0700-0000C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2" name="451 CuadroTexto">
          <a:extLst>
            <a:ext uri="{FF2B5EF4-FFF2-40B4-BE49-F238E27FC236}">
              <a16:creationId xmlns:a16="http://schemas.microsoft.com/office/drawing/2014/main" id="{00000000-0008-0000-0700-0000C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3" name="452 CuadroTexto">
          <a:extLst>
            <a:ext uri="{FF2B5EF4-FFF2-40B4-BE49-F238E27FC236}">
              <a16:creationId xmlns:a16="http://schemas.microsoft.com/office/drawing/2014/main" id="{00000000-0008-0000-0700-0000C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4" name="453 CuadroTexto">
          <a:extLst>
            <a:ext uri="{FF2B5EF4-FFF2-40B4-BE49-F238E27FC236}">
              <a16:creationId xmlns:a16="http://schemas.microsoft.com/office/drawing/2014/main" id="{00000000-0008-0000-0700-0000C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5" name="454 CuadroTexto">
          <a:extLst>
            <a:ext uri="{FF2B5EF4-FFF2-40B4-BE49-F238E27FC236}">
              <a16:creationId xmlns:a16="http://schemas.microsoft.com/office/drawing/2014/main" id="{00000000-0008-0000-0700-0000C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6" name="455 CuadroTexto">
          <a:extLst>
            <a:ext uri="{FF2B5EF4-FFF2-40B4-BE49-F238E27FC236}">
              <a16:creationId xmlns:a16="http://schemas.microsoft.com/office/drawing/2014/main" id="{00000000-0008-0000-0700-0000C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7" name="456 CuadroTexto">
          <a:extLst>
            <a:ext uri="{FF2B5EF4-FFF2-40B4-BE49-F238E27FC236}">
              <a16:creationId xmlns:a16="http://schemas.microsoft.com/office/drawing/2014/main" id="{00000000-0008-0000-0700-0000C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8" name="457 CuadroTexto">
          <a:extLst>
            <a:ext uri="{FF2B5EF4-FFF2-40B4-BE49-F238E27FC236}">
              <a16:creationId xmlns:a16="http://schemas.microsoft.com/office/drawing/2014/main" id="{00000000-0008-0000-0700-0000C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9" name="458 CuadroTexto">
          <a:extLst>
            <a:ext uri="{FF2B5EF4-FFF2-40B4-BE49-F238E27FC236}">
              <a16:creationId xmlns:a16="http://schemas.microsoft.com/office/drawing/2014/main" id="{00000000-0008-0000-0700-0000C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0" name="459 CuadroTexto">
          <a:extLst>
            <a:ext uri="{FF2B5EF4-FFF2-40B4-BE49-F238E27FC236}">
              <a16:creationId xmlns:a16="http://schemas.microsoft.com/office/drawing/2014/main" id="{00000000-0008-0000-0700-0000C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1" name="460 CuadroTexto">
          <a:extLst>
            <a:ext uri="{FF2B5EF4-FFF2-40B4-BE49-F238E27FC236}">
              <a16:creationId xmlns:a16="http://schemas.microsoft.com/office/drawing/2014/main" id="{00000000-0008-0000-0700-0000C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2" name="461 CuadroTexto">
          <a:extLst>
            <a:ext uri="{FF2B5EF4-FFF2-40B4-BE49-F238E27FC236}">
              <a16:creationId xmlns:a16="http://schemas.microsoft.com/office/drawing/2014/main" id="{00000000-0008-0000-0700-0000C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3" name="462 CuadroTexto">
          <a:extLst>
            <a:ext uri="{FF2B5EF4-FFF2-40B4-BE49-F238E27FC236}">
              <a16:creationId xmlns:a16="http://schemas.microsoft.com/office/drawing/2014/main" id="{00000000-0008-0000-0700-0000C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4" name="463 CuadroTexto">
          <a:extLst>
            <a:ext uri="{FF2B5EF4-FFF2-40B4-BE49-F238E27FC236}">
              <a16:creationId xmlns:a16="http://schemas.microsoft.com/office/drawing/2014/main" id="{00000000-0008-0000-0700-0000D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5" name="464 CuadroTexto">
          <a:extLst>
            <a:ext uri="{FF2B5EF4-FFF2-40B4-BE49-F238E27FC236}">
              <a16:creationId xmlns:a16="http://schemas.microsoft.com/office/drawing/2014/main" id="{00000000-0008-0000-0700-0000D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6" name="465 CuadroTexto">
          <a:extLst>
            <a:ext uri="{FF2B5EF4-FFF2-40B4-BE49-F238E27FC236}">
              <a16:creationId xmlns:a16="http://schemas.microsoft.com/office/drawing/2014/main" id="{00000000-0008-0000-0700-0000D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7" name="466 CuadroTexto">
          <a:extLst>
            <a:ext uri="{FF2B5EF4-FFF2-40B4-BE49-F238E27FC236}">
              <a16:creationId xmlns:a16="http://schemas.microsoft.com/office/drawing/2014/main" id="{00000000-0008-0000-0700-0000D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8" name="467 CuadroTexto">
          <a:extLst>
            <a:ext uri="{FF2B5EF4-FFF2-40B4-BE49-F238E27FC236}">
              <a16:creationId xmlns:a16="http://schemas.microsoft.com/office/drawing/2014/main" id="{00000000-0008-0000-0700-0000D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9" name="468 CuadroTexto">
          <a:extLst>
            <a:ext uri="{FF2B5EF4-FFF2-40B4-BE49-F238E27FC236}">
              <a16:creationId xmlns:a16="http://schemas.microsoft.com/office/drawing/2014/main" id="{00000000-0008-0000-0700-0000D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0" name="469 CuadroTexto">
          <a:extLst>
            <a:ext uri="{FF2B5EF4-FFF2-40B4-BE49-F238E27FC236}">
              <a16:creationId xmlns:a16="http://schemas.microsoft.com/office/drawing/2014/main" id="{00000000-0008-0000-0700-0000D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1" name="470 CuadroTexto">
          <a:extLst>
            <a:ext uri="{FF2B5EF4-FFF2-40B4-BE49-F238E27FC236}">
              <a16:creationId xmlns:a16="http://schemas.microsoft.com/office/drawing/2014/main" id="{00000000-0008-0000-0700-0000D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2" name="471 CuadroTexto">
          <a:extLst>
            <a:ext uri="{FF2B5EF4-FFF2-40B4-BE49-F238E27FC236}">
              <a16:creationId xmlns:a16="http://schemas.microsoft.com/office/drawing/2014/main" id="{00000000-0008-0000-0700-0000D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3" name="472 CuadroTexto">
          <a:extLst>
            <a:ext uri="{FF2B5EF4-FFF2-40B4-BE49-F238E27FC236}">
              <a16:creationId xmlns:a16="http://schemas.microsoft.com/office/drawing/2014/main" id="{00000000-0008-0000-0700-0000D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4" name="473 CuadroTexto">
          <a:extLst>
            <a:ext uri="{FF2B5EF4-FFF2-40B4-BE49-F238E27FC236}">
              <a16:creationId xmlns:a16="http://schemas.microsoft.com/office/drawing/2014/main" id="{00000000-0008-0000-0700-0000D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5" name="474 CuadroTexto"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6" name="475 CuadroTexto">
          <a:extLst>
            <a:ext uri="{FF2B5EF4-FFF2-40B4-BE49-F238E27FC236}">
              <a16:creationId xmlns:a16="http://schemas.microsoft.com/office/drawing/2014/main" id="{00000000-0008-0000-0700-0000D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7" name="476 CuadroTexto">
          <a:extLst>
            <a:ext uri="{FF2B5EF4-FFF2-40B4-BE49-F238E27FC236}">
              <a16:creationId xmlns:a16="http://schemas.microsoft.com/office/drawing/2014/main" id="{00000000-0008-0000-0700-0000D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8" name="477 CuadroTexto">
          <a:extLst>
            <a:ext uri="{FF2B5EF4-FFF2-40B4-BE49-F238E27FC236}">
              <a16:creationId xmlns:a16="http://schemas.microsoft.com/office/drawing/2014/main" id="{00000000-0008-0000-0700-0000D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9" name="478 CuadroTexto">
          <a:extLst>
            <a:ext uri="{FF2B5EF4-FFF2-40B4-BE49-F238E27FC236}">
              <a16:creationId xmlns:a16="http://schemas.microsoft.com/office/drawing/2014/main" id="{00000000-0008-0000-0700-0000D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0" name="479 CuadroTexto">
          <a:extLst>
            <a:ext uri="{FF2B5EF4-FFF2-40B4-BE49-F238E27FC236}">
              <a16:creationId xmlns:a16="http://schemas.microsoft.com/office/drawing/2014/main" id="{00000000-0008-0000-0700-0000E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1" name="480 CuadroTexto">
          <a:extLst>
            <a:ext uri="{FF2B5EF4-FFF2-40B4-BE49-F238E27FC236}">
              <a16:creationId xmlns:a16="http://schemas.microsoft.com/office/drawing/2014/main" id="{00000000-0008-0000-0700-0000E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2" name="481 CuadroTexto">
          <a:extLst>
            <a:ext uri="{FF2B5EF4-FFF2-40B4-BE49-F238E27FC236}">
              <a16:creationId xmlns:a16="http://schemas.microsoft.com/office/drawing/2014/main" id="{00000000-0008-0000-0700-0000E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3" name="482 CuadroTexto">
          <a:extLst>
            <a:ext uri="{FF2B5EF4-FFF2-40B4-BE49-F238E27FC236}">
              <a16:creationId xmlns:a16="http://schemas.microsoft.com/office/drawing/2014/main" id="{00000000-0008-0000-0700-0000E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4" name="483 CuadroTexto">
          <a:extLst>
            <a:ext uri="{FF2B5EF4-FFF2-40B4-BE49-F238E27FC236}">
              <a16:creationId xmlns:a16="http://schemas.microsoft.com/office/drawing/2014/main" id="{00000000-0008-0000-0700-0000E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5" name="484 CuadroTexto">
          <a:extLst>
            <a:ext uri="{FF2B5EF4-FFF2-40B4-BE49-F238E27FC236}">
              <a16:creationId xmlns:a16="http://schemas.microsoft.com/office/drawing/2014/main" id="{00000000-0008-0000-0700-0000E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6" name="485 CuadroTexto">
          <a:extLst>
            <a:ext uri="{FF2B5EF4-FFF2-40B4-BE49-F238E27FC236}">
              <a16:creationId xmlns:a16="http://schemas.microsoft.com/office/drawing/2014/main" id="{00000000-0008-0000-0700-0000E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7" name="486 CuadroTexto">
          <a:extLst>
            <a:ext uri="{FF2B5EF4-FFF2-40B4-BE49-F238E27FC236}">
              <a16:creationId xmlns:a16="http://schemas.microsoft.com/office/drawing/2014/main" id="{00000000-0008-0000-0700-0000E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8" name="487 CuadroTexto">
          <a:extLst>
            <a:ext uri="{FF2B5EF4-FFF2-40B4-BE49-F238E27FC236}">
              <a16:creationId xmlns:a16="http://schemas.microsoft.com/office/drawing/2014/main" id="{00000000-0008-0000-0700-0000E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9" name="488 CuadroTexto">
          <a:extLst>
            <a:ext uri="{FF2B5EF4-FFF2-40B4-BE49-F238E27FC236}">
              <a16:creationId xmlns:a16="http://schemas.microsoft.com/office/drawing/2014/main" id="{00000000-0008-0000-0700-0000E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0" name="489 CuadroTexto">
          <a:extLst>
            <a:ext uri="{FF2B5EF4-FFF2-40B4-BE49-F238E27FC236}">
              <a16:creationId xmlns:a16="http://schemas.microsoft.com/office/drawing/2014/main" id="{00000000-0008-0000-0700-0000E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1" name="490 CuadroTexto">
          <a:extLst>
            <a:ext uri="{FF2B5EF4-FFF2-40B4-BE49-F238E27FC236}">
              <a16:creationId xmlns:a16="http://schemas.microsoft.com/office/drawing/2014/main" id="{00000000-0008-0000-0700-0000E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2" name="491 CuadroTexto">
          <a:extLst>
            <a:ext uri="{FF2B5EF4-FFF2-40B4-BE49-F238E27FC236}">
              <a16:creationId xmlns:a16="http://schemas.microsoft.com/office/drawing/2014/main" id="{00000000-0008-0000-0700-0000E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3" name="492 CuadroTexto">
          <a:extLst>
            <a:ext uri="{FF2B5EF4-FFF2-40B4-BE49-F238E27FC236}">
              <a16:creationId xmlns:a16="http://schemas.microsoft.com/office/drawing/2014/main" id="{00000000-0008-0000-0700-0000E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4" name="493 CuadroTexto">
          <a:extLst>
            <a:ext uri="{FF2B5EF4-FFF2-40B4-BE49-F238E27FC236}">
              <a16:creationId xmlns:a16="http://schemas.microsoft.com/office/drawing/2014/main" id="{00000000-0008-0000-0700-0000EE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5" name="494 CuadroTexto">
          <a:extLst>
            <a:ext uri="{FF2B5EF4-FFF2-40B4-BE49-F238E27FC236}">
              <a16:creationId xmlns:a16="http://schemas.microsoft.com/office/drawing/2014/main" id="{00000000-0008-0000-0700-0000EF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6" name="495 CuadroTexto">
          <a:extLst>
            <a:ext uri="{FF2B5EF4-FFF2-40B4-BE49-F238E27FC236}">
              <a16:creationId xmlns:a16="http://schemas.microsoft.com/office/drawing/2014/main" id="{00000000-0008-0000-0700-0000F0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7" name="496 CuadroTexto">
          <a:extLst>
            <a:ext uri="{FF2B5EF4-FFF2-40B4-BE49-F238E27FC236}">
              <a16:creationId xmlns:a16="http://schemas.microsoft.com/office/drawing/2014/main" id="{00000000-0008-0000-0700-0000F1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8" name="497 CuadroTexto">
          <a:extLst>
            <a:ext uri="{FF2B5EF4-FFF2-40B4-BE49-F238E27FC236}">
              <a16:creationId xmlns:a16="http://schemas.microsoft.com/office/drawing/2014/main" id="{00000000-0008-0000-0700-0000F2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9" name="498 CuadroTexto">
          <a:extLst>
            <a:ext uri="{FF2B5EF4-FFF2-40B4-BE49-F238E27FC236}">
              <a16:creationId xmlns:a16="http://schemas.microsoft.com/office/drawing/2014/main" id="{00000000-0008-0000-0700-0000F3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0" name="499 CuadroTexto">
          <a:extLst>
            <a:ext uri="{FF2B5EF4-FFF2-40B4-BE49-F238E27FC236}">
              <a16:creationId xmlns:a16="http://schemas.microsoft.com/office/drawing/2014/main" id="{00000000-0008-0000-0700-0000F4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1" name="500 CuadroTexto">
          <a:extLst>
            <a:ext uri="{FF2B5EF4-FFF2-40B4-BE49-F238E27FC236}">
              <a16:creationId xmlns:a16="http://schemas.microsoft.com/office/drawing/2014/main" id="{00000000-0008-0000-0700-0000F5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2" name="501 CuadroTexto">
          <a:extLst>
            <a:ext uri="{FF2B5EF4-FFF2-40B4-BE49-F238E27FC236}">
              <a16:creationId xmlns:a16="http://schemas.microsoft.com/office/drawing/2014/main" id="{00000000-0008-0000-0700-0000F6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3" name="502 CuadroTexto">
          <a:extLst>
            <a:ext uri="{FF2B5EF4-FFF2-40B4-BE49-F238E27FC236}">
              <a16:creationId xmlns:a16="http://schemas.microsoft.com/office/drawing/2014/main" id="{00000000-0008-0000-0700-0000F7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4" name="503 CuadroTexto">
          <a:extLst>
            <a:ext uri="{FF2B5EF4-FFF2-40B4-BE49-F238E27FC236}">
              <a16:creationId xmlns:a16="http://schemas.microsoft.com/office/drawing/2014/main" id="{00000000-0008-0000-0700-0000F8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5" name="504 CuadroTexto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6" name="505 CuadroTexto">
          <a:extLst>
            <a:ext uri="{FF2B5EF4-FFF2-40B4-BE49-F238E27FC236}">
              <a16:creationId xmlns:a16="http://schemas.microsoft.com/office/drawing/2014/main" id="{00000000-0008-0000-0700-0000FA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7" name="506 CuadroTexto">
          <a:extLst>
            <a:ext uri="{FF2B5EF4-FFF2-40B4-BE49-F238E27FC236}">
              <a16:creationId xmlns:a16="http://schemas.microsoft.com/office/drawing/2014/main" id="{00000000-0008-0000-0700-0000FB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8" name="507 CuadroTexto">
          <a:extLst>
            <a:ext uri="{FF2B5EF4-FFF2-40B4-BE49-F238E27FC236}">
              <a16:creationId xmlns:a16="http://schemas.microsoft.com/office/drawing/2014/main" id="{00000000-0008-0000-0700-0000FC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9" name="508 CuadroTexto">
          <a:extLst>
            <a:ext uri="{FF2B5EF4-FFF2-40B4-BE49-F238E27FC236}">
              <a16:creationId xmlns:a16="http://schemas.microsoft.com/office/drawing/2014/main" id="{00000000-0008-0000-0700-0000FD01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15" name="1014 CuadroTexto">
          <a:extLst>
            <a:ext uri="{FF2B5EF4-FFF2-40B4-BE49-F238E27FC236}">
              <a16:creationId xmlns:a16="http://schemas.microsoft.com/office/drawing/2014/main" id="{00000000-0008-0000-0700-0000F7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16" name="1015 CuadroTexto">
          <a:extLst>
            <a:ext uri="{FF2B5EF4-FFF2-40B4-BE49-F238E27FC236}">
              <a16:creationId xmlns:a16="http://schemas.microsoft.com/office/drawing/2014/main" id="{00000000-0008-0000-0700-0000F8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17" name="1016 CuadroTexto">
          <a:extLst>
            <a:ext uri="{FF2B5EF4-FFF2-40B4-BE49-F238E27FC236}">
              <a16:creationId xmlns:a16="http://schemas.microsoft.com/office/drawing/2014/main" id="{00000000-0008-0000-0700-0000F9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18" name="1017 CuadroTexto">
          <a:extLst>
            <a:ext uri="{FF2B5EF4-FFF2-40B4-BE49-F238E27FC236}">
              <a16:creationId xmlns:a16="http://schemas.microsoft.com/office/drawing/2014/main" id="{00000000-0008-0000-0700-0000FA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19" name="1018 CuadroTexto">
          <a:extLst>
            <a:ext uri="{FF2B5EF4-FFF2-40B4-BE49-F238E27FC236}">
              <a16:creationId xmlns:a16="http://schemas.microsoft.com/office/drawing/2014/main" id="{00000000-0008-0000-0700-0000FB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0" name="1019 CuadroTexto">
          <a:extLst>
            <a:ext uri="{FF2B5EF4-FFF2-40B4-BE49-F238E27FC236}">
              <a16:creationId xmlns:a16="http://schemas.microsoft.com/office/drawing/2014/main" id="{00000000-0008-0000-0700-0000FC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1" name="1020 CuadroTexto">
          <a:extLst>
            <a:ext uri="{FF2B5EF4-FFF2-40B4-BE49-F238E27FC236}">
              <a16:creationId xmlns:a16="http://schemas.microsoft.com/office/drawing/2014/main" id="{00000000-0008-0000-0700-0000FD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2" name="1021 CuadroTexto">
          <a:extLst>
            <a:ext uri="{FF2B5EF4-FFF2-40B4-BE49-F238E27FC236}">
              <a16:creationId xmlns:a16="http://schemas.microsoft.com/office/drawing/2014/main" id="{00000000-0008-0000-0700-0000FE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3" name="1022 CuadroTexto">
          <a:extLst>
            <a:ext uri="{FF2B5EF4-FFF2-40B4-BE49-F238E27FC236}">
              <a16:creationId xmlns:a16="http://schemas.microsoft.com/office/drawing/2014/main" id="{00000000-0008-0000-0700-0000FF03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4" name="1023 CuadroTexto">
          <a:extLst>
            <a:ext uri="{FF2B5EF4-FFF2-40B4-BE49-F238E27FC236}">
              <a16:creationId xmlns:a16="http://schemas.microsoft.com/office/drawing/2014/main" id="{00000000-0008-0000-0700-00000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5" name="1024 CuadroTexto">
          <a:extLst>
            <a:ext uri="{FF2B5EF4-FFF2-40B4-BE49-F238E27FC236}">
              <a16:creationId xmlns:a16="http://schemas.microsoft.com/office/drawing/2014/main" id="{00000000-0008-0000-0700-00000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6" name="1025 CuadroTexto">
          <a:extLst>
            <a:ext uri="{FF2B5EF4-FFF2-40B4-BE49-F238E27FC236}">
              <a16:creationId xmlns:a16="http://schemas.microsoft.com/office/drawing/2014/main" id="{00000000-0008-0000-0700-00000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7" name="1026 CuadroTexto">
          <a:extLst>
            <a:ext uri="{FF2B5EF4-FFF2-40B4-BE49-F238E27FC236}">
              <a16:creationId xmlns:a16="http://schemas.microsoft.com/office/drawing/2014/main" id="{00000000-0008-0000-0700-00000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8" name="1027 CuadroTexto">
          <a:extLst>
            <a:ext uri="{FF2B5EF4-FFF2-40B4-BE49-F238E27FC236}">
              <a16:creationId xmlns:a16="http://schemas.microsoft.com/office/drawing/2014/main" id="{00000000-0008-0000-0700-00000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29" name="1028 CuadroTexto">
          <a:extLst>
            <a:ext uri="{FF2B5EF4-FFF2-40B4-BE49-F238E27FC236}">
              <a16:creationId xmlns:a16="http://schemas.microsoft.com/office/drawing/2014/main" id="{00000000-0008-0000-0700-00000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0" name="1029 CuadroTexto">
          <a:extLst>
            <a:ext uri="{FF2B5EF4-FFF2-40B4-BE49-F238E27FC236}">
              <a16:creationId xmlns:a16="http://schemas.microsoft.com/office/drawing/2014/main" id="{00000000-0008-0000-0700-00000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1" name="1030 CuadroTexto">
          <a:extLst>
            <a:ext uri="{FF2B5EF4-FFF2-40B4-BE49-F238E27FC236}">
              <a16:creationId xmlns:a16="http://schemas.microsoft.com/office/drawing/2014/main" id="{00000000-0008-0000-0700-00000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2" name="1031 CuadroTexto">
          <a:extLst>
            <a:ext uri="{FF2B5EF4-FFF2-40B4-BE49-F238E27FC236}">
              <a16:creationId xmlns:a16="http://schemas.microsoft.com/office/drawing/2014/main" id="{00000000-0008-0000-0700-000008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3" name="1032 CuadroTexto">
          <a:extLst>
            <a:ext uri="{FF2B5EF4-FFF2-40B4-BE49-F238E27FC236}">
              <a16:creationId xmlns:a16="http://schemas.microsoft.com/office/drawing/2014/main" id="{00000000-0008-0000-0700-000009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4" name="1033 CuadroTexto">
          <a:extLst>
            <a:ext uri="{FF2B5EF4-FFF2-40B4-BE49-F238E27FC236}">
              <a16:creationId xmlns:a16="http://schemas.microsoft.com/office/drawing/2014/main" id="{00000000-0008-0000-0700-00000A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5" name="1034 CuadroTexto">
          <a:extLst>
            <a:ext uri="{FF2B5EF4-FFF2-40B4-BE49-F238E27FC236}">
              <a16:creationId xmlns:a16="http://schemas.microsoft.com/office/drawing/2014/main" id="{00000000-0008-0000-0700-00000B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6" name="1035 CuadroTexto">
          <a:extLst>
            <a:ext uri="{FF2B5EF4-FFF2-40B4-BE49-F238E27FC236}">
              <a16:creationId xmlns:a16="http://schemas.microsoft.com/office/drawing/2014/main" id="{00000000-0008-0000-0700-00000C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7" name="1036 CuadroTexto">
          <a:extLst>
            <a:ext uri="{FF2B5EF4-FFF2-40B4-BE49-F238E27FC236}">
              <a16:creationId xmlns:a16="http://schemas.microsoft.com/office/drawing/2014/main" id="{00000000-0008-0000-0700-00000D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8" name="1037 CuadroTexto">
          <a:extLst>
            <a:ext uri="{FF2B5EF4-FFF2-40B4-BE49-F238E27FC236}">
              <a16:creationId xmlns:a16="http://schemas.microsoft.com/office/drawing/2014/main" id="{00000000-0008-0000-0700-00000E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39" name="1038 CuadroTexto">
          <a:extLst>
            <a:ext uri="{FF2B5EF4-FFF2-40B4-BE49-F238E27FC236}">
              <a16:creationId xmlns:a16="http://schemas.microsoft.com/office/drawing/2014/main" id="{00000000-0008-0000-0700-00000F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0" name="1039 CuadroTexto">
          <a:extLst>
            <a:ext uri="{FF2B5EF4-FFF2-40B4-BE49-F238E27FC236}">
              <a16:creationId xmlns:a16="http://schemas.microsoft.com/office/drawing/2014/main" id="{00000000-0008-0000-0700-00001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1" name="1040 CuadroTexto">
          <a:extLst>
            <a:ext uri="{FF2B5EF4-FFF2-40B4-BE49-F238E27FC236}">
              <a16:creationId xmlns:a16="http://schemas.microsoft.com/office/drawing/2014/main" id="{00000000-0008-0000-0700-00001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2" name="1041 CuadroTexto">
          <a:extLst>
            <a:ext uri="{FF2B5EF4-FFF2-40B4-BE49-F238E27FC236}">
              <a16:creationId xmlns:a16="http://schemas.microsoft.com/office/drawing/2014/main" id="{00000000-0008-0000-0700-00001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3" name="1042 CuadroTexto">
          <a:extLst>
            <a:ext uri="{FF2B5EF4-FFF2-40B4-BE49-F238E27FC236}">
              <a16:creationId xmlns:a16="http://schemas.microsoft.com/office/drawing/2014/main" id="{00000000-0008-0000-0700-00001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4" name="1043 CuadroTexto">
          <a:extLst>
            <a:ext uri="{FF2B5EF4-FFF2-40B4-BE49-F238E27FC236}">
              <a16:creationId xmlns:a16="http://schemas.microsoft.com/office/drawing/2014/main" id="{00000000-0008-0000-0700-00001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5" name="1044 CuadroTexto">
          <a:extLst>
            <a:ext uri="{FF2B5EF4-FFF2-40B4-BE49-F238E27FC236}">
              <a16:creationId xmlns:a16="http://schemas.microsoft.com/office/drawing/2014/main" id="{00000000-0008-0000-0700-00001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6" name="1045 CuadroTexto">
          <a:extLst>
            <a:ext uri="{FF2B5EF4-FFF2-40B4-BE49-F238E27FC236}">
              <a16:creationId xmlns:a16="http://schemas.microsoft.com/office/drawing/2014/main" id="{00000000-0008-0000-0700-00001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7" name="1046 CuadroTexto">
          <a:extLst>
            <a:ext uri="{FF2B5EF4-FFF2-40B4-BE49-F238E27FC236}">
              <a16:creationId xmlns:a16="http://schemas.microsoft.com/office/drawing/2014/main" id="{00000000-0008-0000-0700-00001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8" name="1047 CuadroTexto">
          <a:extLst>
            <a:ext uri="{FF2B5EF4-FFF2-40B4-BE49-F238E27FC236}">
              <a16:creationId xmlns:a16="http://schemas.microsoft.com/office/drawing/2014/main" id="{00000000-0008-0000-0700-000018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49" name="1048 CuadroTexto">
          <a:extLst>
            <a:ext uri="{FF2B5EF4-FFF2-40B4-BE49-F238E27FC236}">
              <a16:creationId xmlns:a16="http://schemas.microsoft.com/office/drawing/2014/main" id="{00000000-0008-0000-0700-000019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0" name="1049 CuadroTexto">
          <a:extLst>
            <a:ext uri="{FF2B5EF4-FFF2-40B4-BE49-F238E27FC236}">
              <a16:creationId xmlns:a16="http://schemas.microsoft.com/office/drawing/2014/main" id="{00000000-0008-0000-0700-00001A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1" name="1050 CuadroTexto">
          <a:extLst>
            <a:ext uri="{FF2B5EF4-FFF2-40B4-BE49-F238E27FC236}">
              <a16:creationId xmlns:a16="http://schemas.microsoft.com/office/drawing/2014/main" id="{00000000-0008-0000-0700-00001B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2" name="1051 CuadroTexto">
          <a:extLst>
            <a:ext uri="{FF2B5EF4-FFF2-40B4-BE49-F238E27FC236}">
              <a16:creationId xmlns:a16="http://schemas.microsoft.com/office/drawing/2014/main" id="{00000000-0008-0000-0700-00001C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3" name="1052 CuadroTexto">
          <a:extLst>
            <a:ext uri="{FF2B5EF4-FFF2-40B4-BE49-F238E27FC236}">
              <a16:creationId xmlns:a16="http://schemas.microsoft.com/office/drawing/2014/main" id="{00000000-0008-0000-0700-00001D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4" name="1053 CuadroTexto">
          <a:extLst>
            <a:ext uri="{FF2B5EF4-FFF2-40B4-BE49-F238E27FC236}">
              <a16:creationId xmlns:a16="http://schemas.microsoft.com/office/drawing/2014/main" id="{00000000-0008-0000-0700-00001E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5" name="1054 CuadroTexto">
          <a:extLst>
            <a:ext uri="{FF2B5EF4-FFF2-40B4-BE49-F238E27FC236}">
              <a16:creationId xmlns:a16="http://schemas.microsoft.com/office/drawing/2014/main" id="{00000000-0008-0000-0700-00001F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6" name="1055 CuadroTexto">
          <a:extLst>
            <a:ext uri="{FF2B5EF4-FFF2-40B4-BE49-F238E27FC236}">
              <a16:creationId xmlns:a16="http://schemas.microsoft.com/office/drawing/2014/main" id="{00000000-0008-0000-0700-00002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7" name="1056 CuadroTexto">
          <a:extLst>
            <a:ext uri="{FF2B5EF4-FFF2-40B4-BE49-F238E27FC236}">
              <a16:creationId xmlns:a16="http://schemas.microsoft.com/office/drawing/2014/main" id="{00000000-0008-0000-0700-00002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8" name="1057 CuadroTexto">
          <a:extLst>
            <a:ext uri="{FF2B5EF4-FFF2-40B4-BE49-F238E27FC236}">
              <a16:creationId xmlns:a16="http://schemas.microsoft.com/office/drawing/2014/main" id="{00000000-0008-0000-0700-00002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59" name="1058 CuadroTexto">
          <a:extLst>
            <a:ext uri="{FF2B5EF4-FFF2-40B4-BE49-F238E27FC236}">
              <a16:creationId xmlns:a16="http://schemas.microsoft.com/office/drawing/2014/main" id="{00000000-0008-0000-0700-00002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0" name="1059 CuadroTexto">
          <a:extLst>
            <a:ext uri="{FF2B5EF4-FFF2-40B4-BE49-F238E27FC236}">
              <a16:creationId xmlns:a16="http://schemas.microsoft.com/office/drawing/2014/main" id="{00000000-0008-0000-0700-00002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1" name="1060 CuadroTexto">
          <a:extLst>
            <a:ext uri="{FF2B5EF4-FFF2-40B4-BE49-F238E27FC236}">
              <a16:creationId xmlns:a16="http://schemas.microsoft.com/office/drawing/2014/main" id="{00000000-0008-0000-0700-00002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2" name="1061 CuadroTexto">
          <a:extLst>
            <a:ext uri="{FF2B5EF4-FFF2-40B4-BE49-F238E27FC236}">
              <a16:creationId xmlns:a16="http://schemas.microsoft.com/office/drawing/2014/main" id="{00000000-0008-0000-0700-00002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3" name="1062 CuadroTexto">
          <a:extLst>
            <a:ext uri="{FF2B5EF4-FFF2-40B4-BE49-F238E27FC236}">
              <a16:creationId xmlns:a16="http://schemas.microsoft.com/office/drawing/2014/main" id="{00000000-0008-0000-0700-00002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4" name="1063 CuadroTexto">
          <a:extLst>
            <a:ext uri="{FF2B5EF4-FFF2-40B4-BE49-F238E27FC236}">
              <a16:creationId xmlns:a16="http://schemas.microsoft.com/office/drawing/2014/main" id="{00000000-0008-0000-0700-000028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5" name="1064 CuadroTexto">
          <a:extLst>
            <a:ext uri="{FF2B5EF4-FFF2-40B4-BE49-F238E27FC236}">
              <a16:creationId xmlns:a16="http://schemas.microsoft.com/office/drawing/2014/main" id="{00000000-0008-0000-0700-000029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6" name="1065 CuadroTexto">
          <a:extLst>
            <a:ext uri="{FF2B5EF4-FFF2-40B4-BE49-F238E27FC236}">
              <a16:creationId xmlns:a16="http://schemas.microsoft.com/office/drawing/2014/main" id="{00000000-0008-0000-0700-00002A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7" name="1066 CuadroTexto">
          <a:extLst>
            <a:ext uri="{FF2B5EF4-FFF2-40B4-BE49-F238E27FC236}">
              <a16:creationId xmlns:a16="http://schemas.microsoft.com/office/drawing/2014/main" id="{00000000-0008-0000-0700-00002B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8" name="1067 CuadroTexto">
          <a:extLst>
            <a:ext uri="{FF2B5EF4-FFF2-40B4-BE49-F238E27FC236}">
              <a16:creationId xmlns:a16="http://schemas.microsoft.com/office/drawing/2014/main" id="{00000000-0008-0000-0700-00002C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69" name="1068 CuadroTexto">
          <a:extLst>
            <a:ext uri="{FF2B5EF4-FFF2-40B4-BE49-F238E27FC236}">
              <a16:creationId xmlns:a16="http://schemas.microsoft.com/office/drawing/2014/main" id="{00000000-0008-0000-0700-00002D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0" name="1069 CuadroTexto">
          <a:extLst>
            <a:ext uri="{FF2B5EF4-FFF2-40B4-BE49-F238E27FC236}">
              <a16:creationId xmlns:a16="http://schemas.microsoft.com/office/drawing/2014/main" id="{00000000-0008-0000-0700-00002E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1" name="1070 CuadroTexto">
          <a:extLst>
            <a:ext uri="{FF2B5EF4-FFF2-40B4-BE49-F238E27FC236}">
              <a16:creationId xmlns:a16="http://schemas.microsoft.com/office/drawing/2014/main" id="{00000000-0008-0000-0700-00002F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2" name="1071 CuadroTexto">
          <a:extLst>
            <a:ext uri="{FF2B5EF4-FFF2-40B4-BE49-F238E27FC236}">
              <a16:creationId xmlns:a16="http://schemas.microsoft.com/office/drawing/2014/main" id="{00000000-0008-0000-0700-00003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3" name="1072 CuadroTexto">
          <a:extLst>
            <a:ext uri="{FF2B5EF4-FFF2-40B4-BE49-F238E27FC236}">
              <a16:creationId xmlns:a16="http://schemas.microsoft.com/office/drawing/2014/main" id="{00000000-0008-0000-0700-00003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4" name="1073 CuadroTexto">
          <a:extLst>
            <a:ext uri="{FF2B5EF4-FFF2-40B4-BE49-F238E27FC236}">
              <a16:creationId xmlns:a16="http://schemas.microsoft.com/office/drawing/2014/main" id="{00000000-0008-0000-0700-00003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5" name="1074 CuadroTexto">
          <a:extLst>
            <a:ext uri="{FF2B5EF4-FFF2-40B4-BE49-F238E27FC236}">
              <a16:creationId xmlns:a16="http://schemas.microsoft.com/office/drawing/2014/main" id="{00000000-0008-0000-0700-00003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6" name="1075 CuadroTexto">
          <a:extLst>
            <a:ext uri="{FF2B5EF4-FFF2-40B4-BE49-F238E27FC236}">
              <a16:creationId xmlns:a16="http://schemas.microsoft.com/office/drawing/2014/main" id="{00000000-0008-0000-0700-00003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7" name="1076 CuadroTexto">
          <a:extLst>
            <a:ext uri="{FF2B5EF4-FFF2-40B4-BE49-F238E27FC236}">
              <a16:creationId xmlns:a16="http://schemas.microsoft.com/office/drawing/2014/main" id="{00000000-0008-0000-0700-00003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8" name="1077 CuadroTexto">
          <a:extLst>
            <a:ext uri="{FF2B5EF4-FFF2-40B4-BE49-F238E27FC236}">
              <a16:creationId xmlns:a16="http://schemas.microsoft.com/office/drawing/2014/main" id="{00000000-0008-0000-0700-00003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79" name="1078 CuadroTexto">
          <a:extLst>
            <a:ext uri="{FF2B5EF4-FFF2-40B4-BE49-F238E27FC236}">
              <a16:creationId xmlns:a16="http://schemas.microsoft.com/office/drawing/2014/main" id="{00000000-0008-0000-0700-00003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0" name="1079 CuadroTexto">
          <a:extLst>
            <a:ext uri="{FF2B5EF4-FFF2-40B4-BE49-F238E27FC236}">
              <a16:creationId xmlns:a16="http://schemas.microsoft.com/office/drawing/2014/main" id="{00000000-0008-0000-0700-000038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1" name="1080 CuadroTexto">
          <a:extLst>
            <a:ext uri="{FF2B5EF4-FFF2-40B4-BE49-F238E27FC236}">
              <a16:creationId xmlns:a16="http://schemas.microsoft.com/office/drawing/2014/main" id="{00000000-0008-0000-0700-000039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2" name="1081 CuadroTexto">
          <a:extLst>
            <a:ext uri="{FF2B5EF4-FFF2-40B4-BE49-F238E27FC236}">
              <a16:creationId xmlns:a16="http://schemas.microsoft.com/office/drawing/2014/main" id="{00000000-0008-0000-0700-00003A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3" name="1082 CuadroTexto">
          <a:extLst>
            <a:ext uri="{FF2B5EF4-FFF2-40B4-BE49-F238E27FC236}">
              <a16:creationId xmlns:a16="http://schemas.microsoft.com/office/drawing/2014/main" id="{00000000-0008-0000-0700-00003B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4" name="1083 CuadroTexto">
          <a:extLst>
            <a:ext uri="{FF2B5EF4-FFF2-40B4-BE49-F238E27FC236}">
              <a16:creationId xmlns:a16="http://schemas.microsoft.com/office/drawing/2014/main" id="{00000000-0008-0000-0700-00003C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5" name="1084 CuadroTexto">
          <a:extLst>
            <a:ext uri="{FF2B5EF4-FFF2-40B4-BE49-F238E27FC236}">
              <a16:creationId xmlns:a16="http://schemas.microsoft.com/office/drawing/2014/main" id="{00000000-0008-0000-0700-00003D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6" name="1085 CuadroTexto">
          <a:extLst>
            <a:ext uri="{FF2B5EF4-FFF2-40B4-BE49-F238E27FC236}">
              <a16:creationId xmlns:a16="http://schemas.microsoft.com/office/drawing/2014/main" id="{00000000-0008-0000-0700-00003E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7" name="1086 CuadroTexto">
          <a:extLst>
            <a:ext uri="{FF2B5EF4-FFF2-40B4-BE49-F238E27FC236}">
              <a16:creationId xmlns:a16="http://schemas.microsoft.com/office/drawing/2014/main" id="{00000000-0008-0000-0700-00003F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8" name="1087 CuadroTexto">
          <a:extLst>
            <a:ext uri="{FF2B5EF4-FFF2-40B4-BE49-F238E27FC236}">
              <a16:creationId xmlns:a16="http://schemas.microsoft.com/office/drawing/2014/main" id="{00000000-0008-0000-0700-00004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89" name="1088 CuadroTexto">
          <a:extLst>
            <a:ext uri="{FF2B5EF4-FFF2-40B4-BE49-F238E27FC236}">
              <a16:creationId xmlns:a16="http://schemas.microsoft.com/office/drawing/2014/main" id="{00000000-0008-0000-0700-00004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0" name="1089 CuadroTexto">
          <a:extLst>
            <a:ext uri="{FF2B5EF4-FFF2-40B4-BE49-F238E27FC236}">
              <a16:creationId xmlns:a16="http://schemas.microsoft.com/office/drawing/2014/main" id="{00000000-0008-0000-0700-00004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1" name="1090 CuadroTexto">
          <a:extLst>
            <a:ext uri="{FF2B5EF4-FFF2-40B4-BE49-F238E27FC236}">
              <a16:creationId xmlns:a16="http://schemas.microsoft.com/office/drawing/2014/main" id="{00000000-0008-0000-0700-00004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2" name="1091 CuadroTexto">
          <a:extLst>
            <a:ext uri="{FF2B5EF4-FFF2-40B4-BE49-F238E27FC236}">
              <a16:creationId xmlns:a16="http://schemas.microsoft.com/office/drawing/2014/main" id="{00000000-0008-0000-0700-00004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3" name="1092 CuadroTexto">
          <a:extLst>
            <a:ext uri="{FF2B5EF4-FFF2-40B4-BE49-F238E27FC236}">
              <a16:creationId xmlns:a16="http://schemas.microsoft.com/office/drawing/2014/main" id="{00000000-0008-0000-0700-00004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4" name="1093 CuadroTexto">
          <a:extLst>
            <a:ext uri="{FF2B5EF4-FFF2-40B4-BE49-F238E27FC236}">
              <a16:creationId xmlns:a16="http://schemas.microsoft.com/office/drawing/2014/main" id="{00000000-0008-0000-0700-00004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5" name="1094 CuadroTexto">
          <a:extLst>
            <a:ext uri="{FF2B5EF4-FFF2-40B4-BE49-F238E27FC236}">
              <a16:creationId xmlns:a16="http://schemas.microsoft.com/office/drawing/2014/main" id="{00000000-0008-0000-0700-00004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6" name="1095 CuadroTexto">
          <a:extLst>
            <a:ext uri="{FF2B5EF4-FFF2-40B4-BE49-F238E27FC236}">
              <a16:creationId xmlns:a16="http://schemas.microsoft.com/office/drawing/2014/main" id="{00000000-0008-0000-0700-000048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7" name="1096 CuadroTexto">
          <a:extLst>
            <a:ext uri="{FF2B5EF4-FFF2-40B4-BE49-F238E27FC236}">
              <a16:creationId xmlns:a16="http://schemas.microsoft.com/office/drawing/2014/main" id="{00000000-0008-0000-0700-000049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8" name="1097 CuadroTexto">
          <a:extLst>
            <a:ext uri="{FF2B5EF4-FFF2-40B4-BE49-F238E27FC236}">
              <a16:creationId xmlns:a16="http://schemas.microsoft.com/office/drawing/2014/main" id="{00000000-0008-0000-0700-00004A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099" name="1098 CuadroTexto">
          <a:extLst>
            <a:ext uri="{FF2B5EF4-FFF2-40B4-BE49-F238E27FC236}">
              <a16:creationId xmlns:a16="http://schemas.microsoft.com/office/drawing/2014/main" id="{00000000-0008-0000-0700-00004B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0" name="1099 CuadroTexto">
          <a:extLst>
            <a:ext uri="{FF2B5EF4-FFF2-40B4-BE49-F238E27FC236}">
              <a16:creationId xmlns:a16="http://schemas.microsoft.com/office/drawing/2014/main" id="{00000000-0008-0000-0700-00004C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1" name="1100 CuadroTexto">
          <a:extLst>
            <a:ext uri="{FF2B5EF4-FFF2-40B4-BE49-F238E27FC236}">
              <a16:creationId xmlns:a16="http://schemas.microsoft.com/office/drawing/2014/main" id="{00000000-0008-0000-0700-00004D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2" name="1101 CuadroTexto">
          <a:extLst>
            <a:ext uri="{FF2B5EF4-FFF2-40B4-BE49-F238E27FC236}">
              <a16:creationId xmlns:a16="http://schemas.microsoft.com/office/drawing/2014/main" id="{00000000-0008-0000-0700-00004E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3" name="1102 CuadroTexto">
          <a:extLst>
            <a:ext uri="{FF2B5EF4-FFF2-40B4-BE49-F238E27FC236}">
              <a16:creationId xmlns:a16="http://schemas.microsoft.com/office/drawing/2014/main" id="{00000000-0008-0000-0700-00004F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4" name="1103 CuadroTexto">
          <a:extLst>
            <a:ext uri="{FF2B5EF4-FFF2-40B4-BE49-F238E27FC236}">
              <a16:creationId xmlns:a16="http://schemas.microsoft.com/office/drawing/2014/main" id="{00000000-0008-0000-0700-00005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5" name="1104 CuadroTexto">
          <a:extLst>
            <a:ext uri="{FF2B5EF4-FFF2-40B4-BE49-F238E27FC236}">
              <a16:creationId xmlns:a16="http://schemas.microsoft.com/office/drawing/2014/main" id="{00000000-0008-0000-0700-00005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6" name="1105 CuadroTexto">
          <a:extLst>
            <a:ext uri="{FF2B5EF4-FFF2-40B4-BE49-F238E27FC236}">
              <a16:creationId xmlns:a16="http://schemas.microsoft.com/office/drawing/2014/main" id="{00000000-0008-0000-0700-00005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7" name="1106 CuadroTexto">
          <a:extLst>
            <a:ext uri="{FF2B5EF4-FFF2-40B4-BE49-F238E27FC236}">
              <a16:creationId xmlns:a16="http://schemas.microsoft.com/office/drawing/2014/main" id="{00000000-0008-0000-0700-00005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8" name="1107 CuadroTexto">
          <a:extLst>
            <a:ext uri="{FF2B5EF4-FFF2-40B4-BE49-F238E27FC236}">
              <a16:creationId xmlns:a16="http://schemas.microsoft.com/office/drawing/2014/main" id="{00000000-0008-0000-0700-00005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09" name="1108 CuadroTexto">
          <a:extLst>
            <a:ext uri="{FF2B5EF4-FFF2-40B4-BE49-F238E27FC236}">
              <a16:creationId xmlns:a16="http://schemas.microsoft.com/office/drawing/2014/main" id="{00000000-0008-0000-0700-00005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0" name="1109 CuadroTexto">
          <a:extLst>
            <a:ext uri="{FF2B5EF4-FFF2-40B4-BE49-F238E27FC236}">
              <a16:creationId xmlns:a16="http://schemas.microsoft.com/office/drawing/2014/main" id="{00000000-0008-0000-0700-00005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1" name="1110 CuadroTexto">
          <a:extLst>
            <a:ext uri="{FF2B5EF4-FFF2-40B4-BE49-F238E27FC236}">
              <a16:creationId xmlns:a16="http://schemas.microsoft.com/office/drawing/2014/main" id="{00000000-0008-0000-0700-00005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2" name="1111 CuadroTexto">
          <a:extLst>
            <a:ext uri="{FF2B5EF4-FFF2-40B4-BE49-F238E27FC236}">
              <a16:creationId xmlns:a16="http://schemas.microsoft.com/office/drawing/2014/main" id="{00000000-0008-0000-0700-000058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3" name="1112 CuadroTexto">
          <a:extLst>
            <a:ext uri="{FF2B5EF4-FFF2-40B4-BE49-F238E27FC236}">
              <a16:creationId xmlns:a16="http://schemas.microsoft.com/office/drawing/2014/main" id="{00000000-0008-0000-0700-000059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4" name="1113 CuadroTexto">
          <a:extLst>
            <a:ext uri="{FF2B5EF4-FFF2-40B4-BE49-F238E27FC236}">
              <a16:creationId xmlns:a16="http://schemas.microsoft.com/office/drawing/2014/main" id="{00000000-0008-0000-0700-00005A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5" name="1114 CuadroTexto">
          <a:extLst>
            <a:ext uri="{FF2B5EF4-FFF2-40B4-BE49-F238E27FC236}">
              <a16:creationId xmlns:a16="http://schemas.microsoft.com/office/drawing/2014/main" id="{00000000-0008-0000-0700-00005B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6" name="1115 CuadroTexto">
          <a:extLst>
            <a:ext uri="{FF2B5EF4-FFF2-40B4-BE49-F238E27FC236}">
              <a16:creationId xmlns:a16="http://schemas.microsoft.com/office/drawing/2014/main" id="{00000000-0008-0000-0700-00005C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7" name="1116 CuadroTexto">
          <a:extLst>
            <a:ext uri="{FF2B5EF4-FFF2-40B4-BE49-F238E27FC236}">
              <a16:creationId xmlns:a16="http://schemas.microsoft.com/office/drawing/2014/main" id="{00000000-0008-0000-0700-00005D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8" name="1117 CuadroTexto">
          <a:extLst>
            <a:ext uri="{FF2B5EF4-FFF2-40B4-BE49-F238E27FC236}">
              <a16:creationId xmlns:a16="http://schemas.microsoft.com/office/drawing/2014/main" id="{00000000-0008-0000-0700-00005E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19" name="1118 CuadroTexto">
          <a:extLst>
            <a:ext uri="{FF2B5EF4-FFF2-40B4-BE49-F238E27FC236}">
              <a16:creationId xmlns:a16="http://schemas.microsoft.com/office/drawing/2014/main" id="{00000000-0008-0000-0700-00005F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0" name="1119 CuadroTexto">
          <a:extLst>
            <a:ext uri="{FF2B5EF4-FFF2-40B4-BE49-F238E27FC236}">
              <a16:creationId xmlns:a16="http://schemas.microsoft.com/office/drawing/2014/main" id="{00000000-0008-0000-0700-000060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1" name="1120 CuadroTexto">
          <a:extLst>
            <a:ext uri="{FF2B5EF4-FFF2-40B4-BE49-F238E27FC236}">
              <a16:creationId xmlns:a16="http://schemas.microsoft.com/office/drawing/2014/main" id="{00000000-0008-0000-0700-000061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2" name="1121 CuadroTexto">
          <a:extLst>
            <a:ext uri="{FF2B5EF4-FFF2-40B4-BE49-F238E27FC236}">
              <a16:creationId xmlns:a16="http://schemas.microsoft.com/office/drawing/2014/main" id="{00000000-0008-0000-0700-000062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3" name="1122 CuadroTexto">
          <a:extLst>
            <a:ext uri="{FF2B5EF4-FFF2-40B4-BE49-F238E27FC236}">
              <a16:creationId xmlns:a16="http://schemas.microsoft.com/office/drawing/2014/main" id="{00000000-0008-0000-0700-000063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4" name="1123 CuadroTexto">
          <a:extLst>
            <a:ext uri="{FF2B5EF4-FFF2-40B4-BE49-F238E27FC236}">
              <a16:creationId xmlns:a16="http://schemas.microsoft.com/office/drawing/2014/main" id="{00000000-0008-0000-0700-000064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5" name="1124 CuadroTexto">
          <a:extLst>
            <a:ext uri="{FF2B5EF4-FFF2-40B4-BE49-F238E27FC236}">
              <a16:creationId xmlns:a16="http://schemas.microsoft.com/office/drawing/2014/main" id="{00000000-0008-0000-0700-000065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6" name="1125 CuadroTexto">
          <a:extLst>
            <a:ext uri="{FF2B5EF4-FFF2-40B4-BE49-F238E27FC236}">
              <a16:creationId xmlns:a16="http://schemas.microsoft.com/office/drawing/2014/main" id="{00000000-0008-0000-0700-000066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1127" name="1126 CuadroTexto">
          <a:extLst>
            <a:ext uri="{FF2B5EF4-FFF2-40B4-BE49-F238E27FC236}">
              <a16:creationId xmlns:a16="http://schemas.microsoft.com/office/drawing/2014/main" id="{00000000-0008-0000-0700-000067040000}"/>
            </a:ext>
          </a:extLst>
        </xdr:cNvPr>
        <xdr:cNvSpPr txBox="1"/>
      </xdr:nvSpPr>
      <xdr:spPr>
        <a:xfrm>
          <a:off x="7886700" y="5257800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28" name="1127 CuadroTexto">
          <a:extLst>
            <a:ext uri="{FF2B5EF4-FFF2-40B4-BE49-F238E27FC236}">
              <a16:creationId xmlns:a16="http://schemas.microsoft.com/office/drawing/2014/main" id="{00000000-0008-0000-0700-00006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29" name="1128 CuadroTexto">
          <a:extLst>
            <a:ext uri="{FF2B5EF4-FFF2-40B4-BE49-F238E27FC236}">
              <a16:creationId xmlns:a16="http://schemas.microsoft.com/office/drawing/2014/main" id="{00000000-0008-0000-0700-00006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0" name="1129 CuadroTexto">
          <a:extLst>
            <a:ext uri="{FF2B5EF4-FFF2-40B4-BE49-F238E27FC236}">
              <a16:creationId xmlns:a16="http://schemas.microsoft.com/office/drawing/2014/main" id="{00000000-0008-0000-0700-00006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1" name="1130 CuadroTexto">
          <a:extLst>
            <a:ext uri="{FF2B5EF4-FFF2-40B4-BE49-F238E27FC236}">
              <a16:creationId xmlns:a16="http://schemas.microsoft.com/office/drawing/2014/main" id="{00000000-0008-0000-0700-00006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2" name="1131 CuadroTexto">
          <a:extLst>
            <a:ext uri="{FF2B5EF4-FFF2-40B4-BE49-F238E27FC236}">
              <a16:creationId xmlns:a16="http://schemas.microsoft.com/office/drawing/2014/main" id="{00000000-0008-0000-0700-00006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3" name="1132 CuadroTexto">
          <a:extLst>
            <a:ext uri="{FF2B5EF4-FFF2-40B4-BE49-F238E27FC236}">
              <a16:creationId xmlns:a16="http://schemas.microsoft.com/office/drawing/2014/main" id="{00000000-0008-0000-0700-00006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4" name="1133 CuadroTexto">
          <a:extLst>
            <a:ext uri="{FF2B5EF4-FFF2-40B4-BE49-F238E27FC236}">
              <a16:creationId xmlns:a16="http://schemas.microsoft.com/office/drawing/2014/main" id="{00000000-0008-0000-0700-00006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5" name="1134 CuadroTexto">
          <a:extLst>
            <a:ext uri="{FF2B5EF4-FFF2-40B4-BE49-F238E27FC236}">
              <a16:creationId xmlns:a16="http://schemas.microsoft.com/office/drawing/2014/main" id="{00000000-0008-0000-0700-00006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6" name="1135 CuadroTexto">
          <a:extLst>
            <a:ext uri="{FF2B5EF4-FFF2-40B4-BE49-F238E27FC236}">
              <a16:creationId xmlns:a16="http://schemas.microsoft.com/office/drawing/2014/main" id="{00000000-0008-0000-0700-00007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7" name="1136 CuadroTexto">
          <a:extLst>
            <a:ext uri="{FF2B5EF4-FFF2-40B4-BE49-F238E27FC236}">
              <a16:creationId xmlns:a16="http://schemas.microsoft.com/office/drawing/2014/main" id="{00000000-0008-0000-0700-00007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8" name="1137 CuadroTexto">
          <a:extLst>
            <a:ext uri="{FF2B5EF4-FFF2-40B4-BE49-F238E27FC236}">
              <a16:creationId xmlns:a16="http://schemas.microsoft.com/office/drawing/2014/main" id="{00000000-0008-0000-0700-00007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39" name="1138 CuadroTexto">
          <a:extLst>
            <a:ext uri="{FF2B5EF4-FFF2-40B4-BE49-F238E27FC236}">
              <a16:creationId xmlns:a16="http://schemas.microsoft.com/office/drawing/2014/main" id="{00000000-0008-0000-0700-00007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0" name="1139 CuadroTexto">
          <a:extLst>
            <a:ext uri="{FF2B5EF4-FFF2-40B4-BE49-F238E27FC236}">
              <a16:creationId xmlns:a16="http://schemas.microsoft.com/office/drawing/2014/main" id="{00000000-0008-0000-0700-00007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1" name="1140 CuadroTexto">
          <a:extLst>
            <a:ext uri="{FF2B5EF4-FFF2-40B4-BE49-F238E27FC236}">
              <a16:creationId xmlns:a16="http://schemas.microsoft.com/office/drawing/2014/main" id="{00000000-0008-0000-0700-00007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2" name="1141 CuadroTexto">
          <a:extLst>
            <a:ext uri="{FF2B5EF4-FFF2-40B4-BE49-F238E27FC236}">
              <a16:creationId xmlns:a16="http://schemas.microsoft.com/office/drawing/2014/main" id="{00000000-0008-0000-0700-00007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3" name="1142 CuadroTexto">
          <a:extLst>
            <a:ext uri="{FF2B5EF4-FFF2-40B4-BE49-F238E27FC236}">
              <a16:creationId xmlns:a16="http://schemas.microsoft.com/office/drawing/2014/main" id="{00000000-0008-0000-0700-00007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4" name="1143 CuadroTexto">
          <a:extLst>
            <a:ext uri="{FF2B5EF4-FFF2-40B4-BE49-F238E27FC236}">
              <a16:creationId xmlns:a16="http://schemas.microsoft.com/office/drawing/2014/main" id="{00000000-0008-0000-0700-00007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5" name="1144 CuadroTexto">
          <a:extLst>
            <a:ext uri="{FF2B5EF4-FFF2-40B4-BE49-F238E27FC236}">
              <a16:creationId xmlns:a16="http://schemas.microsoft.com/office/drawing/2014/main" id="{00000000-0008-0000-0700-00007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6" name="1145 CuadroTexto">
          <a:extLst>
            <a:ext uri="{FF2B5EF4-FFF2-40B4-BE49-F238E27FC236}">
              <a16:creationId xmlns:a16="http://schemas.microsoft.com/office/drawing/2014/main" id="{00000000-0008-0000-0700-00007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7" name="1146 CuadroTexto">
          <a:extLst>
            <a:ext uri="{FF2B5EF4-FFF2-40B4-BE49-F238E27FC236}">
              <a16:creationId xmlns:a16="http://schemas.microsoft.com/office/drawing/2014/main" id="{00000000-0008-0000-0700-00007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8" name="1147 CuadroTexto">
          <a:extLst>
            <a:ext uri="{FF2B5EF4-FFF2-40B4-BE49-F238E27FC236}">
              <a16:creationId xmlns:a16="http://schemas.microsoft.com/office/drawing/2014/main" id="{00000000-0008-0000-0700-00007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49" name="1148 CuadroTexto">
          <a:extLst>
            <a:ext uri="{FF2B5EF4-FFF2-40B4-BE49-F238E27FC236}">
              <a16:creationId xmlns:a16="http://schemas.microsoft.com/office/drawing/2014/main" id="{00000000-0008-0000-0700-00007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0" name="1149 CuadroTexto">
          <a:extLst>
            <a:ext uri="{FF2B5EF4-FFF2-40B4-BE49-F238E27FC236}">
              <a16:creationId xmlns:a16="http://schemas.microsoft.com/office/drawing/2014/main" id="{00000000-0008-0000-0700-00007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1" name="1150 CuadroTexto">
          <a:extLst>
            <a:ext uri="{FF2B5EF4-FFF2-40B4-BE49-F238E27FC236}">
              <a16:creationId xmlns:a16="http://schemas.microsoft.com/office/drawing/2014/main" id="{00000000-0008-0000-0700-00007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2" name="1151 CuadroTexto">
          <a:extLst>
            <a:ext uri="{FF2B5EF4-FFF2-40B4-BE49-F238E27FC236}">
              <a16:creationId xmlns:a16="http://schemas.microsoft.com/office/drawing/2014/main" id="{00000000-0008-0000-0700-00008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3" name="1152 CuadroTexto">
          <a:extLst>
            <a:ext uri="{FF2B5EF4-FFF2-40B4-BE49-F238E27FC236}">
              <a16:creationId xmlns:a16="http://schemas.microsoft.com/office/drawing/2014/main" id="{00000000-0008-0000-0700-00008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4" name="1153 CuadroTexto">
          <a:extLst>
            <a:ext uri="{FF2B5EF4-FFF2-40B4-BE49-F238E27FC236}">
              <a16:creationId xmlns:a16="http://schemas.microsoft.com/office/drawing/2014/main" id="{00000000-0008-0000-0700-00008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5" name="1154 CuadroTexto">
          <a:extLst>
            <a:ext uri="{FF2B5EF4-FFF2-40B4-BE49-F238E27FC236}">
              <a16:creationId xmlns:a16="http://schemas.microsoft.com/office/drawing/2014/main" id="{00000000-0008-0000-0700-00008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6" name="1155 CuadroTexto">
          <a:extLst>
            <a:ext uri="{FF2B5EF4-FFF2-40B4-BE49-F238E27FC236}">
              <a16:creationId xmlns:a16="http://schemas.microsoft.com/office/drawing/2014/main" id="{00000000-0008-0000-0700-00008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7" name="1156 CuadroTexto">
          <a:extLst>
            <a:ext uri="{FF2B5EF4-FFF2-40B4-BE49-F238E27FC236}">
              <a16:creationId xmlns:a16="http://schemas.microsoft.com/office/drawing/2014/main" id="{00000000-0008-0000-0700-00008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8" name="1157 CuadroTexto">
          <a:extLst>
            <a:ext uri="{FF2B5EF4-FFF2-40B4-BE49-F238E27FC236}">
              <a16:creationId xmlns:a16="http://schemas.microsoft.com/office/drawing/2014/main" id="{00000000-0008-0000-0700-00008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59" name="1158 CuadroTexto">
          <a:extLst>
            <a:ext uri="{FF2B5EF4-FFF2-40B4-BE49-F238E27FC236}">
              <a16:creationId xmlns:a16="http://schemas.microsoft.com/office/drawing/2014/main" id="{00000000-0008-0000-0700-00008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0" name="1159 CuadroTexto">
          <a:extLst>
            <a:ext uri="{FF2B5EF4-FFF2-40B4-BE49-F238E27FC236}">
              <a16:creationId xmlns:a16="http://schemas.microsoft.com/office/drawing/2014/main" id="{00000000-0008-0000-0700-00008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1" name="1160 CuadroTexto">
          <a:extLst>
            <a:ext uri="{FF2B5EF4-FFF2-40B4-BE49-F238E27FC236}">
              <a16:creationId xmlns:a16="http://schemas.microsoft.com/office/drawing/2014/main" id="{00000000-0008-0000-0700-00008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2" name="1161 CuadroTexto">
          <a:extLst>
            <a:ext uri="{FF2B5EF4-FFF2-40B4-BE49-F238E27FC236}">
              <a16:creationId xmlns:a16="http://schemas.microsoft.com/office/drawing/2014/main" id="{00000000-0008-0000-0700-00008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3" name="1162 CuadroTexto">
          <a:extLst>
            <a:ext uri="{FF2B5EF4-FFF2-40B4-BE49-F238E27FC236}">
              <a16:creationId xmlns:a16="http://schemas.microsoft.com/office/drawing/2014/main" id="{00000000-0008-0000-0700-00008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4" name="1163 CuadroTexto">
          <a:extLst>
            <a:ext uri="{FF2B5EF4-FFF2-40B4-BE49-F238E27FC236}">
              <a16:creationId xmlns:a16="http://schemas.microsoft.com/office/drawing/2014/main" id="{00000000-0008-0000-0700-00008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5" name="1164 CuadroTexto">
          <a:extLst>
            <a:ext uri="{FF2B5EF4-FFF2-40B4-BE49-F238E27FC236}">
              <a16:creationId xmlns:a16="http://schemas.microsoft.com/office/drawing/2014/main" id="{00000000-0008-0000-0700-00008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6" name="1165 CuadroTexto">
          <a:extLst>
            <a:ext uri="{FF2B5EF4-FFF2-40B4-BE49-F238E27FC236}">
              <a16:creationId xmlns:a16="http://schemas.microsoft.com/office/drawing/2014/main" id="{00000000-0008-0000-0700-00008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7" name="1166 CuadroTexto">
          <a:extLst>
            <a:ext uri="{FF2B5EF4-FFF2-40B4-BE49-F238E27FC236}">
              <a16:creationId xmlns:a16="http://schemas.microsoft.com/office/drawing/2014/main" id="{00000000-0008-0000-0700-00008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8" name="1167 CuadroTexto">
          <a:extLst>
            <a:ext uri="{FF2B5EF4-FFF2-40B4-BE49-F238E27FC236}">
              <a16:creationId xmlns:a16="http://schemas.microsoft.com/office/drawing/2014/main" id="{00000000-0008-0000-0700-00009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69" name="1168 CuadroTexto">
          <a:extLst>
            <a:ext uri="{FF2B5EF4-FFF2-40B4-BE49-F238E27FC236}">
              <a16:creationId xmlns:a16="http://schemas.microsoft.com/office/drawing/2014/main" id="{00000000-0008-0000-0700-00009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0" name="1169 CuadroTexto">
          <a:extLst>
            <a:ext uri="{FF2B5EF4-FFF2-40B4-BE49-F238E27FC236}">
              <a16:creationId xmlns:a16="http://schemas.microsoft.com/office/drawing/2014/main" id="{00000000-0008-0000-0700-00009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1" name="1170 CuadroTexto">
          <a:extLst>
            <a:ext uri="{FF2B5EF4-FFF2-40B4-BE49-F238E27FC236}">
              <a16:creationId xmlns:a16="http://schemas.microsoft.com/office/drawing/2014/main" id="{00000000-0008-0000-0700-00009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2" name="1171 CuadroTexto">
          <a:extLst>
            <a:ext uri="{FF2B5EF4-FFF2-40B4-BE49-F238E27FC236}">
              <a16:creationId xmlns:a16="http://schemas.microsoft.com/office/drawing/2014/main" id="{00000000-0008-0000-0700-00009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3" name="1172 CuadroTexto">
          <a:extLst>
            <a:ext uri="{FF2B5EF4-FFF2-40B4-BE49-F238E27FC236}">
              <a16:creationId xmlns:a16="http://schemas.microsoft.com/office/drawing/2014/main" id="{00000000-0008-0000-0700-00009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4" name="1173 CuadroTexto">
          <a:extLst>
            <a:ext uri="{FF2B5EF4-FFF2-40B4-BE49-F238E27FC236}">
              <a16:creationId xmlns:a16="http://schemas.microsoft.com/office/drawing/2014/main" id="{00000000-0008-0000-0700-00009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5" name="1174 CuadroTexto">
          <a:extLst>
            <a:ext uri="{FF2B5EF4-FFF2-40B4-BE49-F238E27FC236}">
              <a16:creationId xmlns:a16="http://schemas.microsoft.com/office/drawing/2014/main" id="{00000000-0008-0000-0700-00009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6" name="1175 CuadroTexto">
          <a:extLst>
            <a:ext uri="{FF2B5EF4-FFF2-40B4-BE49-F238E27FC236}">
              <a16:creationId xmlns:a16="http://schemas.microsoft.com/office/drawing/2014/main" id="{00000000-0008-0000-0700-00009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7" name="1176 CuadroTexto">
          <a:extLst>
            <a:ext uri="{FF2B5EF4-FFF2-40B4-BE49-F238E27FC236}">
              <a16:creationId xmlns:a16="http://schemas.microsoft.com/office/drawing/2014/main" id="{00000000-0008-0000-0700-00009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8" name="1177 CuadroTexto">
          <a:extLst>
            <a:ext uri="{FF2B5EF4-FFF2-40B4-BE49-F238E27FC236}">
              <a16:creationId xmlns:a16="http://schemas.microsoft.com/office/drawing/2014/main" id="{00000000-0008-0000-0700-00009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79" name="1178 CuadroTexto">
          <a:extLst>
            <a:ext uri="{FF2B5EF4-FFF2-40B4-BE49-F238E27FC236}">
              <a16:creationId xmlns:a16="http://schemas.microsoft.com/office/drawing/2014/main" id="{00000000-0008-0000-0700-00009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0" name="1179 CuadroTexto">
          <a:extLst>
            <a:ext uri="{FF2B5EF4-FFF2-40B4-BE49-F238E27FC236}">
              <a16:creationId xmlns:a16="http://schemas.microsoft.com/office/drawing/2014/main" id="{00000000-0008-0000-0700-00009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1" name="1180 CuadroTexto">
          <a:extLst>
            <a:ext uri="{FF2B5EF4-FFF2-40B4-BE49-F238E27FC236}">
              <a16:creationId xmlns:a16="http://schemas.microsoft.com/office/drawing/2014/main" id="{00000000-0008-0000-0700-00009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2" name="1181 CuadroTexto">
          <a:extLst>
            <a:ext uri="{FF2B5EF4-FFF2-40B4-BE49-F238E27FC236}">
              <a16:creationId xmlns:a16="http://schemas.microsoft.com/office/drawing/2014/main" id="{00000000-0008-0000-0700-00009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3" name="1182 CuadroTexto">
          <a:extLst>
            <a:ext uri="{FF2B5EF4-FFF2-40B4-BE49-F238E27FC236}">
              <a16:creationId xmlns:a16="http://schemas.microsoft.com/office/drawing/2014/main" id="{00000000-0008-0000-0700-00009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4" name="1183 CuadroTexto">
          <a:extLst>
            <a:ext uri="{FF2B5EF4-FFF2-40B4-BE49-F238E27FC236}">
              <a16:creationId xmlns:a16="http://schemas.microsoft.com/office/drawing/2014/main" id="{00000000-0008-0000-0700-0000A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5" name="1184 CuadroTexto">
          <a:extLst>
            <a:ext uri="{FF2B5EF4-FFF2-40B4-BE49-F238E27FC236}">
              <a16:creationId xmlns:a16="http://schemas.microsoft.com/office/drawing/2014/main" id="{00000000-0008-0000-0700-0000A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6" name="1185 CuadroTexto">
          <a:extLst>
            <a:ext uri="{FF2B5EF4-FFF2-40B4-BE49-F238E27FC236}">
              <a16:creationId xmlns:a16="http://schemas.microsoft.com/office/drawing/2014/main" id="{00000000-0008-0000-0700-0000A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7" name="1186 CuadroTexto">
          <a:extLst>
            <a:ext uri="{FF2B5EF4-FFF2-40B4-BE49-F238E27FC236}">
              <a16:creationId xmlns:a16="http://schemas.microsoft.com/office/drawing/2014/main" id="{00000000-0008-0000-0700-0000A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8" name="1187 CuadroTexto">
          <a:extLst>
            <a:ext uri="{FF2B5EF4-FFF2-40B4-BE49-F238E27FC236}">
              <a16:creationId xmlns:a16="http://schemas.microsoft.com/office/drawing/2014/main" id="{00000000-0008-0000-0700-0000A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89" name="1188 CuadroTexto">
          <a:extLst>
            <a:ext uri="{FF2B5EF4-FFF2-40B4-BE49-F238E27FC236}">
              <a16:creationId xmlns:a16="http://schemas.microsoft.com/office/drawing/2014/main" id="{00000000-0008-0000-0700-0000A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0" name="1189 CuadroTexto">
          <a:extLst>
            <a:ext uri="{FF2B5EF4-FFF2-40B4-BE49-F238E27FC236}">
              <a16:creationId xmlns:a16="http://schemas.microsoft.com/office/drawing/2014/main" id="{00000000-0008-0000-0700-0000A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1" name="1190 CuadroTexto">
          <a:extLst>
            <a:ext uri="{FF2B5EF4-FFF2-40B4-BE49-F238E27FC236}">
              <a16:creationId xmlns:a16="http://schemas.microsoft.com/office/drawing/2014/main" id="{00000000-0008-0000-0700-0000A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2" name="1191 CuadroTexto">
          <a:extLst>
            <a:ext uri="{FF2B5EF4-FFF2-40B4-BE49-F238E27FC236}">
              <a16:creationId xmlns:a16="http://schemas.microsoft.com/office/drawing/2014/main" id="{00000000-0008-0000-0700-0000A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3" name="1192 CuadroTexto">
          <a:extLst>
            <a:ext uri="{FF2B5EF4-FFF2-40B4-BE49-F238E27FC236}">
              <a16:creationId xmlns:a16="http://schemas.microsoft.com/office/drawing/2014/main" id="{00000000-0008-0000-0700-0000A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4" name="1193 CuadroTexto">
          <a:extLst>
            <a:ext uri="{FF2B5EF4-FFF2-40B4-BE49-F238E27FC236}">
              <a16:creationId xmlns:a16="http://schemas.microsoft.com/office/drawing/2014/main" id="{00000000-0008-0000-0700-0000A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5" name="1194 CuadroTexto">
          <a:extLst>
            <a:ext uri="{FF2B5EF4-FFF2-40B4-BE49-F238E27FC236}">
              <a16:creationId xmlns:a16="http://schemas.microsoft.com/office/drawing/2014/main" id="{00000000-0008-0000-0700-0000A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6" name="1195 CuadroTexto">
          <a:extLst>
            <a:ext uri="{FF2B5EF4-FFF2-40B4-BE49-F238E27FC236}">
              <a16:creationId xmlns:a16="http://schemas.microsoft.com/office/drawing/2014/main" id="{00000000-0008-0000-0700-0000A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7" name="1196 CuadroTexto">
          <a:extLst>
            <a:ext uri="{FF2B5EF4-FFF2-40B4-BE49-F238E27FC236}">
              <a16:creationId xmlns:a16="http://schemas.microsoft.com/office/drawing/2014/main" id="{00000000-0008-0000-0700-0000A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8" name="1197 CuadroTexto">
          <a:extLst>
            <a:ext uri="{FF2B5EF4-FFF2-40B4-BE49-F238E27FC236}">
              <a16:creationId xmlns:a16="http://schemas.microsoft.com/office/drawing/2014/main" id="{00000000-0008-0000-0700-0000A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199" name="1198 CuadroTexto">
          <a:extLst>
            <a:ext uri="{FF2B5EF4-FFF2-40B4-BE49-F238E27FC236}">
              <a16:creationId xmlns:a16="http://schemas.microsoft.com/office/drawing/2014/main" id="{00000000-0008-0000-0700-0000A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0" name="1199 CuadroTexto">
          <a:extLst>
            <a:ext uri="{FF2B5EF4-FFF2-40B4-BE49-F238E27FC236}">
              <a16:creationId xmlns:a16="http://schemas.microsoft.com/office/drawing/2014/main" id="{00000000-0008-0000-0700-0000B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1" name="1200 CuadroTexto">
          <a:extLst>
            <a:ext uri="{FF2B5EF4-FFF2-40B4-BE49-F238E27FC236}">
              <a16:creationId xmlns:a16="http://schemas.microsoft.com/office/drawing/2014/main" id="{00000000-0008-0000-0700-0000B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2" name="1201 CuadroTexto">
          <a:extLst>
            <a:ext uri="{FF2B5EF4-FFF2-40B4-BE49-F238E27FC236}">
              <a16:creationId xmlns:a16="http://schemas.microsoft.com/office/drawing/2014/main" id="{00000000-0008-0000-0700-0000B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3" name="1202 CuadroTexto">
          <a:extLst>
            <a:ext uri="{FF2B5EF4-FFF2-40B4-BE49-F238E27FC236}">
              <a16:creationId xmlns:a16="http://schemas.microsoft.com/office/drawing/2014/main" id="{00000000-0008-0000-0700-0000B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4" name="1203 CuadroTexto">
          <a:extLst>
            <a:ext uri="{FF2B5EF4-FFF2-40B4-BE49-F238E27FC236}">
              <a16:creationId xmlns:a16="http://schemas.microsoft.com/office/drawing/2014/main" id="{00000000-0008-0000-0700-0000B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5" name="1204 CuadroTexto">
          <a:extLst>
            <a:ext uri="{FF2B5EF4-FFF2-40B4-BE49-F238E27FC236}">
              <a16:creationId xmlns:a16="http://schemas.microsoft.com/office/drawing/2014/main" id="{00000000-0008-0000-0700-0000B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6" name="1205 CuadroTexto">
          <a:extLst>
            <a:ext uri="{FF2B5EF4-FFF2-40B4-BE49-F238E27FC236}">
              <a16:creationId xmlns:a16="http://schemas.microsoft.com/office/drawing/2014/main" id="{00000000-0008-0000-0700-0000B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7" name="1206 CuadroTexto">
          <a:extLst>
            <a:ext uri="{FF2B5EF4-FFF2-40B4-BE49-F238E27FC236}">
              <a16:creationId xmlns:a16="http://schemas.microsoft.com/office/drawing/2014/main" id="{00000000-0008-0000-0700-0000B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8" name="1207 CuadroTexto">
          <a:extLst>
            <a:ext uri="{FF2B5EF4-FFF2-40B4-BE49-F238E27FC236}">
              <a16:creationId xmlns:a16="http://schemas.microsoft.com/office/drawing/2014/main" id="{00000000-0008-0000-0700-0000B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09" name="1208 CuadroTexto">
          <a:extLst>
            <a:ext uri="{FF2B5EF4-FFF2-40B4-BE49-F238E27FC236}">
              <a16:creationId xmlns:a16="http://schemas.microsoft.com/office/drawing/2014/main" id="{00000000-0008-0000-0700-0000B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0" name="1209 CuadroTexto">
          <a:extLst>
            <a:ext uri="{FF2B5EF4-FFF2-40B4-BE49-F238E27FC236}">
              <a16:creationId xmlns:a16="http://schemas.microsoft.com/office/drawing/2014/main" id="{00000000-0008-0000-0700-0000B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1" name="1210 CuadroTexto">
          <a:extLst>
            <a:ext uri="{FF2B5EF4-FFF2-40B4-BE49-F238E27FC236}">
              <a16:creationId xmlns:a16="http://schemas.microsoft.com/office/drawing/2014/main" id="{00000000-0008-0000-0700-0000B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2" name="1211 CuadroTexto">
          <a:extLst>
            <a:ext uri="{FF2B5EF4-FFF2-40B4-BE49-F238E27FC236}">
              <a16:creationId xmlns:a16="http://schemas.microsoft.com/office/drawing/2014/main" id="{00000000-0008-0000-0700-0000B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3" name="1212 CuadroTexto">
          <a:extLst>
            <a:ext uri="{FF2B5EF4-FFF2-40B4-BE49-F238E27FC236}">
              <a16:creationId xmlns:a16="http://schemas.microsoft.com/office/drawing/2014/main" id="{00000000-0008-0000-0700-0000B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4" name="1213 CuadroTexto">
          <a:extLst>
            <a:ext uri="{FF2B5EF4-FFF2-40B4-BE49-F238E27FC236}">
              <a16:creationId xmlns:a16="http://schemas.microsoft.com/office/drawing/2014/main" id="{00000000-0008-0000-0700-0000B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5" name="1214 CuadroTexto">
          <a:extLst>
            <a:ext uri="{FF2B5EF4-FFF2-40B4-BE49-F238E27FC236}">
              <a16:creationId xmlns:a16="http://schemas.microsoft.com/office/drawing/2014/main" id="{00000000-0008-0000-0700-0000B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6" name="1215 CuadroTexto">
          <a:extLst>
            <a:ext uri="{FF2B5EF4-FFF2-40B4-BE49-F238E27FC236}">
              <a16:creationId xmlns:a16="http://schemas.microsoft.com/office/drawing/2014/main" id="{00000000-0008-0000-0700-0000C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7" name="1216 CuadroTexto">
          <a:extLst>
            <a:ext uri="{FF2B5EF4-FFF2-40B4-BE49-F238E27FC236}">
              <a16:creationId xmlns:a16="http://schemas.microsoft.com/office/drawing/2014/main" id="{00000000-0008-0000-0700-0000C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8" name="1217 CuadroTexto">
          <a:extLst>
            <a:ext uri="{FF2B5EF4-FFF2-40B4-BE49-F238E27FC236}">
              <a16:creationId xmlns:a16="http://schemas.microsoft.com/office/drawing/2014/main" id="{00000000-0008-0000-0700-0000C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19" name="1218 CuadroTexto">
          <a:extLst>
            <a:ext uri="{FF2B5EF4-FFF2-40B4-BE49-F238E27FC236}">
              <a16:creationId xmlns:a16="http://schemas.microsoft.com/office/drawing/2014/main" id="{00000000-0008-0000-0700-0000C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0" name="1219 CuadroTexto">
          <a:extLst>
            <a:ext uri="{FF2B5EF4-FFF2-40B4-BE49-F238E27FC236}">
              <a16:creationId xmlns:a16="http://schemas.microsoft.com/office/drawing/2014/main" id="{00000000-0008-0000-0700-0000C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1" name="1220 CuadroTexto">
          <a:extLst>
            <a:ext uri="{FF2B5EF4-FFF2-40B4-BE49-F238E27FC236}">
              <a16:creationId xmlns:a16="http://schemas.microsoft.com/office/drawing/2014/main" id="{00000000-0008-0000-0700-0000C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2" name="1221 CuadroTexto">
          <a:extLst>
            <a:ext uri="{FF2B5EF4-FFF2-40B4-BE49-F238E27FC236}">
              <a16:creationId xmlns:a16="http://schemas.microsoft.com/office/drawing/2014/main" id="{00000000-0008-0000-0700-0000C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3" name="1222 CuadroTexto">
          <a:extLst>
            <a:ext uri="{FF2B5EF4-FFF2-40B4-BE49-F238E27FC236}">
              <a16:creationId xmlns:a16="http://schemas.microsoft.com/office/drawing/2014/main" id="{00000000-0008-0000-0700-0000C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4" name="1223 CuadroTexto">
          <a:extLst>
            <a:ext uri="{FF2B5EF4-FFF2-40B4-BE49-F238E27FC236}">
              <a16:creationId xmlns:a16="http://schemas.microsoft.com/office/drawing/2014/main" id="{00000000-0008-0000-0700-0000C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5" name="1224 CuadroTexto">
          <a:extLst>
            <a:ext uri="{FF2B5EF4-FFF2-40B4-BE49-F238E27FC236}">
              <a16:creationId xmlns:a16="http://schemas.microsoft.com/office/drawing/2014/main" id="{00000000-0008-0000-0700-0000C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6" name="1225 CuadroTexto">
          <a:extLst>
            <a:ext uri="{FF2B5EF4-FFF2-40B4-BE49-F238E27FC236}">
              <a16:creationId xmlns:a16="http://schemas.microsoft.com/office/drawing/2014/main" id="{00000000-0008-0000-0700-0000C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7" name="1226 CuadroTexto">
          <a:extLst>
            <a:ext uri="{FF2B5EF4-FFF2-40B4-BE49-F238E27FC236}">
              <a16:creationId xmlns:a16="http://schemas.microsoft.com/office/drawing/2014/main" id="{00000000-0008-0000-0700-0000C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8" name="1227 CuadroTexto">
          <a:extLst>
            <a:ext uri="{FF2B5EF4-FFF2-40B4-BE49-F238E27FC236}">
              <a16:creationId xmlns:a16="http://schemas.microsoft.com/office/drawing/2014/main" id="{00000000-0008-0000-0700-0000C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29" name="1228 CuadroTexto">
          <a:extLst>
            <a:ext uri="{FF2B5EF4-FFF2-40B4-BE49-F238E27FC236}">
              <a16:creationId xmlns:a16="http://schemas.microsoft.com/office/drawing/2014/main" id="{00000000-0008-0000-0700-0000C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0" name="1229 CuadroTexto">
          <a:extLst>
            <a:ext uri="{FF2B5EF4-FFF2-40B4-BE49-F238E27FC236}">
              <a16:creationId xmlns:a16="http://schemas.microsoft.com/office/drawing/2014/main" id="{00000000-0008-0000-0700-0000C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1" name="1230 CuadroTexto">
          <a:extLst>
            <a:ext uri="{FF2B5EF4-FFF2-40B4-BE49-F238E27FC236}">
              <a16:creationId xmlns:a16="http://schemas.microsoft.com/office/drawing/2014/main" id="{00000000-0008-0000-0700-0000C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2" name="1231 CuadroTexto">
          <a:extLst>
            <a:ext uri="{FF2B5EF4-FFF2-40B4-BE49-F238E27FC236}">
              <a16:creationId xmlns:a16="http://schemas.microsoft.com/office/drawing/2014/main" id="{00000000-0008-0000-0700-0000D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3" name="1232 CuadroTexto">
          <a:extLst>
            <a:ext uri="{FF2B5EF4-FFF2-40B4-BE49-F238E27FC236}">
              <a16:creationId xmlns:a16="http://schemas.microsoft.com/office/drawing/2014/main" id="{00000000-0008-0000-0700-0000D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4" name="1233 CuadroTexto">
          <a:extLst>
            <a:ext uri="{FF2B5EF4-FFF2-40B4-BE49-F238E27FC236}">
              <a16:creationId xmlns:a16="http://schemas.microsoft.com/office/drawing/2014/main" id="{00000000-0008-0000-0700-0000D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5" name="1234 CuadroTexto">
          <a:extLst>
            <a:ext uri="{FF2B5EF4-FFF2-40B4-BE49-F238E27FC236}">
              <a16:creationId xmlns:a16="http://schemas.microsoft.com/office/drawing/2014/main" id="{00000000-0008-0000-0700-0000D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6" name="1235 CuadroTexto">
          <a:extLst>
            <a:ext uri="{FF2B5EF4-FFF2-40B4-BE49-F238E27FC236}">
              <a16:creationId xmlns:a16="http://schemas.microsoft.com/office/drawing/2014/main" id="{00000000-0008-0000-0700-0000D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7" name="1236 CuadroTexto">
          <a:extLst>
            <a:ext uri="{FF2B5EF4-FFF2-40B4-BE49-F238E27FC236}">
              <a16:creationId xmlns:a16="http://schemas.microsoft.com/office/drawing/2014/main" id="{00000000-0008-0000-0700-0000D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8" name="1237 CuadroTexto">
          <a:extLst>
            <a:ext uri="{FF2B5EF4-FFF2-40B4-BE49-F238E27FC236}">
              <a16:creationId xmlns:a16="http://schemas.microsoft.com/office/drawing/2014/main" id="{00000000-0008-0000-0700-0000D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39" name="1238 CuadroTexto">
          <a:extLst>
            <a:ext uri="{FF2B5EF4-FFF2-40B4-BE49-F238E27FC236}">
              <a16:creationId xmlns:a16="http://schemas.microsoft.com/office/drawing/2014/main" id="{00000000-0008-0000-0700-0000D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0" name="1239 CuadroTexto">
          <a:extLst>
            <a:ext uri="{FF2B5EF4-FFF2-40B4-BE49-F238E27FC236}">
              <a16:creationId xmlns:a16="http://schemas.microsoft.com/office/drawing/2014/main" id="{00000000-0008-0000-0700-0000D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1" name="1240 CuadroTexto">
          <a:extLst>
            <a:ext uri="{FF2B5EF4-FFF2-40B4-BE49-F238E27FC236}">
              <a16:creationId xmlns:a16="http://schemas.microsoft.com/office/drawing/2014/main" id="{00000000-0008-0000-0700-0000D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2" name="1241 CuadroTexto">
          <a:extLst>
            <a:ext uri="{FF2B5EF4-FFF2-40B4-BE49-F238E27FC236}">
              <a16:creationId xmlns:a16="http://schemas.microsoft.com/office/drawing/2014/main" id="{00000000-0008-0000-0700-0000D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3" name="1242 CuadroTexto">
          <a:extLst>
            <a:ext uri="{FF2B5EF4-FFF2-40B4-BE49-F238E27FC236}">
              <a16:creationId xmlns:a16="http://schemas.microsoft.com/office/drawing/2014/main" id="{00000000-0008-0000-0700-0000D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4" name="1243 CuadroTexto">
          <a:extLst>
            <a:ext uri="{FF2B5EF4-FFF2-40B4-BE49-F238E27FC236}">
              <a16:creationId xmlns:a16="http://schemas.microsoft.com/office/drawing/2014/main" id="{00000000-0008-0000-0700-0000D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5" name="1244 CuadroTexto">
          <a:extLst>
            <a:ext uri="{FF2B5EF4-FFF2-40B4-BE49-F238E27FC236}">
              <a16:creationId xmlns:a16="http://schemas.microsoft.com/office/drawing/2014/main" id="{00000000-0008-0000-0700-0000D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6" name="1245 CuadroTexto">
          <a:extLst>
            <a:ext uri="{FF2B5EF4-FFF2-40B4-BE49-F238E27FC236}">
              <a16:creationId xmlns:a16="http://schemas.microsoft.com/office/drawing/2014/main" id="{00000000-0008-0000-0700-0000D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7" name="1246 CuadroTexto">
          <a:extLst>
            <a:ext uri="{FF2B5EF4-FFF2-40B4-BE49-F238E27FC236}">
              <a16:creationId xmlns:a16="http://schemas.microsoft.com/office/drawing/2014/main" id="{00000000-0008-0000-0700-0000D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8" name="1247 CuadroTexto">
          <a:extLst>
            <a:ext uri="{FF2B5EF4-FFF2-40B4-BE49-F238E27FC236}">
              <a16:creationId xmlns:a16="http://schemas.microsoft.com/office/drawing/2014/main" id="{00000000-0008-0000-0700-0000E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49" name="1248 CuadroTexto">
          <a:extLst>
            <a:ext uri="{FF2B5EF4-FFF2-40B4-BE49-F238E27FC236}">
              <a16:creationId xmlns:a16="http://schemas.microsoft.com/office/drawing/2014/main" id="{00000000-0008-0000-0700-0000E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0" name="1249 CuadroTexto">
          <a:extLst>
            <a:ext uri="{FF2B5EF4-FFF2-40B4-BE49-F238E27FC236}">
              <a16:creationId xmlns:a16="http://schemas.microsoft.com/office/drawing/2014/main" id="{00000000-0008-0000-0700-0000E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1" name="1250 CuadroTexto">
          <a:extLst>
            <a:ext uri="{FF2B5EF4-FFF2-40B4-BE49-F238E27FC236}">
              <a16:creationId xmlns:a16="http://schemas.microsoft.com/office/drawing/2014/main" id="{00000000-0008-0000-0700-0000E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2" name="1251 CuadroTexto">
          <a:extLst>
            <a:ext uri="{FF2B5EF4-FFF2-40B4-BE49-F238E27FC236}">
              <a16:creationId xmlns:a16="http://schemas.microsoft.com/office/drawing/2014/main" id="{00000000-0008-0000-0700-0000E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3" name="1252 CuadroTexto">
          <a:extLst>
            <a:ext uri="{FF2B5EF4-FFF2-40B4-BE49-F238E27FC236}">
              <a16:creationId xmlns:a16="http://schemas.microsoft.com/office/drawing/2014/main" id="{00000000-0008-0000-0700-0000E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4" name="1253 CuadroTexto">
          <a:extLst>
            <a:ext uri="{FF2B5EF4-FFF2-40B4-BE49-F238E27FC236}">
              <a16:creationId xmlns:a16="http://schemas.microsoft.com/office/drawing/2014/main" id="{00000000-0008-0000-0700-0000E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5" name="1254 CuadroTexto">
          <a:extLst>
            <a:ext uri="{FF2B5EF4-FFF2-40B4-BE49-F238E27FC236}">
              <a16:creationId xmlns:a16="http://schemas.microsoft.com/office/drawing/2014/main" id="{00000000-0008-0000-0700-0000E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6" name="1255 CuadroTexto">
          <a:extLst>
            <a:ext uri="{FF2B5EF4-FFF2-40B4-BE49-F238E27FC236}">
              <a16:creationId xmlns:a16="http://schemas.microsoft.com/office/drawing/2014/main" id="{00000000-0008-0000-0700-0000E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7" name="1256 CuadroTexto">
          <a:extLst>
            <a:ext uri="{FF2B5EF4-FFF2-40B4-BE49-F238E27FC236}">
              <a16:creationId xmlns:a16="http://schemas.microsoft.com/office/drawing/2014/main" id="{00000000-0008-0000-0700-0000E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8" name="1257 CuadroTexto">
          <a:extLst>
            <a:ext uri="{FF2B5EF4-FFF2-40B4-BE49-F238E27FC236}">
              <a16:creationId xmlns:a16="http://schemas.microsoft.com/office/drawing/2014/main" id="{00000000-0008-0000-0700-0000E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59" name="1258 CuadroTexto">
          <a:extLst>
            <a:ext uri="{FF2B5EF4-FFF2-40B4-BE49-F238E27FC236}">
              <a16:creationId xmlns:a16="http://schemas.microsoft.com/office/drawing/2014/main" id="{00000000-0008-0000-0700-0000E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0" name="1259 CuadroTexto">
          <a:extLst>
            <a:ext uri="{FF2B5EF4-FFF2-40B4-BE49-F238E27FC236}">
              <a16:creationId xmlns:a16="http://schemas.microsoft.com/office/drawing/2014/main" id="{00000000-0008-0000-0700-0000E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1" name="1260 CuadroTexto">
          <a:extLst>
            <a:ext uri="{FF2B5EF4-FFF2-40B4-BE49-F238E27FC236}">
              <a16:creationId xmlns:a16="http://schemas.microsoft.com/office/drawing/2014/main" id="{00000000-0008-0000-0700-0000E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2" name="1261 CuadroTexto">
          <a:extLst>
            <a:ext uri="{FF2B5EF4-FFF2-40B4-BE49-F238E27FC236}">
              <a16:creationId xmlns:a16="http://schemas.microsoft.com/office/drawing/2014/main" id="{00000000-0008-0000-0700-0000E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3" name="1262 CuadroTexto">
          <a:extLst>
            <a:ext uri="{FF2B5EF4-FFF2-40B4-BE49-F238E27FC236}">
              <a16:creationId xmlns:a16="http://schemas.microsoft.com/office/drawing/2014/main" id="{00000000-0008-0000-0700-0000E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4" name="1263 CuadroTexto">
          <a:extLst>
            <a:ext uri="{FF2B5EF4-FFF2-40B4-BE49-F238E27FC236}">
              <a16:creationId xmlns:a16="http://schemas.microsoft.com/office/drawing/2014/main" id="{00000000-0008-0000-0700-0000F0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5" name="1264 CuadroTexto">
          <a:extLst>
            <a:ext uri="{FF2B5EF4-FFF2-40B4-BE49-F238E27FC236}">
              <a16:creationId xmlns:a16="http://schemas.microsoft.com/office/drawing/2014/main" id="{00000000-0008-0000-0700-0000F1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6" name="1265 CuadroTexto">
          <a:extLst>
            <a:ext uri="{FF2B5EF4-FFF2-40B4-BE49-F238E27FC236}">
              <a16:creationId xmlns:a16="http://schemas.microsoft.com/office/drawing/2014/main" id="{00000000-0008-0000-0700-0000F2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7" name="1266 CuadroTexto">
          <a:extLst>
            <a:ext uri="{FF2B5EF4-FFF2-40B4-BE49-F238E27FC236}">
              <a16:creationId xmlns:a16="http://schemas.microsoft.com/office/drawing/2014/main" id="{00000000-0008-0000-0700-0000F3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8" name="1267 CuadroTexto">
          <a:extLst>
            <a:ext uri="{FF2B5EF4-FFF2-40B4-BE49-F238E27FC236}">
              <a16:creationId xmlns:a16="http://schemas.microsoft.com/office/drawing/2014/main" id="{00000000-0008-0000-0700-0000F4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69" name="1268 CuadroTexto">
          <a:extLst>
            <a:ext uri="{FF2B5EF4-FFF2-40B4-BE49-F238E27FC236}">
              <a16:creationId xmlns:a16="http://schemas.microsoft.com/office/drawing/2014/main" id="{00000000-0008-0000-0700-0000F5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0" name="1269 CuadroTexto">
          <a:extLst>
            <a:ext uri="{FF2B5EF4-FFF2-40B4-BE49-F238E27FC236}">
              <a16:creationId xmlns:a16="http://schemas.microsoft.com/office/drawing/2014/main" id="{00000000-0008-0000-0700-0000F6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1" name="1270 CuadroTexto">
          <a:extLst>
            <a:ext uri="{FF2B5EF4-FFF2-40B4-BE49-F238E27FC236}">
              <a16:creationId xmlns:a16="http://schemas.microsoft.com/office/drawing/2014/main" id="{00000000-0008-0000-0700-0000F7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2" name="1271 CuadroTexto">
          <a:extLst>
            <a:ext uri="{FF2B5EF4-FFF2-40B4-BE49-F238E27FC236}">
              <a16:creationId xmlns:a16="http://schemas.microsoft.com/office/drawing/2014/main" id="{00000000-0008-0000-0700-0000F8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3" name="1272 CuadroTexto">
          <a:extLst>
            <a:ext uri="{FF2B5EF4-FFF2-40B4-BE49-F238E27FC236}">
              <a16:creationId xmlns:a16="http://schemas.microsoft.com/office/drawing/2014/main" id="{00000000-0008-0000-0700-0000F9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4" name="1273 CuadroTexto">
          <a:extLst>
            <a:ext uri="{FF2B5EF4-FFF2-40B4-BE49-F238E27FC236}">
              <a16:creationId xmlns:a16="http://schemas.microsoft.com/office/drawing/2014/main" id="{00000000-0008-0000-0700-0000FA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5" name="1274 CuadroTexto">
          <a:extLst>
            <a:ext uri="{FF2B5EF4-FFF2-40B4-BE49-F238E27FC236}">
              <a16:creationId xmlns:a16="http://schemas.microsoft.com/office/drawing/2014/main" id="{00000000-0008-0000-0700-0000FB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6" name="1275 CuadroTexto">
          <a:extLst>
            <a:ext uri="{FF2B5EF4-FFF2-40B4-BE49-F238E27FC236}">
              <a16:creationId xmlns:a16="http://schemas.microsoft.com/office/drawing/2014/main" id="{00000000-0008-0000-0700-0000FC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7" name="1276 CuadroTexto">
          <a:extLst>
            <a:ext uri="{FF2B5EF4-FFF2-40B4-BE49-F238E27FC236}">
              <a16:creationId xmlns:a16="http://schemas.microsoft.com/office/drawing/2014/main" id="{00000000-0008-0000-0700-0000FD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8" name="1277 CuadroTexto">
          <a:extLst>
            <a:ext uri="{FF2B5EF4-FFF2-40B4-BE49-F238E27FC236}">
              <a16:creationId xmlns:a16="http://schemas.microsoft.com/office/drawing/2014/main" id="{00000000-0008-0000-0700-0000FE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79" name="1278 CuadroTexto">
          <a:extLst>
            <a:ext uri="{FF2B5EF4-FFF2-40B4-BE49-F238E27FC236}">
              <a16:creationId xmlns:a16="http://schemas.microsoft.com/office/drawing/2014/main" id="{00000000-0008-0000-0700-0000FF04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0" name="1279 CuadroTexto">
          <a:extLst>
            <a:ext uri="{FF2B5EF4-FFF2-40B4-BE49-F238E27FC236}">
              <a16:creationId xmlns:a16="http://schemas.microsoft.com/office/drawing/2014/main" id="{00000000-0008-0000-0700-00000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1" name="1280 CuadroTexto">
          <a:extLst>
            <a:ext uri="{FF2B5EF4-FFF2-40B4-BE49-F238E27FC236}">
              <a16:creationId xmlns:a16="http://schemas.microsoft.com/office/drawing/2014/main" id="{00000000-0008-0000-0700-00000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2" name="1281 CuadroTexto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3" name="1282 CuadroTexto">
          <a:extLst>
            <a:ext uri="{FF2B5EF4-FFF2-40B4-BE49-F238E27FC236}">
              <a16:creationId xmlns:a16="http://schemas.microsoft.com/office/drawing/2014/main" id="{00000000-0008-0000-0700-00000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4" name="1283 CuadroTexto">
          <a:extLst>
            <a:ext uri="{FF2B5EF4-FFF2-40B4-BE49-F238E27FC236}">
              <a16:creationId xmlns:a16="http://schemas.microsoft.com/office/drawing/2014/main" id="{00000000-0008-0000-0700-00000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5" name="1284 CuadroTexto">
          <a:extLst>
            <a:ext uri="{FF2B5EF4-FFF2-40B4-BE49-F238E27FC236}">
              <a16:creationId xmlns:a16="http://schemas.microsoft.com/office/drawing/2014/main" id="{00000000-0008-0000-0700-00000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6" name="1285 CuadroTexto">
          <a:extLst>
            <a:ext uri="{FF2B5EF4-FFF2-40B4-BE49-F238E27FC236}">
              <a16:creationId xmlns:a16="http://schemas.microsoft.com/office/drawing/2014/main" id="{00000000-0008-0000-0700-00000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7" name="1286 CuadroTexto">
          <a:extLst>
            <a:ext uri="{FF2B5EF4-FFF2-40B4-BE49-F238E27FC236}">
              <a16:creationId xmlns:a16="http://schemas.microsoft.com/office/drawing/2014/main" id="{00000000-0008-0000-0700-00000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8" name="1287 CuadroTexto">
          <a:extLst>
            <a:ext uri="{FF2B5EF4-FFF2-40B4-BE49-F238E27FC236}">
              <a16:creationId xmlns:a16="http://schemas.microsoft.com/office/drawing/2014/main" id="{00000000-0008-0000-0700-00000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89" name="1288 CuadroTexto">
          <a:extLst>
            <a:ext uri="{FF2B5EF4-FFF2-40B4-BE49-F238E27FC236}">
              <a16:creationId xmlns:a16="http://schemas.microsoft.com/office/drawing/2014/main" id="{00000000-0008-0000-0700-00000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0" name="1289 CuadroTexto">
          <a:extLst>
            <a:ext uri="{FF2B5EF4-FFF2-40B4-BE49-F238E27FC236}">
              <a16:creationId xmlns:a16="http://schemas.microsoft.com/office/drawing/2014/main" id="{00000000-0008-0000-0700-00000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1" name="1290 CuadroTexto">
          <a:extLst>
            <a:ext uri="{FF2B5EF4-FFF2-40B4-BE49-F238E27FC236}">
              <a16:creationId xmlns:a16="http://schemas.microsoft.com/office/drawing/2014/main" id="{00000000-0008-0000-0700-00000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2" name="1291 CuadroTexto">
          <a:extLst>
            <a:ext uri="{FF2B5EF4-FFF2-40B4-BE49-F238E27FC236}">
              <a16:creationId xmlns:a16="http://schemas.microsoft.com/office/drawing/2014/main" id="{00000000-0008-0000-0700-00000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3" name="1292 CuadroTexto">
          <a:extLst>
            <a:ext uri="{FF2B5EF4-FFF2-40B4-BE49-F238E27FC236}">
              <a16:creationId xmlns:a16="http://schemas.microsoft.com/office/drawing/2014/main" id="{00000000-0008-0000-0700-00000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4" name="1293 CuadroTexto">
          <a:extLst>
            <a:ext uri="{FF2B5EF4-FFF2-40B4-BE49-F238E27FC236}">
              <a16:creationId xmlns:a16="http://schemas.microsoft.com/office/drawing/2014/main" id="{00000000-0008-0000-0700-00000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5" name="1294 CuadroTexto">
          <a:extLst>
            <a:ext uri="{FF2B5EF4-FFF2-40B4-BE49-F238E27FC236}">
              <a16:creationId xmlns:a16="http://schemas.microsoft.com/office/drawing/2014/main" id="{00000000-0008-0000-0700-00000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6" name="1295 CuadroTexto">
          <a:extLst>
            <a:ext uri="{FF2B5EF4-FFF2-40B4-BE49-F238E27FC236}">
              <a16:creationId xmlns:a16="http://schemas.microsoft.com/office/drawing/2014/main" id="{00000000-0008-0000-0700-00001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7" name="1296 CuadroTexto">
          <a:extLst>
            <a:ext uri="{FF2B5EF4-FFF2-40B4-BE49-F238E27FC236}">
              <a16:creationId xmlns:a16="http://schemas.microsoft.com/office/drawing/2014/main" id="{00000000-0008-0000-0700-00001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8" name="1297 CuadroTexto">
          <a:extLst>
            <a:ext uri="{FF2B5EF4-FFF2-40B4-BE49-F238E27FC236}">
              <a16:creationId xmlns:a16="http://schemas.microsoft.com/office/drawing/2014/main" id="{00000000-0008-0000-0700-00001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299" name="1298 CuadroTexto">
          <a:extLst>
            <a:ext uri="{FF2B5EF4-FFF2-40B4-BE49-F238E27FC236}">
              <a16:creationId xmlns:a16="http://schemas.microsoft.com/office/drawing/2014/main" id="{00000000-0008-0000-0700-00001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0" name="1299 CuadroTexto">
          <a:extLst>
            <a:ext uri="{FF2B5EF4-FFF2-40B4-BE49-F238E27FC236}">
              <a16:creationId xmlns:a16="http://schemas.microsoft.com/office/drawing/2014/main" id="{00000000-0008-0000-0700-00001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1" name="1300 CuadroTexto">
          <a:extLst>
            <a:ext uri="{FF2B5EF4-FFF2-40B4-BE49-F238E27FC236}">
              <a16:creationId xmlns:a16="http://schemas.microsoft.com/office/drawing/2014/main" id="{00000000-0008-0000-0700-00001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2" name="1301 CuadroTexto">
          <a:extLst>
            <a:ext uri="{FF2B5EF4-FFF2-40B4-BE49-F238E27FC236}">
              <a16:creationId xmlns:a16="http://schemas.microsoft.com/office/drawing/2014/main" id="{00000000-0008-0000-0700-00001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3" name="1302 CuadroTexto">
          <a:extLst>
            <a:ext uri="{FF2B5EF4-FFF2-40B4-BE49-F238E27FC236}">
              <a16:creationId xmlns:a16="http://schemas.microsoft.com/office/drawing/2014/main" id="{00000000-0008-0000-0700-00001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4" name="1303 CuadroTexto">
          <a:extLst>
            <a:ext uri="{FF2B5EF4-FFF2-40B4-BE49-F238E27FC236}">
              <a16:creationId xmlns:a16="http://schemas.microsoft.com/office/drawing/2014/main" id="{00000000-0008-0000-0700-00001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5" name="1304 CuadroTexto">
          <a:extLst>
            <a:ext uri="{FF2B5EF4-FFF2-40B4-BE49-F238E27FC236}">
              <a16:creationId xmlns:a16="http://schemas.microsoft.com/office/drawing/2014/main" id="{00000000-0008-0000-0700-00001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6" name="1305 CuadroTexto">
          <a:extLst>
            <a:ext uri="{FF2B5EF4-FFF2-40B4-BE49-F238E27FC236}">
              <a16:creationId xmlns:a16="http://schemas.microsoft.com/office/drawing/2014/main" id="{00000000-0008-0000-0700-00001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7" name="1306 CuadroTexto">
          <a:extLst>
            <a:ext uri="{FF2B5EF4-FFF2-40B4-BE49-F238E27FC236}">
              <a16:creationId xmlns:a16="http://schemas.microsoft.com/office/drawing/2014/main" id="{00000000-0008-0000-0700-00001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8" name="1307 CuadroTexto">
          <a:extLst>
            <a:ext uri="{FF2B5EF4-FFF2-40B4-BE49-F238E27FC236}">
              <a16:creationId xmlns:a16="http://schemas.microsoft.com/office/drawing/2014/main" id="{00000000-0008-0000-0700-00001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09" name="1308 CuadroTexto">
          <a:extLst>
            <a:ext uri="{FF2B5EF4-FFF2-40B4-BE49-F238E27FC236}">
              <a16:creationId xmlns:a16="http://schemas.microsoft.com/office/drawing/2014/main" id="{00000000-0008-0000-0700-00001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0" name="1309 CuadroTexto">
          <a:extLst>
            <a:ext uri="{FF2B5EF4-FFF2-40B4-BE49-F238E27FC236}">
              <a16:creationId xmlns:a16="http://schemas.microsoft.com/office/drawing/2014/main" id="{00000000-0008-0000-0700-00001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1" name="1310 CuadroTexto">
          <a:extLst>
            <a:ext uri="{FF2B5EF4-FFF2-40B4-BE49-F238E27FC236}">
              <a16:creationId xmlns:a16="http://schemas.microsoft.com/office/drawing/2014/main" id="{00000000-0008-0000-0700-00001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2" name="1311 CuadroTexto">
          <a:extLst>
            <a:ext uri="{FF2B5EF4-FFF2-40B4-BE49-F238E27FC236}">
              <a16:creationId xmlns:a16="http://schemas.microsoft.com/office/drawing/2014/main" id="{00000000-0008-0000-0700-00002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3" name="1312 CuadroTexto">
          <a:extLst>
            <a:ext uri="{FF2B5EF4-FFF2-40B4-BE49-F238E27FC236}">
              <a16:creationId xmlns:a16="http://schemas.microsoft.com/office/drawing/2014/main" id="{00000000-0008-0000-0700-00002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4" name="1313 CuadroTexto">
          <a:extLst>
            <a:ext uri="{FF2B5EF4-FFF2-40B4-BE49-F238E27FC236}">
              <a16:creationId xmlns:a16="http://schemas.microsoft.com/office/drawing/2014/main" id="{00000000-0008-0000-0700-00002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5" name="1314 CuadroTexto">
          <a:extLst>
            <a:ext uri="{FF2B5EF4-FFF2-40B4-BE49-F238E27FC236}">
              <a16:creationId xmlns:a16="http://schemas.microsoft.com/office/drawing/2014/main" id="{00000000-0008-0000-0700-00002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6" name="1315 CuadroTexto">
          <a:extLst>
            <a:ext uri="{FF2B5EF4-FFF2-40B4-BE49-F238E27FC236}">
              <a16:creationId xmlns:a16="http://schemas.microsoft.com/office/drawing/2014/main" id="{00000000-0008-0000-0700-00002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7" name="1316 CuadroTexto">
          <a:extLst>
            <a:ext uri="{FF2B5EF4-FFF2-40B4-BE49-F238E27FC236}">
              <a16:creationId xmlns:a16="http://schemas.microsoft.com/office/drawing/2014/main" id="{00000000-0008-0000-0700-00002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8" name="1317 CuadroTexto">
          <a:extLst>
            <a:ext uri="{FF2B5EF4-FFF2-40B4-BE49-F238E27FC236}">
              <a16:creationId xmlns:a16="http://schemas.microsoft.com/office/drawing/2014/main" id="{00000000-0008-0000-0700-00002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19" name="1318 CuadroTexto">
          <a:extLst>
            <a:ext uri="{FF2B5EF4-FFF2-40B4-BE49-F238E27FC236}">
              <a16:creationId xmlns:a16="http://schemas.microsoft.com/office/drawing/2014/main" id="{00000000-0008-0000-0700-00002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0" name="1319 CuadroTexto">
          <a:extLst>
            <a:ext uri="{FF2B5EF4-FFF2-40B4-BE49-F238E27FC236}">
              <a16:creationId xmlns:a16="http://schemas.microsoft.com/office/drawing/2014/main" id="{00000000-0008-0000-0700-00002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1" name="1320 CuadroTexto">
          <a:extLst>
            <a:ext uri="{FF2B5EF4-FFF2-40B4-BE49-F238E27FC236}">
              <a16:creationId xmlns:a16="http://schemas.microsoft.com/office/drawing/2014/main" id="{00000000-0008-0000-0700-00002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2" name="1321 CuadroTexto">
          <a:extLst>
            <a:ext uri="{FF2B5EF4-FFF2-40B4-BE49-F238E27FC236}">
              <a16:creationId xmlns:a16="http://schemas.microsoft.com/office/drawing/2014/main" id="{00000000-0008-0000-0700-00002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3" name="1322 CuadroTexto">
          <a:extLst>
            <a:ext uri="{FF2B5EF4-FFF2-40B4-BE49-F238E27FC236}">
              <a16:creationId xmlns:a16="http://schemas.microsoft.com/office/drawing/2014/main" id="{00000000-0008-0000-0700-00002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4" name="1323 CuadroTexto">
          <a:extLst>
            <a:ext uri="{FF2B5EF4-FFF2-40B4-BE49-F238E27FC236}">
              <a16:creationId xmlns:a16="http://schemas.microsoft.com/office/drawing/2014/main" id="{00000000-0008-0000-0700-00002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5" name="1324 CuadroTexto">
          <a:extLst>
            <a:ext uri="{FF2B5EF4-FFF2-40B4-BE49-F238E27FC236}">
              <a16:creationId xmlns:a16="http://schemas.microsoft.com/office/drawing/2014/main" id="{00000000-0008-0000-0700-00002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6" name="1325 CuadroTexto">
          <a:extLst>
            <a:ext uri="{FF2B5EF4-FFF2-40B4-BE49-F238E27FC236}">
              <a16:creationId xmlns:a16="http://schemas.microsoft.com/office/drawing/2014/main" id="{00000000-0008-0000-0700-00002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7" name="1326 CuadroTexto">
          <a:extLst>
            <a:ext uri="{FF2B5EF4-FFF2-40B4-BE49-F238E27FC236}">
              <a16:creationId xmlns:a16="http://schemas.microsoft.com/office/drawing/2014/main" id="{00000000-0008-0000-0700-00002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8" name="1327 CuadroTexto">
          <a:extLst>
            <a:ext uri="{FF2B5EF4-FFF2-40B4-BE49-F238E27FC236}">
              <a16:creationId xmlns:a16="http://schemas.microsoft.com/office/drawing/2014/main" id="{00000000-0008-0000-0700-00003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29" name="1328 CuadroTexto">
          <a:extLst>
            <a:ext uri="{FF2B5EF4-FFF2-40B4-BE49-F238E27FC236}">
              <a16:creationId xmlns:a16="http://schemas.microsoft.com/office/drawing/2014/main" id="{00000000-0008-0000-0700-00003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0" name="1329 CuadroTexto">
          <a:extLst>
            <a:ext uri="{FF2B5EF4-FFF2-40B4-BE49-F238E27FC236}">
              <a16:creationId xmlns:a16="http://schemas.microsoft.com/office/drawing/2014/main" id="{00000000-0008-0000-0700-00003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1" name="1330 CuadroTexto">
          <a:extLst>
            <a:ext uri="{FF2B5EF4-FFF2-40B4-BE49-F238E27FC236}">
              <a16:creationId xmlns:a16="http://schemas.microsoft.com/office/drawing/2014/main" id="{00000000-0008-0000-0700-00003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2" name="1331 CuadroTexto">
          <a:extLst>
            <a:ext uri="{FF2B5EF4-FFF2-40B4-BE49-F238E27FC236}">
              <a16:creationId xmlns:a16="http://schemas.microsoft.com/office/drawing/2014/main" id="{00000000-0008-0000-0700-00003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3" name="1332 CuadroTexto">
          <a:extLst>
            <a:ext uri="{FF2B5EF4-FFF2-40B4-BE49-F238E27FC236}">
              <a16:creationId xmlns:a16="http://schemas.microsoft.com/office/drawing/2014/main" id="{00000000-0008-0000-0700-00003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4" name="1333 CuadroTexto">
          <a:extLst>
            <a:ext uri="{FF2B5EF4-FFF2-40B4-BE49-F238E27FC236}">
              <a16:creationId xmlns:a16="http://schemas.microsoft.com/office/drawing/2014/main" id="{00000000-0008-0000-0700-00003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5" name="1334 CuadroTexto">
          <a:extLst>
            <a:ext uri="{FF2B5EF4-FFF2-40B4-BE49-F238E27FC236}">
              <a16:creationId xmlns:a16="http://schemas.microsoft.com/office/drawing/2014/main" id="{00000000-0008-0000-0700-00003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6" name="1335 CuadroTexto">
          <a:extLst>
            <a:ext uri="{FF2B5EF4-FFF2-40B4-BE49-F238E27FC236}">
              <a16:creationId xmlns:a16="http://schemas.microsoft.com/office/drawing/2014/main" id="{00000000-0008-0000-0700-00003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7" name="1336 CuadroTexto">
          <a:extLst>
            <a:ext uri="{FF2B5EF4-FFF2-40B4-BE49-F238E27FC236}">
              <a16:creationId xmlns:a16="http://schemas.microsoft.com/office/drawing/2014/main" id="{00000000-0008-0000-0700-00003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8" name="1337 CuadroTexto">
          <a:extLst>
            <a:ext uri="{FF2B5EF4-FFF2-40B4-BE49-F238E27FC236}">
              <a16:creationId xmlns:a16="http://schemas.microsoft.com/office/drawing/2014/main" id="{00000000-0008-0000-0700-00003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39" name="1338 CuadroTexto">
          <a:extLst>
            <a:ext uri="{FF2B5EF4-FFF2-40B4-BE49-F238E27FC236}">
              <a16:creationId xmlns:a16="http://schemas.microsoft.com/office/drawing/2014/main" id="{00000000-0008-0000-0700-00003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0" name="1339 CuadroTexto">
          <a:extLst>
            <a:ext uri="{FF2B5EF4-FFF2-40B4-BE49-F238E27FC236}">
              <a16:creationId xmlns:a16="http://schemas.microsoft.com/office/drawing/2014/main" id="{00000000-0008-0000-0700-00003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1" name="1340 CuadroTexto">
          <a:extLst>
            <a:ext uri="{FF2B5EF4-FFF2-40B4-BE49-F238E27FC236}">
              <a16:creationId xmlns:a16="http://schemas.microsoft.com/office/drawing/2014/main" id="{00000000-0008-0000-0700-00003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2" name="1341 CuadroTexto">
          <a:extLst>
            <a:ext uri="{FF2B5EF4-FFF2-40B4-BE49-F238E27FC236}">
              <a16:creationId xmlns:a16="http://schemas.microsoft.com/office/drawing/2014/main" id="{00000000-0008-0000-0700-00003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3" name="1342 CuadroTexto">
          <a:extLst>
            <a:ext uri="{FF2B5EF4-FFF2-40B4-BE49-F238E27FC236}">
              <a16:creationId xmlns:a16="http://schemas.microsoft.com/office/drawing/2014/main" id="{00000000-0008-0000-0700-00003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4" name="1343 CuadroTexto">
          <a:extLst>
            <a:ext uri="{FF2B5EF4-FFF2-40B4-BE49-F238E27FC236}">
              <a16:creationId xmlns:a16="http://schemas.microsoft.com/office/drawing/2014/main" id="{00000000-0008-0000-0700-00004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5" name="1344 CuadroTexto">
          <a:extLst>
            <a:ext uri="{FF2B5EF4-FFF2-40B4-BE49-F238E27FC236}">
              <a16:creationId xmlns:a16="http://schemas.microsoft.com/office/drawing/2014/main" id="{00000000-0008-0000-0700-00004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6" name="1345 CuadroTexto">
          <a:extLst>
            <a:ext uri="{FF2B5EF4-FFF2-40B4-BE49-F238E27FC236}">
              <a16:creationId xmlns:a16="http://schemas.microsoft.com/office/drawing/2014/main" id="{00000000-0008-0000-0700-00004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7" name="1346 CuadroTexto">
          <a:extLst>
            <a:ext uri="{FF2B5EF4-FFF2-40B4-BE49-F238E27FC236}">
              <a16:creationId xmlns:a16="http://schemas.microsoft.com/office/drawing/2014/main" id="{00000000-0008-0000-0700-00004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8" name="1347 CuadroTexto">
          <a:extLst>
            <a:ext uri="{FF2B5EF4-FFF2-40B4-BE49-F238E27FC236}">
              <a16:creationId xmlns:a16="http://schemas.microsoft.com/office/drawing/2014/main" id="{00000000-0008-0000-0700-00004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49" name="1348 CuadroTexto">
          <a:extLst>
            <a:ext uri="{FF2B5EF4-FFF2-40B4-BE49-F238E27FC236}">
              <a16:creationId xmlns:a16="http://schemas.microsoft.com/office/drawing/2014/main" id="{00000000-0008-0000-0700-00004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0" name="1349 CuadroTexto">
          <a:extLst>
            <a:ext uri="{FF2B5EF4-FFF2-40B4-BE49-F238E27FC236}">
              <a16:creationId xmlns:a16="http://schemas.microsoft.com/office/drawing/2014/main" id="{00000000-0008-0000-0700-00004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1" name="1350 CuadroTexto">
          <a:extLst>
            <a:ext uri="{FF2B5EF4-FFF2-40B4-BE49-F238E27FC236}">
              <a16:creationId xmlns:a16="http://schemas.microsoft.com/office/drawing/2014/main" id="{00000000-0008-0000-0700-00004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2" name="1351 CuadroTexto">
          <a:extLst>
            <a:ext uri="{FF2B5EF4-FFF2-40B4-BE49-F238E27FC236}">
              <a16:creationId xmlns:a16="http://schemas.microsoft.com/office/drawing/2014/main" id="{00000000-0008-0000-0700-00004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3" name="1352 CuadroTexto">
          <a:extLst>
            <a:ext uri="{FF2B5EF4-FFF2-40B4-BE49-F238E27FC236}">
              <a16:creationId xmlns:a16="http://schemas.microsoft.com/office/drawing/2014/main" id="{00000000-0008-0000-0700-00004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4" name="1353 CuadroTexto">
          <a:extLst>
            <a:ext uri="{FF2B5EF4-FFF2-40B4-BE49-F238E27FC236}">
              <a16:creationId xmlns:a16="http://schemas.microsoft.com/office/drawing/2014/main" id="{00000000-0008-0000-0700-00004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5" name="1354 CuadroTexto">
          <a:extLst>
            <a:ext uri="{FF2B5EF4-FFF2-40B4-BE49-F238E27FC236}">
              <a16:creationId xmlns:a16="http://schemas.microsoft.com/office/drawing/2014/main" id="{00000000-0008-0000-0700-00004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6" name="1355 CuadroTexto">
          <a:extLst>
            <a:ext uri="{FF2B5EF4-FFF2-40B4-BE49-F238E27FC236}">
              <a16:creationId xmlns:a16="http://schemas.microsoft.com/office/drawing/2014/main" id="{00000000-0008-0000-0700-00004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7" name="1356 CuadroTexto">
          <a:extLst>
            <a:ext uri="{FF2B5EF4-FFF2-40B4-BE49-F238E27FC236}">
              <a16:creationId xmlns:a16="http://schemas.microsoft.com/office/drawing/2014/main" id="{00000000-0008-0000-0700-00004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8" name="1357 CuadroTexto">
          <a:extLst>
            <a:ext uri="{FF2B5EF4-FFF2-40B4-BE49-F238E27FC236}">
              <a16:creationId xmlns:a16="http://schemas.microsoft.com/office/drawing/2014/main" id="{00000000-0008-0000-0700-00004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59" name="1358 CuadroTexto">
          <a:extLst>
            <a:ext uri="{FF2B5EF4-FFF2-40B4-BE49-F238E27FC236}">
              <a16:creationId xmlns:a16="http://schemas.microsoft.com/office/drawing/2014/main" id="{00000000-0008-0000-0700-00004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0" name="1359 CuadroTexto">
          <a:extLst>
            <a:ext uri="{FF2B5EF4-FFF2-40B4-BE49-F238E27FC236}">
              <a16:creationId xmlns:a16="http://schemas.microsoft.com/office/drawing/2014/main" id="{00000000-0008-0000-0700-00005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1" name="1360 CuadroTexto">
          <a:extLst>
            <a:ext uri="{FF2B5EF4-FFF2-40B4-BE49-F238E27FC236}">
              <a16:creationId xmlns:a16="http://schemas.microsoft.com/office/drawing/2014/main" id="{00000000-0008-0000-0700-00005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2" name="1361 CuadroTexto">
          <a:extLst>
            <a:ext uri="{FF2B5EF4-FFF2-40B4-BE49-F238E27FC236}">
              <a16:creationId xmlns:a16="http://schemas.microsoft.com/office/drawing/2014/main" id="{00000000-0008-0000-0700-00005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3" name="1362 CuadroTexto">
          <a:extLst>
            <a:ext uri="{FF2B5EF4-FFF2-40B4-BE49-F238E27FC236}">
              <a16:creationId xmlns:a16="http://schemas.microsoft.com/office/drawing/2014/main" id="{00000000-0008-0000-0700-00005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4" name="1363 CuadroTexto">
          <a:extLst>
            <a:ext uri="{FF2B5EF4-FFF2-40B4-BE49-F238E27FC236}">
              <a16:creationId xmlns:a16="http://schemas.microsoft.com/office/drawing/2014/main" id="{00000000-0008-0000-0700-00005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5" name="1364 CuadroTexto">
          <a:extLst>
            <a:ext uri="{FF2B5EF4-FFF2-40B4-BE49-F238E27FC236}">
              <a16:creationId xmlns:a16="http://schemas.microsoft.com/office/drawing/2014/main" id="{00000000-0008-0000-0700-00005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6" name="1365 CuadroTexto">
          <a:extLst>
            <a:ext uri="{FF2B5EF4-FFF2-40B4-BE49-F238E27FC236}">
              <a16:creationId xmlns:a16="http://schemas.microsoft.com/office/drawing/2014/main" id="{00000000-0008-0000-0700-00005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7" name="1366 CuadroTexto">
          <a:extLst>
            <a:ext uri="{FF2B5EF4-FFF2-40B4-BE49-F238E27FC236}">
              <a16:creationId xmlns:a16="http://schemas.microsoft.com/office/drawing/2014/main" id="{00000000-0008-0000-0700-00005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8" name="1367 CuadroTexto">
          <a:extLst>
            <a:ext uri="{FF2B5EF4-FFF2-40B4-BE49-F238E27FC236}">
              <a16:creationId xmlns:a16="http://schemas.microsoft.com/office/drawing/2014/main" id="{00000000-0008-0000-0700-00005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69" name="1368 CuadroTexto">
          <a:extLst>
            <a:ext uri="{FF2B5EF4-FFF2-40B4-BE49-F238E27FC236}">
              <a16:creationId xmlns:a16="http://schemas.microsoft.com/office/drawing/2014/main" id="{00000000-0008-0000-0700-00005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0" name="1369 CuadroTexto">
          <a:extLst>
            <a:ext uri="{FF2B5EF4-FFF2-40B4-BE49-F238E27FC236}">
              <a16:creationId xmlns:a16="http://schemas.microsoft.com/office/drawing/2014/main" id="{00000000-0008-0000-0700-00005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1" name="1370 CuadroTexto">
          <a:extLst>
            <a:ext uri="{FF2B5EF4-FFF2-40B4-BE49-F238E27FC236}">
              <a16:creationId xmlns:a16="http://schemas.microsoft.com/office/drawing/2014/main" id="{00000000-0008-0000-0700-00005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2" name="1371 CuadroTexto">
          <a:extLst>
            <a:ext uri="{FF2B5EF4-FFF2-40B4-BE49-F238E27FC236}">
              <a16:creationId xmlns:a16="http://schemas.microsoft.com/office/drawing/2014/main" id="{00000000-0008-0000-0700-00005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3" name="1372 CuadroTexto">
          <a:extLst>
            <a:ext uri="{FF2B5EF4-FFF2-40B4-BE49-F238E27FC236}">
              <a16:creationId xmlns:a16="http://schemas.microsoft.com/office/drawing/2014/main" id="{00000000-0008-0000-0700-00005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4" name="1373 CuadroTexto">
          <a:extLst>
            <a:ext uri="{FF2B5EF4-FFF2-40B4-BE49-F238E27FC236}">
              <a16:creationId xmlns:a16="http://schemas.microsoft.com/office/drawing/2014/main" id="{00000000-0008-0000-0700-00005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5" name="1374 CuadroTexto">
          <a:extLst>
            <a:ext uri="{FF2B5EF4-FFF2-40B4-BE49-F238E27FC236}">
              <a16:creationId xmlns:a16="http://schemas.microsoft.com/office/drawing/2014/main" id="{00000000-0008-0000-0700-00005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6" name="1375 CuadroTexto">
          <a:extLst>
            <a:ext uri="{FF2B5EF4-FFF2-40B4-BE49-F238E27FC236}">
              <a16:creationId xmlns:a16="http://schemas.microsoft.com/office/drawing/2014/main" id="{00000000-0008-0000-0700-00006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7" name="1376 CuadroTexto">
          <a:extLst>
            <a:ext uri="{FF2B5EF4-FFF2-40B4-BE49-F238E27FC236}">
              <a16:creationId xmlns:a16="http://schemas.microsoft.com/office/drawing/2014/main" id="{00000000-0008-0000-0700-00006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8" name="1377 CuadroTexto">
          <a:extLst>
            <a:ext uri="{FF2B5EF4-FFF2-40B4-BE49-F238E27FC236}">
              <a16:creationId xmlns:a16="http://schemas.microsoft.com/office/drawing/2014/main" id="{00000000-0008-0000-0700-00006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79" name="1378 CuadroTexto">
          <a:extLst>
            <a:ext uri="{FF2B5EF4-FFF2-40B4-BE49-F238E27FC236}">
              <a16:creationId xmlns:a16="http://schemas.microsoft.com/office/drawing/2014/main" id="{00000000-0008-0000-0700-00006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0" name="1379 CuadroTexto">
          <a:extLst>
            <a:ext uri="{FF2B5EF4-FFF2-40B4-BE49-F238E27FC236}">
              <a16:creationId xmlns:a16="http://schemas.microsoft.com/office/drawing/2014/main" id="{00000000-0008-0000-0700-00006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1" name="1380 CuadroTexto">
          <a:extLst>
            <a:ext uri="{FF2B5EF4-FFF2-40B4-BE49-F238E27FC236}">
              <a16:creationId xmlns:a16="http://schemas.microsoft.com/office/drawing/2014/main" id="{00000000-0008-0000-0700-00006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2" name="1381 CuadroTexto">
          <a:extLst>
            <a:ext uri="{FF2B5EF4-FFF2-40B4-BE49-F238E27FC236}">
              <a16:creationId xmlns:a16="http://schemas.microsoft.com/office/drawing/2014/main" id="{00000000-0008-0000-0700-00006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3" name="1382 CuadroTexto">
          <a:extLst>
            <a:ext uri="{FF2B5EF4-FFF2-40B4-BE49-F238E27FC236}">
              <a16:creationId xmlns:a16="http://schemas.microsoft.com/office/drawing/2014/main" id="{00000000-0008-0000-0700-00006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4" name="1383 CuadroTexto">
          <a:extLst>
            <a:ext uri="{FF2B5EF4-FFF2-40B4-BE49-F238E27FC236}">
              <a16:creationId xmlns:a16="http://schemas.microsoft.com/office/drawing/2014/main" id="{00000000-0008-0000-0700-00006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5" name="1384 CuadroTexto">
          <a:extLst>
            <a:ext uri="{FF2B5EF4-FFF2-40B4-BE49-F238E27FC236}">
              <a16:creationId xmlns:a16="http://schemas.microsoft.com/office/drawing/2014/main" id="{00000000-0008-0000-0700-00006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6" name="1385 CuadroTexto">
          <a:extLst>
            <a:ext uri="{FF2B5EF4-FFF2-40B4-BE49-F238E27FC236}">
              <a16:creationId xmlns:a16="http://schemas.microsoft.com/office/drawing/2014/main" id="{00000000-0008-0000-0700-00006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7" name="1386 CuadroTexto">
          <a:extLst>
            <a:ext uri="{FF2B5EF4-FFF2-40B4-BE49-F238E27FC236}">
              <a16:creationId xmlns:a16="http://schemas.microsoft.com/office/drawing/2014/main" id="{00000000-0008-0000-0700-00006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8" name="1387 CuadroTexto">
          <a:extLst>
            <a:ext uri="{FF2B5EF4-FFF2-40B4-BE49-F238E27FC236}">
              <a16:creationId xmlns:a16="http://schemas.microsoft.com/office/drawing/2014/main" id="{00000000-0008-0000-0700-00006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89" name="1388 CuadroTexto">
          <a:extLst>
            <a:ext uri="{FF2B5EF4-FFF2-40B4-BE49-F238E27FC236}">
              <a16:creationId xmlns:a16="http://schemas.microsoft.com/office/drawing/2014/main" id="{00000000-0008-0000-0700-00006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0" name="1389 CuadroTexto">
          <a:extLst>
            <a:ext uri="{FF2B5EF4-FFF2-40B4-BE49-F238E27FC236}">
              <a16:creationId xmlns:a16="http://schemas.microsoft.com/office/drawing/2014/main" id="{00000000-0008-0000-0700-00006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1" name="1390 CuadroTexto">
          <a:extLst>
            <a:ext uri="{FF2B5EF4-FFF2-40B4-BE49-F238E27FC236}">
              <a16:creationId xmlns:a16="http://schemas.microsoft.com/office/drawing/2014/main" id="{00000000-0008-0000-0700-00006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2" name="1391 CuadroTexto">
          <a:extLst>
            <a:ext uri="{FF2B5EF4-FFF2-40B4-BE49-F238E27FC236}">
              <a16:creationId xmlns:a16="http://schemas.microsoft.com/office/drawing/2014/main" id="{00000000-0008-0000-0700-00007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3" name="1392 CuadroTexto">
          <a:extLst>
            <a:ext uri="{FF2B5EF4-FFF2-40B4-BE49-F238E27FC236}">
              <a16:creationId xmlns:a16="http://schemas.microsoft.com/office/drawing/2014/main" id="{00000000-0008-0000-0700-00007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4" name="1393 CuadroTexto">
          <a:extLst>
            <a:ext uri="{FF2B5EF4-FFF2-40B4-BE49-F238E27FC236}">
              <a16:creationId xmlns:a16="http://schemas.microsoft.com/office/drawing/2014/main" id="{00000000-0008-0000-0700-00007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5" name="1394 CuadroTexto">
          <a:extLst>
            <a:ext uri="{FF2B5EF4-FFF2-40B4-BE49-F238E27FC236}">
              <a16:creationId xmlns:a16="http://schemas.microsoft.com/office/drawing/2014/main" id="{00000000-0008-0000-0700-00007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6" name="1395 CuadroTexto">
          <a:extLst>
            <a:ext uri="{FF2B5EF4-FFF2-40B4-BE49-F238E27FC236}">
              <a16:creationId xmlns:a16="http://schemas.microsoft.com/office/drawing/2014/main" id="{00000000-0008-0000-0700-00007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7" name="1396 CuadroTexto">
          <a:extLst>
            <a:ext uri="{FF2B5EF4-FFF2-40B4-BE49-F238E27FC236}">
              <a16:creationId xmlns:a16="http://schemas.microsoft.com/office/drawing/2014/main" id="{00000000-0008-0000-0700-00007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8" name="1397 CuadroTexto">
          <a:extLst>
            <a:ext uri="{FF2B5EF4-FFF2-40B4-BE49-F238E27FC236}">
              <a16:creationId xmlns:a16="http://schemas.microsoft.com/office/drawing/2014/main" id="{00000000-0008-0000-0700-00007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399" name="1398 CuadroTexto">
          <a:extLst>
            <a:ext uri="{FF2B5EF4-FFF2-40B4-BE49-F238E27FC236}">
              <a16:creationId xmlns:a16="http://schemas.microsoft.com/office/drawing/2014/main" id="{00000000-0008-0000-0700-00007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0" name="1399 CuadroTexto">
          <a:extLst>
            <a:ext uri="{FF2B5EF4-FFF2-40B4-BE49-F238E27FC236}">
              <a16:creationId xmlns:a16="http://schemas.microsoft.com/office/drawing/2014/main" id="{00000000-0008-0000-0700-00007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1" name="1400 CuadroTexto">
          <a:extLst>
            <a:ext uri="{FF2B5EF4-FFF2-40B4-BE49-F238E27FC236}">
              <a16:creationId xmlns:a16="http://schemas.microsoft.com/office/drawing/2014/main" id="{00000000-0008-0000-0700-00007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2" name="1401 CuadroTexto">
          <a:extLst>
            <a:ext uri="{FF2B5EF4-FFF2-40B4-BE49-F238E27FC236}">
              <a16:creationId xmlns:a16="http://schemas.microsoft.com/office/drawing/2014/main" id="{00000000-0008-0000-0700-00007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3" name="1402 CuadroTexto">
          <a:extLst>
            <a:ext uri="{FF2B5EF4-FFF2-40B4-BE49-F238E27FC236}">
              <a16:creationId xmlns:a16="http://schemas.microsoft.com/office/drawing/2014/main" id="{00000000-0008-0000-0700-00007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4" name="1403 CuadroTexto">
          <a:extLst>
            <a:ext uri="{FF2B5EF4-FFF2-40B4-BE49-F238E27FC236}">
              <a16:creationId xmlns:a16="http://schemas.microsoft.com/office/drawing/2014/main" id="{00000000-0008-0000-0700-00007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5" name="1404 CuadroTexto">
          <a:extLst>
            <a:ext uri="{FF2B5EF4-FFF2-40B4-BE49-F238E27FC236}">
              <a16:creationId xmlns:a16="http://schemas.microsoft.com/office/drawing/2014/main" id="{00000000-0008-0000-0700-00007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6" name="1405 CuadroTexto">
          <a:extLst>
            <a:ext uri="{FF2B5EF4-FFF2-40B4-BE49-F238E27FC236}">
              <a16:creationId xmlns:a16="http://schemas.microsoft.com/office/drawing/2014/main" id="{00000000-0008-0000-0700-00007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7" name="1406 CuadroTexto">
          <a:extLst>
            <a:ext uri="{FF2B5EF4-FFF2-40B4-BE49-F238E27FC236}">
              <a16:creationId xmlns:a16="http://schemas.microsoft.com/office/drawing/2014/main" id="{00000000-0008-0000-0700-00007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8" name="1407 CuadroTexto">
          <a:extLst>
            <a:ext uri="{FF2B5EF4-FFF2-40B4-BE49-F238E27FC236}">
              <a16:creationId xmlns:a16="http://schemas.microsoft.com/office/drawing/2014/main" id="{00000000-0008-0000-0700-00008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09" name="1408 CuadroTexto">
          <a:extLst>
            <a:ext uri="{FF2B5EF4-FFF2-40B4-BE49-F238E27FC236}">
              <a16:creationId xmlns:a16="http://schemas.microsoft.com/office/drawing/2014/main" id="{00000000-0008-0000-0700-00008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0" name="1409 CuadroTexto">
          <a:extLst>
            <a:ext uri="{FF2B5EF4-FFF2-40B4-BE49-F238E27FC236}">
              <a16:creationId xmlns:a16="http://schemas.microsoft.com/office/drawing/2014/main" id="{00000000-0008-0000-0700-00008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1" name="1410 CuadroTexto">
          <a:extLst>
            <a:ext uri="{FF2B5EF4-FFF2-40B4-BE49-F238E27FC236}">
              <a16:creationId xmlns:a16="http://schemas.microsoft.com/office/drawing/2014/main" id="{00000000-0008-0000-0700-00008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2" name="1411 CuadroTexto">
          <a:extLst>
            <a:ext uri="{FF2B5EF4-FFF2-40B4-BE49-F238E27FC236}">
              <a16:creationId xmlns:a16="http://schemas.microsoft.com/office/drawing/2014/main" id="{00000000-0008-0000-0700-00008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3" name="1412 CuadroTexto">
          <a:extLst>
            <a:ext uri="{FF2B5EF4-FFF2-40B4-BE49-F238E27FC236}">
              <a16:creationId xmlns:a16="http://schemas.microsoft.com/office/drawing/2014/main" id="{00000000-0008-0000-0700-00008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4" name="1413 CuadroTexto">
          <a:extLst>
            <a:ext uri="{FF2B5EF4-FFF2-40B4-BE49-F238E27FC236}">
              <a16:creationId xmlns:a16="http://schemas.microsoft.com/office/drawing/2014/main" id="{00000000-0008-0000-0700-00008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5" name="1414 CuadroTexto">
          <a:extLst>
            <a:ext uri="{FF2B5EF4-FFF2-40B4-BE49-F238E27FC236}">
              <a16:creationId xmlns:a16="http://schemas.microsoft.com/office/drawing/2014/main" id="{00000000-0008-0000-0700-00008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6" name="1415 CuadroTexto">
          <a:extLst>
            <a:ext uri="{FF2B5EF4-FFF2-40B4-BE49-F238E27FC236}">
              <a16:creationId xmlns:a16="http://schemas.microsoft.com/office/drawing/2014/main" id="{00000000-0008-0000-0700-00008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7" name="1416 CuadroTexto">
          <a:extLst>
            <a:ext uri="{FF2B5EF4-FFF2-40B4-BE49-F238E27FC236}">
              <a16:creationId xmlns:a16="http://schemas.microsoft.com/office/drawing/2014/main" id="{00000000-0008-0000-0700-00008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8" name="1417 CuadroTexto">
          <a:extLst>
            <a:ext uri="{FF2B5EF4-FFF2-40B4-BE49-F238E27FC236}">
              <a16:creationId xmlns:a16="http://schemas.microsoft.com/office/drawing/2014/main" id="{00000000-0008-0000-0700-00008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19" name="1418 CuadroTexto">
          <a:extLst>
            <a:ext uri="{FF2B5EF4-FFF2-40B4-BE49-F238E27FC236}">
              <a16:creationId xmlns:a16="http://schemas.microsoft.com/office/drawing/2014/main" id="{00000000-0008-0000-0700-00008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0" name="1419 CuadroTexto">
          <a:extLst>
            <a:ext uri="{FF2B5EF4-FFF2-40B4-BE49-F238E27FC236}">
              <a16:creationId xmlns:a16="http://schemas.microsoft.com/office/drawing/2014/main" id="{00000000-0008-0000-0700-00008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1" name="1420 CuadroTexto">
          <a:extLst>
            <a:ext uri="{FF2B5EF4-FFF2-40B4-BE49-F238E27FC236}">
              <a16:creationId xmlns:a16="http://schemas.microsoft.com/office/drawing/2014/main" id="{00000000-0008-0000-0700-00008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2" name="1421 CuadroTexto">
          <a:extLst>
            <a:ext uri="{FF2B5EF4-FFF2-40B4-BE49-F238E27FC236}">
              <a16:creationId xmlns:a16="http://schemas.microsoft.com/office/drawing/2014/main" id="{00000000-0008-0000-0700-00008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3" name="1422 CuadroTexto">
          <a:extLst>
            <a:ext uri="{FF2B5EF4-FFF2-40B4-BE49-F238E27FC236}">
              <a16:creationId xmlns:a16="http://schemas.microsoft.com/office/drawing/2014/main" id="{00000000-0008-0000-0700-00008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4" name="1423 CuadroTexto">
          <a:extLst>
            <a:ext uri="{FF2B5EF4-FFF2-40B4-BE49-F238E27FC236}">
              <a16:creationId xmlns:a16="http://schemas.microsoft.com/office/drawing/2014/main" id="{00000000-0008-0000-0700-00009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5" name="1424 CuadroTexto">
          <a:extLst>
            <a:ext uri="{FF2B5EF4-FFF2-40B4-BE49-F238E27FC236}">
              <a16:creationId xmlns:a16="http://schemas.microsoft.com/office/drawing/2014/main" id="{00000000-0008-0000-0700-00009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6" name="1425 CuadroTexto">
          <a:extLst>
            <a:ext uri="{FF2B5EF4-FFF2-40B4-BE49-F238E27FC236}">
              <a16:creationId xmlns:a16="http://schemas.microsoft.com/office/drawing/2014/main" id="{00000000-0008-0000-0700-00009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7" name="1426 CuadroTexto">
          <a:extLst>
            <a:ext uri="{FF2B5EF4-FFF2-40B4-BE49-F238E27FC236}">
              <a16:creationId xmlns:a16="http://schemas.microsoft.com/office/drawing/2014/main" id="{00000000-0008-0000-0700-00009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8" name="1427 CuadroTexto">
          <a:extLst>
            <a:ext uri="{FF2B5EF4-FFF2-40B4-BE49-F238E27FC236}">
              <a16:creationId xmlns:a16="http://schemas.microsoft.com/office/drawing/2014/main" id="{00000000-0008-0000-0700-00009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29" name="1428 CuadroTexto">
          <a:extLst>
            <a:ext uri="{FF2B5EF4-FFF2-40B4-BE49-F238E27FC236}">
              <a16:creationId xmlns:a16="http://schemas.microsoft.com/office/drawing/2014/main" id="{00000000-0008-0000-0700-00009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0" name="1429 CuadroTexto">
          <a:extLst>
            <a:ext uri="{FF2B5EF4-FFF2-40B4-BE49-F238E27FC236}">
              <a16:creationId xmlns:a16="http://schemas.microsoft.com/office/drawing/2014/main" id="{00000000-0008-0000-0700-00009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1" name="1430 CuadroTexto">
          <a:extLst>
            <a:ext uri="{FF2B5EF4-FFF2-40B4-BE49-F238E27FC236}">
              <a16:creationId xmlns:a16="http://schemas.microsoft.com/office/drawing/2014/main" id="{00000000-0008-0000-0700-00009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2" name="1431 CuadroTexto">
          <a:extLst>
            <a:ext uri="{FF2B5EF4-FFF2-40B4-BE49-F238E27FC236}">
              <a16:creationId xmlns:a16="http://schemas.microsoft.com/office/drawing/2014/main" id="{00000000-0008-0000-0700-00009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3" name="1432 CuadroTexto">
          <a:extLst>
            <a:ext uri="{FF2B5EF4-FFF2-40B4-BE49-F238E27FC236}">
              <a16:creationId xmlns:a16="http://schemas.microsoft.com/office/drawing/2014/main" id="{00000000-0008-0000-0700-00009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4" name="1433 CuadroTexto">
          <a:extLst>
            <a:ext uri="{FF2B5EF4-FFF2-40B4-BE49-F238E27FC236}">
              <a16:creationId xmlns:a16="http://schemas.microsoft.com/office/drawing/2014/main" id="{00000000-0008-0000-0700-00009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5" name="1434 CuadroTexto">
          <a:extLst>
            <a:ext uri="{FF2B5EF4-FFF2-40B4-BE49-F238E27FC236}">
              <a16:creationId xmlns:a16="http://schemas.microsoft.com/office/drawing/2014/main" id="{00000000-0008-0000-0700-00009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6" name="1435 CuadroTexto">
          <a:extLst>
            <a:ext uri="{FF2B5EF4-FFF2-40B4-BE49-F238E27FC236}">
              <a16:creationId xmlns:a16="http://schemas.microsoft.com/office/drawing/2014/main" id="{00000000-0008-0000-0700-00009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7" name="1436 CuadroTexto">
          <a:extLst>
            <a:ext uri="{FF2B5EF4-FFF2-40B4-BE49-F238E27FC236}">
              <a16:creationId xmlns:a16="http://schemas.microsoft.com/office/drawing/2014/main" id="{00000000-0008-0000-0700-00009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8" name="1437 CuadroTexto">
          <a:extLst>
            <a:ext uri="{FF2B5EF4-FFF2-40B4-BE49-F238E27FC236}">
              <a16:creationId xmlns:a16="http://schemas.microsoft.com/office/drawing/2014/main" id="{00000000-0008-0000-0700-00009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39" name="1438 CuadroTexto">
          <a:extLst>
            <a:ext uri="{FF2B5EF4-FFF2-40B4-BE49-F238E27FC236}">
              <a16:creationId xmlns:a16="http://schemas.microsoft.com/office/drawing/2014/main" id="{00000000-0008-0000-0700-00009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0" name="1439 CuadroTexto">
          <a:extLst>
            <a:ext uri="{FF2B5EF4-FFF2-40B4-BE49-F238E27FC236}">
              <a16:creationId xmlns:a16="http://schemas.microsoft.com/office/drawing/2014/main" id="{00000000-0008-0000-0700-0000A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1" name="1440 CuadroTexto">
          <a:extLst>
            <a:ext uri="{FF2B5EF4-FFF2-40B4-BE49-F238E27FC236}">
              <a16:creationId xmlns:a16="http://schemas.microsoft.com/office/drawing/2014/main" id="{00000000-0008-0000-0700-0000A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2" name="1441 CuadroTexto">
          <a:extLst>
            <a:ext uri="{FF2B5EF4-FFF2-40B4-BE49-F238E27FC236}">
              <a16:creationId xmlns:a16="http://schemas.microsoft.com/office/drawing/2014/main" id="{00000000-0008-0000-0700-0000A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3" name="1442 CuadroTexto">
          <a:extLst>
            <a:ext uri="{FF2B5EF4-FFF2-40B4-BE49-F238E27FC236}">
              <a16:creationId xmlns:a16="http://schemas.microsoft.com/office/drawing/2014/main" id="{00000000-0008-0000-0700-0000A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4" name="1443 CuadroTexto">
          <a:extLst>
            <a:ext uri="{FF2B5EF4-FFF2-40B4-BE49-F238E27FC236}">
              <a16:creationId xmlns:a16="http://schemas.microsoft.com/office/drawing/2014/main" id="{00000000-0008-0000-0700-0000A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5" name="1444 CuadroTexto">
          <a:extLst>
            <a:ext uri="{FF2B5EF4-FFF2-40B4-BE49-F238E27FC236}">
              <a16:creationId xmlns:a16="http://schemas.microsoft.com/office/drawing/2014/main" id="{00000000-0008-0000-0700-0000A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6" name="1445 CuadroTexto">
          <a:extLst>
            <a:ext uri="{FF2B5EF4-FFF2-40B4-BE49-F238E27FC236}">
              <a16:creationId xmlns:a16="http://schemas.microsoft.com/office/drawing/2014/main" id="{00000000-0008-0000-0700-0000A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7" name="1446 CuadroTexto">
          <a:extLst>
            <a:ext uri="{FF2B5EF4-FFF2-40B4-BE49-F238E27FC236}">
              <a16:creationId xmlns:a16="http://schemas.microsoft.com/office/drawing/2014/main" id="{00000000-0008-0000-0700-0000A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8" name="1447 CuadroTexto">
          <a:extLst>
            <a:ext uri="{FF2B5EF4-FFF2-40B4-BE49-F238E27FC236}">
              <a16:creationId xmlns:a16="http://schemas.microsoft.com/office/drawing/2014/main" id="{00000000-0008-0000-0700-0000A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49" name="1448 CuadroTexto">
          <a:extLst>
            <a:ext uri="{FF2B5EF4-FFF2-40B4-BE49-F238E27FC236}">
              <a16:creationId xmlns:a16="http://schemas.microsoft.com/office/drawing/2014/main" id="{00000000-0008-0000-0700-0000A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0" name="1449 CuadroTexto">
          <a:extLst>
            <a:ext uri="{FF2B5EF4-FFF2-40B4-BE49-F238E27FC236}">
              <a16:creationId xmlns:a16="http://schemas.microsoft.com/office/drawing/2014/main" id="{00000000-0008-0000-0700-0000A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1" name="1450 CuadroTexto">
          <a:extLst>
            <a:ext uri="{FF2B5EF4-FFF2-40B4-BE49-F238E27FC236}">
              <a16:creationId xmlns:a16="http://schemas.microsoft.com/office/drawing/2014/main" id="{00000000-0008-0000-0700-0000A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2" name="1451 CuadroTexto">
          <a:extLst>
            <a:ext uri="{FF2B5EF4-FFF2-40B4-BE49-F238E27FC236}">
              <a16:creationId xmlns:a16="http://schemas.microsoft.com/office/drawing/2014/main" id="{00000000-0008-0000-0700-0000A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3" name="1452 CuadroTexto">
          <a:extLst>
            <a:ext uri="{FF2B5EF4-FFF2-40B4-BE49-F238E27FC236}">
              <a16:creationId xmlns:a16="http://schemas.microsoft.com/office/drawing/2014/main" id="{00000000-0008-0000-0700-0000A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4" name="1453 CuadroTexto">
          <a:extLst>
            <a:ext uri="{FF2B5EF4-FFF2-40B4-BE49-F238E27FC236}">
              <a16:creationId xmlns:a16="http://schemas.microsoft.com/office/drawing/2014/main" id="{00000000-0008-0000-0700-0000A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5" name="1454 CuadroTexto">
          <a:extLst>
            <a:ext uri="{FF2B5EF4-FFF2-40B4-BE49-F238E27FC236}">
              <a16:creationId xmlns:a16="http://schemas.microsoft.com/office/drawing/2014/main" id="{00000000-0008-0000-0700-0000A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6" name="1455 CuadroTexto">
          <a:extLst>
            <a:ext uri="{FF2B5EF4-FFF2-40B4-BE49-F238E27FC236}">
              <a16:creationId xmlns:a16="http://schemas.microsoft.com/office/drawing/2014/main" id="{00000000-0008-0000-0700-0000B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7" name="1456 CuadroTexto">
          <a:extLst>
            <a:ext uri="{FF2B5EF4-FFF2-40B4-BE49-F238E27FC236}">
              <a16:creationId xmlns:a16="http://schemas.microsoft.com/office/drawing/2014/main" id="{00000000-0008-0000-0700-0000B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8" name="1457 CuadroTexto">
          <a:extLst>
            <a:ext uri="{FF2B5EF4-FFF2-40B4-BE49-F238E27FC236}">
              <a16:creationId xmlns:a16="http://schemas.microsoft.com/office/drawing/2014/main" id="{00000000-0008-0000-0700-0000B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59" name="1458 CuadroTexto">
          <a:extLst>
            <a:ext uri="{FF2B5EF4-FFF2-40B4-BE49-F238E27FC236}">
              <a16:creationId xmlns:a16="http://schemas.microsoft.com/office/drawing/2014/main" id="{00000000-0008-0000-0700-0000B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0" name="1459 CuadroTexto">
          <a:extLst>
            <a:ext uri="{FF2B5EF4-FFF2-40B4-BE49-F238E27FC236}">
              <a16:creationId xmlns:a16="http://schemas.microsoft.com/office/drawing/2014/main" id="{00000000-0008-0000-0700-0000B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1" name="1460 CuadroTexto">
          <a:extLst>
            <a:ext uri="{FF2B5EF4-FFF2-40B4-BE49-F238E27FC236}">
              <a16:creationId xmlns:a16="http://schemas.microsoft.com/office/drawing/2014/main" id="{00000000-0008-0000-0700-0000B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2" name="1461 CuadroTexto">
          <a:extLst>
            <a:ext uri="{FF2B5EF4-FFF2-40B4-BE49-F238E27FC236}">
              <a16:creationId xmlns:a16="http://schemas.microsoft.com/office/drawing/2014/main" id="{00000000-0008-0000-0700-0000B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3" name="1462 CuadroTexto">
          <a:extLst>
            <a:ext uri="{FF2B5EF4-FFF2-40B4-BE49-F238E27FC236}">
              <a16:creationId xmlns:a16="http://schemas.microsoft.com/office/drawing/2014/main" id="{00000000-0008-0000-0700-0000B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4" name="1463 CuadroTexto">
          <a:extLst>
            <a:ext uri="{FF2B5EF4-FFF2-40B4-BE49-F238E27FC236}">
              <a16:creationId xmlns:a16="http://schemas.microsoft.com/office/drawing/2014/main" id="{00000000-0008-0000-0700-0000B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5" name="1464 CuadroTexto">
          <a:extLst>
            <a:ext uri="{FF2B5EF4-FFF2-40B4-BE49-F238E27FC236}">
              <a16:creationId xmlns:a16="http://schemas.microsoft.com/office/drawing/2014/main" id="{00000000-0008-0000-0700-0000B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6" name="1465 CuadroTexto">
          <a:extLst>
            <a:ext uri="{FF2B5EF4-FFF2-40B4-BE49-F238E27FC236}">
              <a16:creationId xmlns:a16="http://schemas.microsoft.com/office/drawing/2014/main" id="{00000000-0008-0000-0700-0000B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7" name="1466 CuadroTexto">
          <a:extLst>
            <a:ext uri="{FF2B5EF4-FFF2-40B4-BE49-F238E27FC236}">
              <a16:creationId xmlns:a16="http://schemas.microsoft.com/office/drawing/2014/main" id="{00000000-0008-0000-0700-0000B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8" name="1467 CuadroTexto">
          <a:extLst>
            <a:ext uri="{FF2B5EF4-FFF2-40B4-BE49-F238E27FC236}">
              <a16:creationId xmlns:a16="http://schemas.microsoft.com/office/drawing/2014/main" id="{00000000-0008-0000-0700-0000B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69" name="1468 CuadroTexto">
          <a:extLst>
            <a:ext uri="{FF2B5EF4-FFF2-40B4-BE49-F238E27FC236}">
              <a16:creationId xmlns:a16="http://schemas.microsoft.com/office/drawing/2014/main" id="{00000000-0008-0000-0700-0000B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0" name="1469 CuadroTexto">
          <a:extLst>
            <a:ext uri="{FF2B5EF4-FFF2-40B4-BE49-F238E27FC236}">
              <a16:creationId xmlns:a16="http://schemas.microsoft.com/office/drawing/2014/main" id="{00000000-0008-0000-0700-0000B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1" name="1470 CuadroTexto">
          <a:extLst>
            <a:ext uri="{FF2B5EF4-FFF2-40B4-BE49-F238E27FC236}">
              <a16:creationId xmlns:a16="http://schemas.microsoft.com/office/drawing/2014/main" id="{00000000-0008-0000-0700-0000B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2" name="1471 CuadroTexto">
          <a:extLst>
            <a:ext uri="{FF2B5EF4-FFF2-40B4-BE49-F238E27FC236}">
              <a16:creationId xmlns:a16="http://schemas.microsoft.com/office/drawing/2014/main" id="{00000000-0008-0000-0700-0000C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3" name="1472 CuadroTexto">
          <a:extLst>
            <a:ext uri="{FF2B5EF4-FFF2-40B4-BE49-F238E27FC236}">
              <a16:creationId xmlns:a16="http://schemas.microsoft.com/office/drawing/2014/main" id="{00000000-0008-0000-0700-0000C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4" name="1473 CuadroTexto">
          <a:extLst>
            <a:ext uri="{FF2B5EF4-FFF2-40B4-BE49-F238E27FC236}">
              <a16:creationId xmlns:a16="http://schemas.microsoft.com/office/drawing/2014/main" id="{00000000-0008-0000-0700-0000C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5" name="1474 CuadroTexto">
          <a:extLst>
            <a:ext uri="{FF2B5EF4-FFF2-40B4-BE49-F238E27FC236}">
              <a16:creationId xmlns:a16="http://schemas.microsoft.com/office/drawing/2014/main" id="{00000000-0008-0000-0700-0000C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6" name="1475 CuadroTexto">
          <a:extLst>
            <a:ext uri="{FF2B5EF4-FFF2-40B4-BE49-F238E27FC236}">
              <a16:creationId xmlns:a16="http://schemas.microsoft.com/office/drawing/2014/main" id="{00000000-0008-0000-0700-0000C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7" name="1476 CuadroTexto">
          <a:extLst>
            <a:ext uri="{FF2B5EF4-FFF2-40B4-BE49-F238E27FC236}">
              <a16:creationId xmlns:a16="http://schemas.microsoft.com/office/drawing/2014/main" id="{00000000-0008-0000-0700-0000C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8" name="1477 CuadroTexto">
          <a:extLst>
            <a:ext uri="{FF2B5EF4-FFF2-40B4-BE49-F238E27FC236}">
              <a16:creationId xmlns:a16="http://schemas.microsoft.com/office/drawing/2014/main" id="{00000000-0008-0000-0700-0000C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79" name="1478 CuadroTexto">
          <a:extLst>
            <a:ext uri="{FF2B5EF4-FFF2-40B4-BE49-F238E27FC236}">
              <a16:creationId xmlns:a16="http://schemas.microsoft.com/office/drawing/2014/main" id="{00000000-0008-0000-0700-0000C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0" name="1479 CuadroTexto">
          <a:extLst>
            <a:ext uri="{FF2B5EF4-FFF2-40B4-BE49-F238E27FC236}">
              <a16:creationId xmlns:a16="http://schemas.microsoft.com/office/drawing/2014/main" id="{00000000-0008-0000-0700-0000C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1" name="1480 CuadroTexto">
          <a:extLst>
            <a:ext uri="{FF2B5EF4-FFF2-40B4-BE49-F238E27FC236}">
              <a16:creationId xmlns:a16="http://schemas.microsoft.com/office/drawing/2014/main" id="{00000000-0008-0000-0700-0000C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2" name="1481 CuadroTexto">
          <a:extLst>
            <a:ext uri="{FF2B5EF4-FFF2-40B4-BE49-F238E27FC236}">
              <a16:creationId xmlns:a16="http://schemas.microsoft.com/office/drawing/2014/main" id="{00000000-0008-0000-0700-0000C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3" name="1482 CuadroTexto">
          <a:extLst>
            <a:ext uri="{FF2B5EF4-FFF2-40B4-BE49-F238E27FC236}">
              <a16:creationId xmlns:a16="http://schemas.microsoft.com/office/drawing/2014/main" id="{00000000-0008-0000-0700-0000C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4" name="1483 CuadroTexto">
          <a:extLst>
            <a:ext uri="{FF2B5EF4-FFF2-40B4-BE49-F238E27FC236}">
              <a16:creationId xmlns:a16="http://schemas.microsoft.com/office/drawing/2014/main" id="{00000000-0008-0000-0700-0000C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5" name="1484 CuadroTexto">
          <a:extLst>
            <a:ext uri="{FF2B5EF4-FFF2-40B4-BE49-F238E27FC236}">
              <a16:creationId xmlns:a16="http://schemas.microsoft.com/office/drawing/2014/main" id="{00000000-0008-0000-0700-0000C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6" name="1485 CuadroTexto">
          <a:extLst>
            <a:ext uri="{FF2B5EF4-FFF2-40B4-BE49-F238E27FC236}">
              <a16:creationId xmlns:a16="http://schemas.microsoft.com/office/drawing/2014/main" id="{00000000-0008-0000-0700-0000C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7" name="1486 CuadroTexto">
          <a:extLst>
            <a:ext uri="{FF2B5EF4-FFF2-40B4-BE49-F238E27FC236}">
              <a16:creationId xmlns:a16="http://schemas.microsoft.com/office/drawing/2014/main" id="{00000000-0008-0000-0700-0000C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8" name="1487 CuadroTexto">
          <a:extLst>
            <a:ext uri="{FF2B5EF4-FFF2-40B4-BE49-F238E27FC236}">
              <a16:creationId xmlns:a16="http://schemas.microsoft.com/office/drawing/2014/main" id="{00000000-0008-0000-0700-0000D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89" name="1488 CuadroTexto">
          <a:extLst>
            <a:ext uri="{FF2B5EF4-FFF2-40B4-BE49-F238E27FC236}">
              <a16:creationId xmlns:a16="http://schemas.microsoft.com/office/drawing/2014/main" id="{00000000-0008-0000-0700-0000D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0" name="1489 CuadroTexto">
          <a:extLst>
            <a:ext uri="{FF2B5EF4-FFF2-40B4-BE49-F238E27FC236}">
              <a16:creationId xmlns:a16="http://schemas.microsoft.com/office/drawing/2014/main" id="{00000000-0008-0000-0700-0000D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1" name="1490 CuadroTexto">
          <a:extLst>
            <a:ext uri="{FF2B5EF4-FFF2-40B4-BE49-F238E27FC236}">
              <a16:creationId xmlns:a16="http://schemas.microsoft.com/office/drawing/2014/main" id="{00000000-0008-0000-0700-0000D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2" name="1491 CuadroTexto">
          <a:extLst>
            <a:ext uri="{FF2B5EF4-FFF2-40B4-BE49-F238E27FC236}">
              <a16:creationId xmlns:a16="http://schemas.microsoft.com/office/drawing/2014/main" id="{00000000-0008-0000-0700-0000D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3" name="1492 CuadroTexto">
          <a:extLst>
            <a:ext uri="{FF2B5EF4-FFF2-40B4-BE49-F238E27FC236}">
              <a16:creationId xmlns:a16="http://schemas.microsoft.com/office/drawing/2014/main" id="{00000000-0008-0000-0700-0000D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4" name="1493 CuadroTexto">
          <a:extLst>
            <a:ext uri="{FF2B5EF4-FFF2-40B4-BE49-F238E27FC236}">
              <a16:creationId xmlns:a16="http://schemas.microsoft.com/office/drawing/2014/main" id="{00000000-0008-0000-0700-0000D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5" name="1494 CuadroTexto">
          <a:extLst>
            <a:ext uri="{FF2B5EF4-FFF2-40B4-BE49-F238E27FC236}">
              <a16:creationId xmlns:a16="http://schemas.microsoft.com/office/drawing/2014/main" id="{00000000-0008-0000-0700-0000D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6" name="1495 CuadroTexto">
          <a:extLst>
            <a:ext uri="{FF2B5EF4-FFF2-40B4-BE49-F238E27FC236}">
              <a16:creationId xmlns:a16="http://schemas.microsoft.com/office/drawing/2014/main" id="{00000000-0008-0000-0700-0000D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7" name="1496 CuadroTexto">
          <a:extLst>
            <a:ext uri="{FF2B5EF4-FFF2-40B4-BE49-F238E27FC236}">
              <a16:creationId xmlns:a16="http://schemas.microsoft.com/office/drawing/2014/main" id="{00000000-0008-0000-0700-0000D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8" name="1497 CuadroTexto">
          <a:extLst>
            <a:ext uri="{FF2B5EF4-FFF2-40B4-BE49-F238E27FC236}">
              <a16:creationId xmlns:a16="http://schemas.microsoft.com/office/drawing/2014/main" id="{00000000-0008-0000-0700-0000D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499" name="1498 CuadroTexto">
          <a:extLst>
            <a:ext uri="{FF2B5EF4-FFF2-40B4-BE49-F238E27FC236}">
              <a16:creationId xmlns:a16="http://schemas.microsoft.com/office/drawing/2014/main" id="{00000000-0008-0000-0700-0000D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0" name="1499 CuadroTexto">
          <a:extLst>
            <a:ext uri="{FF2B5EF4-FFF2-40B4-BE49-F238E27FC236}">
              <a16:creationId xmlns:a16="http://schemas.microsoft.com/office/drawing/2014/main" id="{00000000-0008-0000-0700-0000D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1" name="1500 CuadroTexto">
          <a:extLst>
            <a:ext uri="{FF2B5EF4-FFF2-40B4-BE49-F238E27FC236}">
              <a16:creationId xmlns:a16="http://schemas.microsoft.com/office/drawing/2014/main" id="{00000000-0008-0000-0700-0000D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2" name="1501 CuadroTexto">
          <a:extLst>
            <a:ext uri="{FF2B5EF4-FFF2-40B4-BE49-F238E27FC236}">
              <a16:creationId xmlns:a16="http://schemas.microsoft.com/office/drawing/2014/main" id="{00000000-0008-0000-0700-0000D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3" name="1502 CuadroTexto">
          <a:extLst>
            <a:ext uri="{FF2B5EF4-FFF2-40B4-BE49-F238E27FC236}">
              <a16:creationId xmlns:a16="http://schemas.microsoft.com/office/drawing/2014/main" id="{00000000-0008-0000-0700-0000D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4" name="1503 CuadroTexto">
          <a:extLst>
            <a:ext uri="{FF2B5EF4-FFF2-40B4-BE49-F238E27FC236}">
              <a16:creationId xmlns:a16="http://schemas.microsoft.com/office/drawing/2014/main" id="{00000000-0008-0000-0700-0000E0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5" name="1504 CuadroTexto">
          <a:extLst>
            <a:ext uri="{FF2B5EF4-FFF2-40B4-BE49-F238E27FC236}">
              <a16:creationId xmlns:a16="http://schemas.microsoft.com/office/drawing/2014/main" id="{00000000-0008-0000-0700-0000E1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6" name="1505 CuadroTexto">
          <a:extLst>
            <a:ext uri="{FF2B5EF4-FFF2-40B4-BE49-F238E27FC236}">
              <a16:creationId xmlns:a16="http://schemas.microsoft.com/office/drawing/2014/main" id="{00000000-0008-0000-0700-0000E2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7" name="1506 CuadroTexto">
          <a:extLst>
            <a:ext uri="{FF2B5EF4-FFF2-40B4-BE49-F238E27FC236}">
              <a16:creationId xmlns:a16="http://schemas.microsoft.com/office/drawing/2014/main" id="{00000000-0008-0000-0700-0000E3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8" name="1507 CuadroTexto">
          <a:extLst>
            <a:ext uri="{FF2B5EF4-FFF2-40B4-BE49-F238E27FC236}">
              <a16:creationId xmlns:a16="http://schemas.microsoft.com/office/drawing/2014/main" id="{00000000-0008-0000-0700-0000E4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09" name="1508 CuadroTexto">
          <a:extLst>
            <a:ext uri="{FF2B5EF4-FFF2-40B4-BE49-F238E27FC236}">
              <a16:creationId xmlns:a16="http://schemas.microsoft.com/office/drawing/2014/main" id="{00000000-0008-0000-0700-0000E5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0" name="1509 CuadroTexto">
          <a:extLst>
            <a:ext uri="{FF2B5EF4-FFF2-40B4-BE49-F238E27FC236}">
              <a16:creationId xmlns:a16="http://schemas.microsoft.com/office/drawing/2014/main" id="{00000000-0008-0000-0700-0000E6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1" name="1510 CuadroTexto">
          <a:extLst>
            <a:ext uri="{FF2B5EF4-FFF2-40B4-BE49-F238E27FC236}">
              <a16:creationId xmlns:a16="http://schemas.microsoft.com/office/drawing/2014/main" id="{00000000-0008-0000-0700-0000E7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2" name="1511 CuadroTexto">
          <a:extLst>
            <a:ext uri="{FF2B5EF4-FFF2-40B4-BE49-F238E27FC236}">
              <a16:creationId xmlns:a16="http://schemas.microsoft.com/office/drawing/2014/main" id="{00000000-0008-0000-0700-0000E8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3" name="1512 CuadroTexto">
          <a:extLst>
            <a:ext uri="{FF2B5EF4-FFF2-40B4-BE49-F238E27FC236}">
              <a16:creationId xmlns:a16="http://schemas.microsoft.com/office/drawing/2014/main" id="{00000000-0008-0000-0700-0000E9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4" name="1513 CuadroTexto">
          <a:extLst>
            <a:ext uri="{FF2B5EF4-FFF2-40B4-BE49-F238E27FC236}">
              <a16:creationId xmlns:a16="http://schemas.microsoft.com/office/drawing/2014/main" id="{00000000-0008-0000-0700-0000EA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5" name="1514 CuadroTexto">
          <a:extLst>
            <a:ext uri="{FF2B5EF4-FFF2-40B4-BE49-F238E27FC236}">
              <a16:creationId xmlns:a16="http://schemas.microsoft.com/office/drawing/2014/main" id="{00000000-0008-0000-0700-0000EB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6" name="1515 CuadroTexto">
          <a:extLst>
            <a:ext uri="{FF2B5EF4-FFF2-40B4-BE49-F238E27FC236}">
              <a16:creationId xmlns:a16="http://schemas.microsoft.com/office/drawing/2014/main" id="{00000000-0008-0000-0700-0000EC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7" name="1516 CuadroTexto">
          <a:extLst>
            <a:ext uri="{FF2B5EF4-FFF2-40B4-BE49-F238E27FC236}">
              <a16:creationId xmlns:a16="http://schemas.microsoft.com/office/drawing/2014/main" id="{00000000-0008-0000-0700-0000ED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8" name="1517 CuadroTexto">
          <a:extLst>
            <a:ext uri="{FF2B5EF4-FFF2-40B4-BE49-F238E27FC236}">
              <a16:creationId xmlns:a16="http://schemas.microsoft.com/office/drawing/2014/main" id="{00000000-0008-0000-0700-0000EE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519" name="1518 CuadroTexto">
          <a:extLst>
            <a:ext uri="{FF2B5EF4-FFF2-40B4-BE49-F238E27FC236}">
              <a16:creationId xmlns:a16="http://schemas.microsoft.com/office/drawing/2014/main" id="{00000000-0008-0000-0700-0000EF050000}"/>
            </a:ext>
          </a:extLst>
        </xdr:cNvPr>
        <xdr:cNvSpPr txBox="1"/>
      </xdr:nvSpPr>
      <xdr:spPr>
        <a:xfrm>
          <a:off x="8658225" y="52578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twoCellAnchor editAs="oneCell">
    <xdr:from>
      <xdr:col>19</xdr:col>
      <xdr:colOff>22412</xdr:colOff>
      <xdr:row>1</xdr:row>
      <xdr:rowOff>739588</xdr:rowOff>
    </xdr:from>
    <xdr:to>
      <xdr:col>20</xdr:col>
      <xdr:colOff>11417</xdr:colOff>
      <xdr:row>4</xdr:row>
      <xdr:rowOff>92470</xdr:rowOff>
    </xdr:to>
    <xdr:pic macro="[0]!save_FR_CC_016">
      <xdr:nvPicPr>
        <xdr:cNvPr id="1014" name="1013 Imagen">
          <a:extLst>
            <a:ext uri="{FF2B5EF4-FFF2-40B4-BE49-F238E27FC236}">
              <a16:creationId xmlns:a16="http://schemas.microsoft.com/office/drawing/2014/main" id="{00000000-0008-0000-0700-0000F6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29" t="12857" r="10714" b="12500"/>
        <a:stretch/>
      </xdr:blipFill>
      <xdr:spPr>
        <a:xfrm>
          <a:off x="15531353" y="941294"/>
          <a:ext cx="751005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832436</xdr:colOff>
      <xdr:row>5</xdr:row>
      <xdr:rowOff>16627</xdr:rowOff>
    </xdr:from>
    <xdr:to>
      <xdr:col>20</xdr:col>
      <xdr:colOff>52919</xdr:colOff>
      <xdr:row>8</xdr:row>
      <xdr:rowOff>42335</xdr:rowOff>
    </xdr:to>
    <xdr:pic macro="[0]!Auto_trazar2">
      <xdr:nvPicPr>
        <xdr:cNvPr id="1520" name="1519 Imagen" descr="https://thereitis.org/tii-content/uploads/2014/06/nicubunu_Quill.png">
          <a:extLst>
            <a:ext uri="{FF2B5EF4-FFF2-40B4-BE49-F238E27FC236}">
              <a16:creationId xmlns:a16="http://schemas.microsoft.com/office/drawing/2014/main" id="{00000000-0008-0000-07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9186" y="1784044"/>
          <a:ext cx="850316" cy="840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5</xdr:row>
      <xdr:rowOff>19050</xdr:rowOff>
    </xdr:from>
    <xdr:to>
      <xdr:col>7</xdr:col>
      <xdr:colOff>409575</xdr:colOff>
      <xdr:row>7</xdr:row>
      <xdr:rowOff>113452</xdr:rowOff>
    </xdr:to>
    <xdr:pic macro="[0]!Etiq1">
      <xdr:nvPicPr>
        <xdr:cNvPr id="46" name="45 Imagen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5524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13</xdr:row>
      <xdr:rowOff>19050</xdr:rowOff>
    </xdr:from>
    <xdr:to>
      <xdr:col>7</xdr:col>
      <xdr:colOff>419100</xdr:colOff>
      <xdr:row>15</xdr:row>
      <xdr:rowOff>113452</xdr:rowOff>
    </xdr:to>
    <xdr:pic macro="[0]!Etiq2">
      <xdr:nvPicPr>
        <xdr:cNvPr id="3" name="2 Imagen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725" y="14859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371475</xdr:colOff>
      <xdr:row>23</xdr:row>
      <xdr:rowOff>94402</xdr:rowOff>
    </xdr:to>
    <xdr:pic macro="[0]!Etiq3">
      <xdr:nvPicPr>
        <xdr:cNvPr id="4" name="3 Image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4003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371475</xdr:colOff>
      <xdr:row>31</xdr:row>
      <xdr:rowOff>94402</xdr:rowOff>
    </xdr:to>
    <xdr:pic macro="[0]!Etiq4">
      <xdr:nvPicPr>
        <xdr:cNvPr id="5" name="4 Imagen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3337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371475</xdr:colOff>
      <xdr:row>39</xdr:row>
      <xdr:rowOff>94402</xdr:rowOff>
    </xdr:to>
    <xdr:pic macro="[0]!Etiq5">
      <xdr:nvPicPr>
        <xdr:cNvPr id="6" name="5 Imagen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2672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7</xdr:col>
      <xdr:colOff>371475</xdr:colOff>
      <xdr:row>47</xdr:row>
      <xdr:rowOff>94402</xdr:rowOff>
    </xdr:to>
    <xdr:pic macro="[0]!Etiq6">
      <xdr:nvPicPr>
        <xdr:cNvPr id="7" name="6 Imagen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2006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371475</xdr:colOff>
      <xdr:row>55</xdr:row>
      <xdr:rowOff>94401</xdr:rowOff>
    </xdr:to>
    <xdr:pic macro="[0]!Etiq7">
      <xdr:nvPicPr>
        <xdr:cNvPr id="8" name="7 Imagen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1341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371475</xdr:colOff>
      <xdr:row>63</xdr:row>
      <xdr:rowOff>94402</xdr:rowOff>
    </xdr:to>
    <xdr:pic macro="[0]!Etiq8">
      <xdr:nvPicPr>
        <xdr:cNvPr id="9" name="8 Imagen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0675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371475</xdr:colOff>
      <xdr:row>71</xdr:row>
      <xdr:rowOff>94402</xdr:rowOff>
    </xdr:to>
    <xdr:pic macro="[0]!Etiq9">
      <xdr:nvPicPr>
        <xdr:cNvPr id="10" name="9 Imagen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0010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371475</xdr:colOff>
      <xdr:row>79</xdr:row>
      <xdr:rowOff>94403</xdr:rowOff>
    </xdr:to>
    <xdr:pic macro="[0]!Etiq10">
      <xdr:nvPicPr>
        <xdr:cNvPr id="11" name="10 Imagen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9344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7</xdr:col>
      <xdr:colOff>371475</xdr:colOff>
      <xdr:row>87</xdr:row>
      <xdr:rowOff>94403</xdr:rowOff>
    </xdr:to>
    <xdr:pic macro="[0]!Etiq11">
      <xdr:nvPicPr>
        <xdr:cNvPr id="12" name="11 Imagen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8679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93</xdr:row>
      <xdr:rowOff>0</xdr:rowOff>
    </xdr:from>
    <xdr:to>
      <xdr:col>7</xdr:col>
      <xdr:colOff>371475</xdr:colOff>
      <xdr:row>95</xdr:row>
      <xdr:rowOff>94402</xdr:rowOff>
    </xdr:to>
    <xdr:pic macro="[0]!Etiq12">
      <xdr:nvPicPr>
        <xdr:cNvPr id="13" name="12 Imagen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8013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7</xdr:col>
      <xdr:colOff>371475</xdr:colOff>
      <xdr:row>103</xdr:row>
      <xdr:rowOff>94401</xdr:rowOff>
    </xdr:to>
    <xdr:pic macro="[0]!Etiq13">
      <xdr:nvPicPr>
        <xdr:cNvPr id="14" name="13 Imagen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17348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7</xdr:col>
      <xdr:colOff>371475</xdr:colOff>
      <xdr:row>111</xdr:row>
      <xdr:rowOff>94401</xdr:rowOff>
    </xdr:to>
    <xdr:pic macro="[0]!Etiq14">
      <xdr:nvPicPr>
        <xdr:cNvPr id="15" name="14 Imagen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26682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371475</xdr:colOff>
      <xdr:row>119</xdr:row>
      <xdr:rowOff>94401</xdr:rowOff>
    </xdr:to>
    <xdr:pic macro="[0]!Etiq15">
      <xdr:nvPicPr>
        <xdr:cNvPr id="16" name="15 Imagen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36017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7</xdr:col>
      <xdr:colOff>371475</xdr:colOff>
      <xdr:row>127</xdr:row>
      <xdr:rowOff>94403</xdr:rowOff>
    </xdr:to>
    <xdr:pic macro="[0]!Etiq16">
      <xdr:nvPicPr>
        <xdr:cNvPr id="17" name="16 Imagen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45351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7</xdr:col>
      <xdr:colOff>371475</xdr:colOff>
      <xdr:row>135</xdr:row>
      <xdr:rowOff>94402</xdr:rowOff>
    </xdr:to>
    <xdr:pic macro="[0]!Etiq17">
      <xdr:nvPicPr>
        <xdr:cNvPr id="18" name="17 Imagen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54686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141</xdr:row>
      <xdr:rowOff>0</xdr:rowOff>
    </xdr:from>
    <xdr:to>
      <xdr:col>7</xdr:col>
      <xdr:colOff>371475</xdr:colOff>
      <xdr:row>143</xdr:row>
      <xdr:rowOff>94403</xdr:rowOff>
    </xdr:to>
    <xdr:pic macro="[0]!Etiq18">
      <xdr:nvPicPr>
        <xdr:cNvPr id="19" name="18 Imagen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64020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7</xdr:col>
      <xdr:colOff>371475</xdr:colOff>
      <xdr:row>151</xdr:row>
      <xdr:rowOff>94403</xdr:rowOff>
    </xdr:to>
    <xdr:pic macro="[0]!Etiq19">
      <xdr:nvPicPr>
        <xdr:cNvPr id="20" name="19 Imagen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73355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7</xdr:col>
      <xdr:colOff>371475</xdr:colOff>
      <xdr:row>159</xdr:row>
      <xdr:rowOff>94401</xdr:rowOff>
    </xdr:to>
    <xdr:pic macro="[0]!Etiq20">
      <xdr:nvPicPr>
        <xdr:cNvPr id="21" name="20 Imagen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82689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165</xdr:row>
      <xdr:rowOff>0</xdr:rowOff>
    </xdr:from>
    <xdr:to>
      <xdr:col>7</xdr:col>
      <xdr:colOff>371475</xdr:colOff>
      <xdr:row>167</xdr:row>
      <xdr:rowOff>94402</xdr:rowOff>
    </xdr:to>
    <xdr:pic macro="[0]!Etiq21">
      <xdr:nvPicPr>
        <xdr:cNvPr id="22" name="21 Imagen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92024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7</xdr:col>
      <xdr:colOff>371475</xdr:colOff>
      <xdr:row>175</xdr:row>
      <xdr:rowOff>94402</xdr:rowOff>
    </xdr:to>
    <xdr:pic macro="[0]!Etiq22">
      <xdr:nvPicPr>
        <xdr:cNvPr id="23" name="22 Imagen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01358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7</xdr:col>
      <xdr:colOff>371475</xdr:colOff>
      <xdr:row>183</xdr:row>
      <xdr:rowOff>94401</xdr:rowOff>
    </xdr:to>
    <xdr:pic macro="[0]!Etiq23">
      <xdr:nvPicPr>
        <xdr:cNvPr id="24" name="23 Imagen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10693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7</xdr:col>
      <xdr:colOff>371475</xdr:colOff>
      <xdr:row>191</xdr:row>
      <xdr:rowOff>94403</xdr:rowOff>
    </xdr:to>
    <xdr:pic macro="[0]!Etiq24">
      <xdr:nvPicPr>
        <xdr:cNvPr id="25" name="24 Imagen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20027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7</xdr:col>
      <xdr:colOff>371475</xdr:colOff>
      <xdr:row>199</xdr:row>
      <xdr:rowOff>94401</xdr:rowOff>
    </xdr:to>
    <xdr:pic macro="[0]!Etiq25">
      <xdr:nvPicPr>
        <xdr:cNvPr id="26" name="25 Imagen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29362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7</xdr:col>
      <xdr:colOff>371475</xdr:colOff>
      <xdr:row>207</xdr:row>
      <xdr:rowOff>94401</xdr:rowOff>
    </xdr:to>
    <xdr:pic macro="[0]!Etiq26">
      <xdr:nvPicPr>
        <xdr:cNvPr id="27" name="26 Imagen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38696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213</xdr:row>
      <xdr:rowOff>0</xdr:rowOff>
    </xdr:from>
    <xdr:to>
      <xdr:col>7</xdr:col>
      <xdr:colOff>371475</xdr:colOff>
      <xdr:row>215</xdr:row>
      <xdr:rowOff>94404</xdr:rowOff>
    </xdr:to>
    <xdr:pic macro="[0]!Etiq27">
      <xdr:nvPicPr>
        <xdr:cNvPr id="28" name="27 Imagen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48031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7</xdr:col>
      <xdr:colOff>371475</xdr:colOff>
      <xdr:row>223</xdr:row>
      <xdr:rowOff>94402</xdr:rowOff>
    </xdr:to>
    <xdr:pic macro="[0]!Etiq28">
      <xdr:nvPicPr>
        <xdr:cNvPr id="29" name="28 Imagen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57365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7</xdr:col>
      <xdr:colOff>371475</xdr:colOff>
      <xdr:row>231</xdr:row>
      <xdr:rowOff>94402</xdr:rowOff>
    </xdr:to>
    <xdr:pic macro="[0]!Etiq29">
      <xdr:nvPicPr>
        <xdr:cNvPr id="30" name="29 Imagen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66700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237</xdr:row>
      <xdr:rowOff>0</xdr:rowOff>
    </xdr:from>
    <xdr:to>
      <xdr:col>7</xdr:col>
      <xdr:colOff>371475</xdr:colOff>
      <xdr:row>239</xdr:row>
      <xdr:rowOff>94401</xdr:rowOff>
    </xdr:to>
    <xdr:pic macro="[0]!Etiq30">
      <xdr:nvPicPr>
        <xdr:cNvPr id="31" name="30 Imagen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76034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7</xdr:col>
      <xdr:colOff>371475</xdr:colOff>
      <xdr:row>247</xdr:row>
      <xdr:rowOff>94400</xdr:rowOff>
    </xdr:to>
    <xdr:pic macro="[0]!Etiq31">
      <xdr:nvPicPr>
        <xdr:cNvPr id="32" name="31 Imagen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85369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253</xdr:row>
      <xdr:rowOff>0</xdr:rowOff>
    </xdr:from>
    <xdr:to>
      <xdr:col>7</xdr:col>
      <xdr:colOff>371475</xdr:colOff>
      <xdr:row>255</xdr:row>
      <xdr:rowOff>94401</xdr:rowOff>
    </xdr:to>
    <xdr:pic macro="[0]!Etiq32">
      <xdr:nvPicPr>
        <xdr:cNvPr id="33" name="32 Imagen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94703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261</xdr:row>
      <xdr:rowOff>0</xdr:rowOff>
    </xdr:from>
    <xdr:to>
      <xdr:col>7</xdr:col>
      <xdr:colOff>371475</xdr:colOff>
      <xdr:row>263</xdr:row>
      <xdr:rowOff>94402</xdr:rowOff>
    </xdr:to>
    <xdr:pic macro="[0]!Etiq33">
      <xdr:nvPicPr>
        <xdr:cNvPr id="34" name="33 Imagen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4038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269</xdr:row>
      <xdr:rowOff>0</xdr:rowOff>
    </xdr:from>
    <xdr:to>
      <xdr:col>7</xdr:col>
      <xdr:colOff>371475</xdr:colOff>
      <xdr:row>271</xdr:row>
      <xdr:rowOff>94402</xdr:rowOff>
    </xdr:to>
    <xdr:pic macro="[0]!Etiq34">
      <xdr:nvPicPr>
        <xdr:cNvPr id="35" name="34 Imagen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33725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277</xdr:row>
      <xdr:rowOff>0</xdr:rowOff>
    </xdr:from>
    <xdr:to>
      <xdr:col>7</xdr:col>
      <xdr:colOff>371475</xdr:colOff>
      <xdr:row>279</xdr:row>
      <xdr:rowOff>94404</xdr:rowOff>
    </xdr:to>
    <xdr:pic macro="[0]!Etiq35">
      <xdr:nvPicPr>
        <xdr:cNvPr id="36" name="35 Imagen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2270700"/>
          <a:ext cx="371475" cy="3479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285</xdr:row>
      <xdr:rowOff>0</xdr:rowOff>
    </xdr:from>
    <xdr:to>
      <xdr:col>7</xdr:col>
      <xdr:colOff>371475</xdr:colOff>
      <xdr:row>287</xdr:row>
      <xdr:rowOff>94402</xdr:rowOff>
    </xdr:to>
    <xdr:pic macro="[0]!Etiq36">
      <xdr:nvPicPr>
        <xdr:cNvPr id="37" name="36 Imagen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3483176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293</xdr:row>
      <xdr:rowOff>0</xdr:rowOff>
    </xdr:from>
    <xdr:to>
      <xdr:col>7</xdr:col>
      <xdr:colOff>371475</xdr:colOff>
      <xdr:row>295</xdr:row>
      <xdr:rowOff>94403</xdr:rowOff>
    </xdr:to>
    <xdr:pic macro="[0]!Etiq37">
      <xdr:nvPicPr>
        <xdr:cNvPr id="38" name="37 Imagen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4424471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301</xdr:row>
      <xdr:rowOff>0</xdr:rowOff>
    </xdr:from>
    <xdr:to>
      <xdr:col>7</xdr:col>
      <xdr:colOff>371475</xdr:colOff>
      <xdr:row>303</xdr:row>
      <xdr:rowOff>94403</xdr:rowOff>
    </xdr:to>
    <xdr:pic macro="[0]!Etiq38">
      <xdr:nvPicPr>
        <xdr:cNvPr id="39" name="38 Imagen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5365765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309</xdr:row>
      <xdr:rowOff>0</xdr:rowOff>
    </xdr:from>
    <xdr:to>
      <xdr:col>7</xdr:col>
      <xdr:colOff>371475</xdr:colOff>
      <xdr:row>311</xdr:row>
      <xdr:rowOff>94403</xdr:rowOff>
    </xdr:to>
    <xdr:pic macro="[0]!Etiq39">
      <xdr:nvPicPr>
        <xdr:cNvPr id="40" name="39 Imagen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6307059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317</xdr:row>
      <xdr:rowOff>0</xdr:rowOff>
    </xdr:from>
    <xdr:to>
      <xdr:col>7</xdr:col>
      <xdr:colOff>371475</xdr:colOff>
      <xdr:row>319</xdr:row>
      <xdr:rowOff>94403</xdr:rowOff>
    </xdr:to>
    <xdr:pic macro="[0]!Etiq40">
      <xdr:nvPicPr>
        <xdr:cNvPr id="41" name="40 Imagen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7248353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325</xdr:row>
      <xdr:rowOff>0</xdr:rowOff>
    </xdr:from>
    <xdr:to>
      <xdr:col>7</xdr:col>
      <xdr:colOff>371475</xdr:colOff>
      <xdr:row>327</xdr:row>
      <xdr:rowOff>94403</xdr:rowOff>
    </xdr:to>
    <xdr:pic macro="[0]!Etiq41">
      <xdr:nvPicPr>
        <xdr:cNvPr id="42" name="41 Imagen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8189647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333</xdr:row>
      <xdr:rowOff>0</xdr:rowOff>
    </xdr:from>
    <xdr:to>
      <xdr:col>7</xdr:col>
      <xdr:colOff>371475</xdr:colOff>
      <xdr:row>335</xdr:row>
      <xdr:rowOff>94402</xdr:rowOff>
    </xdr:to>
    <xdr:pic macro="[0]!Etiq42">
      <xdr:nvPicPr>
        <xdr:cNvPr id="43" name="42 Imagen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39130941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341</xdr:row>
      <xdr:rowOff>0</xdr:rowOff>
    </xdr:from>
    <xdr:to>
      <xdr:col>7</xdr:col>
      <xdr:colOff>371475</xdr:colOff>
      <xdr:row>343</xdr:row>
      <xdr:rowOff>94403</xdr:rowOff>
    </xdr:to>
    <xdr:pic macro="[0]!Etiq43">
      <xdr:nvPicPr>
        <xdr:cNvPr id="44" name="43 Imagen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40072235"/>
          <a:ext cx="371475" cy="3502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349</xdr:row>
      <xdr:rowOff>0</xdr:rowOff>
    </xdr:from>
    <xdr:to>
      <xdr:col>7</xdr:col>
      <xdr:colOff>371475</xdr:colOff>
      <xdr:row>351</xdr:row>
      <xdr:rowOff>94403</xdr:rowOff>
    </xdr:to>
    <xdr:pic macro="[0]!Etiq44">
      <xdr:nvPicPr>
        <xdr:cNvPr id="45" name="44 Imagen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8412" y="41013529"/>
          <a:ext cx="371475" cy="350206"/>
        </a:xfrm>
        <a:prstGeom prst="rect">
          <a:avLst/>
        </a:prstGeom>
      </xdr:spPr>
    </xdr:pic>
    <xdr:clientData/>
  </xdr:twoCellAnchor>
  <xdr:twoCellAnchor>
    <xdr:from>
      <xdr:col>7</xdr:col>
      <xdr:colOff>229913</xdr:colOff>
      <xdr:row>1</xdr:row>
      <xdr:rowOff>45984</xdr:rowOff>
    </xdr:from>
    <xdr:to>
      <xdr:col>8</xdr:col>
      <xdr:colOff>578069</xdr:colOff>
      <xdr:row>2</xdr:row>
      <xdr:rowOff>65690</xdr:rowOff>
    </xdr:to>
    <xdr:sp macro="[0]!ETQ_MOVER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371896" y="433553"/>
          <a:ext cx="1110156" cy="4072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800"/>
            <a:t>CLICK PARA GENERAR ETIQUETAS</a:t>
          </a:r>
        </a:p>
      </xdr:txBody>
    </xdr:sp>
    <xdr:clientData/>
  </xdr:twoCellAnchor>
  <xdr:twoCellAnchor>
    <xdr:from>
      <xdr:col>10</xdr:col>
      <xdr:colOff>209635</xdr:colOff>
      <xdr:row>1</xdr:row>
      <xdr:rowOff>35988</xdr:rowOff>
    </xdr:from>
    <xdr:to>
      <xdr:col>11</xdr:col>
      <xdr:colOff>557791</xdr:colOff>
      <xdr:row>2</xdr:row>
      <xdr:rowOff>55694</xdr:rowOff>
    </xdr:to>
    <xdr:sp macro="[0]!all_etq" textlink="">
      <xdr:nvSpPr>
        <xdr:cNvPr id="158" name="157 CuadroTexto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8641331" y="425271"/>
          <a:ext cx="1110156" cy="408988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800"/>
            <a:t>CLICK PARA IMPRIMIR ETIQUETAS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5</xdr:row>
      <xdr:rowOff>19050</xdr:rowOff>
    </xdr:from>
    <xdr:to>
      <xdr:col>7</xdr:col>
      <xdr:colOff>409575</xdr:colOff>
      <xdr:row>7</xdr:row>
      <xdr:rowOff>113453</xdr:rowOff>
    </xdr:to>
    <xdr:pic macro="[0]!Etiq1">
      <xdr:nvPicPr>
        <xdr:cNvPr id="2" name="1 Imagen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14382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13</xdr:row>
      <xdr:rowOff>19050</xdr:rowOff>
    </xdr:from>
    <xdr:to>
      <xdr:col>7</xdr:col>
      <xdr:colOff>419100</xdr:colOff>
      <xdr:row>15</xdr:row>
      <xdr:rowOff>113452</xdr:rowOff>
    </xdr:to>
    <xdr:pic macro="[0]!Etiq2">
      <xdr:nvPicPr>
        <xdr:cNvPr id="3" name="2 Imagen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725" y="23050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371475</xdr:colOff>
      <xdr:row>23</xdr:row>
      <xdr:rowOff>94401</xdr:rowOff>
    </xdr:to>
    <xdr:pic macro="[0]!Etiq3">
      <xdr:nvPicPr>
        <xdr:cNvPr id="4" name="3 Image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52775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371475</xdr:colOff>
      <xdr:row>31</xdr:row>
      <xdr:rowOff>94402</xdr:rowOff>
    </xdr:to>
    <xdr:pic macro="[0]!Etiq4">
      <xdr:nvPicPr>
        <xdr:cNvPr id="5" name="4 Imagen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0195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371475</xdr:colOff>
      <xdr:row>39</xdr:row>
      <xdr:rowOff>94403</xdr:rowOff>
    </xdr:to>
    <xdr:pic macro="[0]!Etiq5">
      <xdr:nvPicPr>
        <xdr:cNvPr id="6" name="5 Imagen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8863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7</xdr:col>
      <xdr:colOff>371475</xdr:colOff>
      <xdr:row>47</xdr:row>
      <xdr:rowOff>94401</xdr:rowOff>
    </xdr:to>
    <xdr:pic macro="[0]!Etiq6">
      <xdr:nvPicPr>
        <xdr:cNvPr id="7" name="6 Imagen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7531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371475</xdr:colOff>
      <xdr:row>55</xdr:row>
      <xdr:rowOff>94401</xdr:rowOff>
    </xdr:to>
    <xdr:pic macro="[0]!Etiq7">
      <xdr:nvPicPr>
        <xdr:cNvPr id="8" name="7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619875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371475</xdr:colOff>
      <xdr:row>63</xdr:row>
      <xdr:rowOff>94401</xdr:rowOff>
    </xdr:to>
    <xdr:pic macro="[0]!Etiq8">
      <xdr:nvPicPr>
        <xdr:cNvPr id="9" name="8 Imagen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486650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371475</xdr:colOff>
      <xdr:row>71</xdr:row>
      <xdr:rowOff>94403</xdr:rowOff>
    </xdr:to>
    <xdr:pic macro="[0]!Etiq9">
      <xdr:nvPicPr>
        <xdr:cNvPr id="10" name="9 Imagen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3534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371475</xdr:colOff>
      <xdr:row>79</xdr:row>
      <xdr:rowOff>94403</xdr:rowOff>
    </xdr:to>
    <xdr:pic macro="[0]!Etiq10">
      <xdr:nvPicPr>
        <xdr:cNvPr id="11" name="10 Imagen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22020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7</xdr:col>
      <xdr:colOff>371475</xdr:colOff>
      <xdr:row>87</xdr:row>
      <xdr:rowOff>94402</xdr:rowOff>
    </xdr:to>
    <xdr:pic macro="[0]!Etiq11">
      <xdr:nvPicPr>
        <xdr:cNvPr id="12" name="11 Imagen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0869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93</xdr:row>
      <xdr:rowOff>0</xdr:rowOff>
    </xdr:from>
    <xdr:to>
      <xdr:col>7</xdr:col>
      <xdr:colOff>371475</xdr:colOff>
      <xdr:row>95</xdr:row>
      <xdr:rowOff>94402</xdr:rowOff>
    </xdr:to>
    <xdr:pic macro="[0]!Etiq12">
      <xdr:nvPicPr>
        <xdr:cNvPr id="13" name="12 Imagen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9537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7</xdr:col>
      <xdr:colOff>371475</xdr:colOff>
      <xdr:row>103</xdr:row>
      <xdr:rowOff>94402</xdr:rowOff>
    </xdr:to>
    <xdr:pic macro="[0]!Etiq13">
      <xdr:nvPicPr>
        <xdr:cNvPr id="14" name="13 Imagen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18205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7</xdr:col>
      <xdr:colOff>371475</xdr:colOff>
      <xdr:row>111</xdr:row>
      <xdr:rowOff>94400</xdr:rowOff>
    </xdr:to>
    <xdr:pic macro="[0]!Etiq14">
      <xdr:nvPicPr>
        <xdr:cNvPr id="15" name="14 Imagen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2687300"/>
          <a:ext cx="371475" cy="3420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371475</xdr:colOff>
      <xdr:row>119</xdr:row>
      <xdr:rowOff>94401</xdr:rowOff>
    </xdr:to>
    <xdr:pic macro="[0]!Etiq15">
      <xdr:nvPicPr>
        <xdr:cNvPr id="16" name="15 Imagen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3554075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7</xdr:col>
      <xdr:colOff>371475</xdr:colOff>
      <xdr:row>127</xdr:row>
      <xdr:rowOff>94402</xdr:rowOff>
    </xdr:to>
    <xdr:pic macro="[0]!Etiq16">
      <xdr:nvPicPr>
        <xdr:cNvPr id="17" name="16 Imagen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442085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7</xdr:col>
      <xdr:colOff>371475</xdr:colOff>
      <xdr:row>135</xdr:row>
      <xdr:rowOff>94403</xdr:rowOff>
    </xdr:to>
    <xdr:pic macro="[0]!Etiq17">
      <xdr:nvPicPr>
        <xdr:cNvPr id="18" name="17 Imagen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52876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141</xdr:row>
      <xdr:rowOff>0</xdr:rowOff>
    </xdr:from>
    <xdr:to>
      <xdr:col>7</xdr:col>
      <xdr:colOff>371475</xdr:colOff>
      <xdr:row>143</xdr:row>
      <xdr:rowOff>94403</xdr:rowOff>
    </xdr:to>
    <xdr:pic macro="[0]!Etiq18">
      <xdr:nvPicPr>
        <xdr:cNvPr id="19" name="18 Imagen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6154400"/>
          <a:ext cx="371475" cy="3420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7</xdr:col>
      <xdr:colOff>371475</xdr:colOff>
      <xdr:row>151</xdr:row>
      <xdr:rowOff>94402</xdr:rowOff>
    </xdr:to>
    <xdr:pic macro="[0]!Etiq19">
      <xdr:nvPicPr>
        <xdr:cNvPr id="20" name="19 Imagen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702117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7</xdr:col>
      <xdr:colOff>371475</xdr:colOff>
      <xdr:row>159</xdr:row>
      <xdr:rowOff>94401</xdr:rowOff>
    </xdr:to>
    <xdr:pic macro="[0]!Etiq20">
      <xdr:nvPicPr>
        <xdr:cNvPr id="21" name="20 Imagen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7887950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165</xdr:row>
      <xdr:rowOff>0</xdr:rowOff>
    </xdr:from>
    <xdr:to>
      <xdr:col>7</xdr:col>
      <xdr:colOff>371475</xdr:colOff>
      <xdr:row>167</xdr:row>
      <xdr:rowOff>94403</xdr:rowOff>
    </xdr:to>
    <xdr:pic macro="[0]!Etiq21">
      <xdr:nvPicPr>
        <xdr:cNvPr id="22" name="21 Imagen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87547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7</xdr:col>
      <xdr:colOff>371475</xdr:colOff>
      <xdr:row>175</xdr:row>
      <xdr:rowOff>94403</xdr:rowOff>
    </xdr:to>
    <xdr:pic macro="[0]!Etiq22">
      <xdr:nvPicPr>
        <xdr:cNvPr id="23" name="22 Imagen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96215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7</xdr:col>
      <xdr:colOff>371475</xdr:colOff>
      <xdr:row>183</xdr:row>
      <xdr:rowOff>94401</xdr:rowOff>
    </xdr:to>
    <xdr:pic macro="[0]!Etiq23">
      <xdr:nvPicPr>
        <xdr:cNvPr id="24" name="23 Imagen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048827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7</xdr:col>
      <xdr:colOff>371475</xdr:colOff>
      <xdr:row>191</xdr:row>
      <xdr:rowOff>94402</xdr:rowOff>
    </xdr:to>
    <xdr:pic macro="[0]!Etiq24">
      <xdr:nvPicPr>
        <xdr:cNvPr id="25" name="24 Imagen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13550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7</xdr:col>
      <xdr:colOff>371475</xdr:colOff>
      <xdr:row>199</xdr:row>
      <xdr:rowOff>94402</xdr:rowOff>
    </xdr:to>
    <xdr:pic macro="[0]!Etiq25">
      <xdr:nvPicPr>
        <xdr:cNvPr id="26" name="25 Imagen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22218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7</xdr:col>
      <xdr:colOff>371475</xdr:colOff>
      <xdr:row>207</xdr:row>
      <xdr:rowOff>94402</xdr:rowOff>
    </xdr:to>
    <xdr:pic macro="[0]!Etiq26">
      <xdr:nvPicPr>
        <xdr:cNvPr id="27" name="26 Imagen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3088600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213</xdr:row>
      <xdr:rowOff>0</xdr:rowOff>
    </xdr:from>
    <xdr:to>
      <xdr:col>7</xdr:col>
      <xdr:colOff>371475</xdr:colOff>
      <xdr:row>215</xdr:row>
      <xdr:rowOff>94403</xdr:rowOff>
    </xdr:to>
    <xdr:pic macro="[0]!Etiq27">
      <xdr:nvPicPr>
        <xdr:cNvPr id="28" name="27 Imagen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39553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7</xdr:col>
      <xdr:colOff>371475</xdr:colOff>
      <xdr:row>223</xdr:row>
      <xdr:rowOff>94402</xdr:rowOff>
    </xdr:to>
    <xdr:pic macro="[0]!Etiq28">
      <xdr:nvPicPr>
        <xdr:cNvPr id="29" name="28 Imagen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482215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7</xdr:col>
      <xdr:colOff>371475</xdr:colOff>
      <xdr:row>231</xdr:row>
      <xdr:rowOff>94402</xdr:rowOff>
    </xdr:to>
    <xdr:pic macro="[0]!Etiq29">
      <xdr:nvPicPr>
        <xdr:cNvPr id="30" name="29 Imagen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56889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237</xdr:row>
      <xdr:rowOff>0</xdr:rowOff>
    </xdr:from>
    <xdr:to>
      <xdr:col>7</xdr:col>
      <xdr:colOff>371475</xdr:colOff>
      <xdr:row>239</xdr:row>
      <xdr:rowOff>94402</xdr:rowOff>
    </xdr:to>
    <xdr:pic macro="[0]!Etiq30">
      <xdr:nvPicPr>
        <xdr:cNvPr id="31" name="30 Imagen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65557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7</xdr:col>
      <xdr:colOff>371475</xdr:colOff>
      <xdr:row>247</xdr:row>
      <xdr:rowOff>94400</xdr:rowOff>
    </xdr:to>
    <xdr:pic macro="[0]!Etiq31">
      <xdr:nvPicPr>
        <xdr:cNvPr id="32" name="31 Imagen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7422475"/>
          <a:ext cx="371475" cy="3420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253</xdr:row>
      <xdr:rowOff>0</xdr:rowOff>
    </xdr:from>
    <xdr:to>
      <xdr:col>7</xdr:col>
      <xdr:colOff>371475</xdr:colOff>
      <xdr:row>255</xdr:row>
      <xdr:rowOff>94400</xdr:rowOff>
    </xdr:to>
    <xdr:pic macro="[0]!Etiq32">
      <xdr:nvPicPr>
        <xdr:cNvPr id="33" name="32 Imagen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8289250"/>
          <a:ext cx="371475" cy="3420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261</xdr:row>
      <xdr:rowOff>0</xdr:rowOff>
    </xdr:from>
    <xdr:to>
      <xdr:col>7</xdr:col>
      <xdr:colOff>371475</xdr:colOff>
      <xdr:row>263</xdr:row>
      <xdr:rowOff>94402</xdr:rowOff>
    </xdr:to>
    <xdr:pic macro="[0]!Etiq33">
      <xdr:nvPicPr>
        <xdr:cNvPr id="34" name="33 Imagen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91560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269</xdr:row>
      <xdr:rowOff>0</xdr:rowOff>
    </xdr:from>
    <xdr:to>
      <xdr:col>7</xdr:col>
      <xdr:colOff>371475</xdr:colOff>
      <xdr:row>271</xdr:row>
      <xdr:rowOff>94403</xdr:rowOff>
    </xdr:to>
    <xdr:pic macro="[0]!Etiq34">
      <xdr:nvPicPr>
        <xdr:cNvPr id="35" name="34 Imagen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0228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277</xdr:row>
      <xdr:rowOff>0</xdr:rowOff>
    </xdr:from>
    <xdr:to>
      <xdr:col>7</xdr:col>
      <xdr:colOff>371475</xdr:colOff>
      <xdr:row>279</xdr:row>
      <xdr:rowOff>94403</xdr:rowOff>
    </xdr:to>
    <xdr:pic macro="[0]!Etiq35">
      <xdr:nvPicPr>
        <xdr:cNvPr id="36" name="35 Imagen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889575"/>
          <a:ext cx="371475" cy="3420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285</xdr:row>
      <xdr:rowOff>0</xdr:rowOff>
    </xdr:from>
    <xdr:to>
      <xdr:col>7</xdr:col>
      <xdr:colOff>371475</xdr:colOff>
      <xdr:row>287</xdr:row>
      <xdr:rowOff>94402</xdr:rowOff>
    </xdr:to>
    <xdr:pic macro="[0]!Etiq36">
      <xdr:nvPicPr>
        <xdr:cNvPr id="37" name="36 Imagen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7563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293</xdr:row>
      <xdr:rowOff>0</xdr:rowOff>
    </xdr:from>
    <xdr:to>
      <xdr:col>7</xdr:col>
      <xdr:colOff>371475</xdr:colOff>
      <xdr:row>295</xdr:row>
      <xdr:rowOff>94402</xdr:rowOff>
    </xdr:to>
    <xdr:pic macro="[0]!Etiq37">
      <xdr:nvPicPr>
        <xdr:cNvPr id="38" name="37 Imagen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26231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301</xdr:row>
      <xdr:rowOff>0</xdr:rowOff>
    </xdr:from>
    <xdr:to>
      <xdr:col>7</xdr:col>
      <xdr:colOff>371475</xdr:colOff>
      <xdr:row>303</xdr:row>
      <xdr:rowOff>94404</xdr:rowOff>
    </xdr:to>
    <xdr:pic macro="[0]!Etiq38">
      <xdr:nvPicPr>
        <xdr:cNvPr id="39" name="38 Imagen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348990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309</xdr:row>
      <xdr:rowOff>0</xdr:rowOff>
    </xdr:from>
    <xdr:to>
      <xdr:col>7</xdr:col>
      <xdr:colOff>371475</xdr:colOff>
      <xdr:row>311</xdr:row>
      <xdr:rowOff>94403</xdr:rowOff>
    </xdr:to>
    <xdr:pic macro="[0]!Etiq39">
      <xdr:nvPicPr>
        <xdr:cNvPr id="40" name="39 Imagen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43566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317</xdr:row>
      <xdr:rowOff>0</xdr:rowOff>
    </xdr:from>
    <xdr:to>
      <xdr:col>7</xdr:col>
      <xdr:colOff>371475</xdr:colOff>
      <xdr:row>319</xdr:row>
      <xdr:rowOff>94402</xdr:rowOff>
    </xdr:to>
    <xdr:pic macro="[0]!Etiq40">
      <xdr:nvPicPr>
        <xdr:cNvPr id="41" name="40 Imagen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522345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325</xdr:row>
      <xdr:rowOff>0</xdr:rowOff>
    </xdr:from>
    <xdr:to>
      <xdr:col>7</xdr:col>
      <xdr:colOff>371475</xdr:colOff>
      <xdr:row>327</xdr:row>
      <xdr:rowOff>94403</xdr:rowOff>
    </xdr:to>
    <xdr:pic macro="[0]!Etiq41">
      <xdr:nvPicPr>
        <xdr:cNvPr id="42" name="41 Imagen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609022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333</xdr:row>
      <xdr:rowOff>0</xdr:rowOff>
    </xdr:from>
    <xdr:to>
      <xdr:col>7</xdr:col>
      <xdr:colOff>371475</xdr:colOff>
      <xdr:row>335</xdr:row>
      <xdr:rowOff>94403</xdr:rowOff>
    </xdr:to>
    <xdr:pic macro="[0]!Etiq42">
      <xdr:nvPicPr>
        <xdr:cNvPr id="43" name="42 Imagen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695700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341</xdr:row>
      <xdr:rowOff>0</xdr:rowOff>
    </xdr:from>
    <xdr:to>
      <xdr:col>7</xdr:col>
      <xdr:colOff>371475</xdr:colOff>
      <xdr:row>343</xdr:row>
      <xdr:rowOff>94402</xdr:rowOff>
    </xdr:to>
    <xdr:pic macro="[0]!Etiq43">
      <xdr:nvPicPr>
        <xdr:cNvPr id="44" name="43 Imagen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782377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349</xdr:row>
      <xdr:rowOff>0</xdr:rowOff>
    </xdr:from>
    <xdr:to>
      <xdr:col>7</xdr:col>
      <xdr:colOff>371475</xdr:colOff>
      <xdr:row>351</xdr:row>
      <xdr:rowOff>94403</xdr:rowOff>
    </xdr:to>
    <xdr:pic macro="[0]!Etiq44">
      <xdr:nvPicPr>
        <xdr:cNvPr id="45" name="44 Imagen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8690550"/>
          <a:ext cx="371475" cy="342053"/>
        </a:xfrm>
        <a:prstGeom prst="rect">
          <a:avLst/>
        </a:prstGeom>
      </xdr:spPr>
    </xdr:pic>
    <xdr:clientData/>
  </xdr:twoCellAnchor>
  <xdr:twoCellAnchor>
    <xdr:from>
      <xdr:col>7</xdr:col>
      <xdr:colOff>229913</xdr:colOff>
      <xdr:row>1</xdr:row>
      <xdr:rowOff>45984</xdr:rowOff>
    </xdr:from>
    <xdr:to>
      <xdr:col>8</xdr:col>
      <xdr:colOff>578069</xdr:colOff>
      <xdr:row>2</xdr:row>
      <xdr:rowOff>65690</xdr:rowOff>
    </xdr:to>
    <xdr:sp macro="[0]!ETQ_MOVER_HSJ" textlink="">
      <xdr:nvSpPr>
        <xdr:cNvPr id="46" name="45 CuadroTexto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 txBox="1"/>
      </xdr:nvSpPr>
      <xdr:spPr>
        <a:xfrm>
          <a:off x="6364013" y="436509"/>
          <a:ext cx="1110156" cy="41023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800"/>
            <a:t>CLICK PARA GENERAR ETIQUETAS</a:t>
          </a:r>
        </a:p>
      </xdr:txBody>
    </xdr:sp>
    <xdr:clientData/>
  </xdr:twoCellAnchor>
  <xdr:twoCellAnchor>
    <xdr:from>
      <xdr:col>10</xdr:col>
      <xdr:colOff>82826</xdr:colOff>
      <xdr:row>1</xdr:row>
      <xdr:rowOff>49695</xdr:rowOff>
    </xdr:from>
    <xdr:to>
      <xdr:col>11</xdr:col>
      <xdr:colOff>430982</xdr:colOff>
      <xdr:row>2</xdr:row>
      <xdr:rowOff>69401</xdr:rowOff>
    </xdr:to>
    <xdr:sp macro="[0]!all_etq_HSJ" textlink="">
      <xdr:nvSpPr>
        <xdr:cNvPr id="47" name="46 CuadroTexto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8514522" y="438978"/>
          <a:ext cx="1110156" cy="408988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800"/>
            <a:t>CLICK PARA GENERAR ETIQUETAS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6</xdr:row>
      <xdr:rowOff>19050</xdr:rowOff>
    </xdr:from>
    <xdr:to>
      <xdr:col>7</xdr:col>
      <xdr:colOff>409575</xdr:colOff>
      <xdr:row>8</xdr:row>
      <xdr:rowOff>106883</xdr:rowOff>
    </xdr:to>
    <xdr:pic macro="[0]!Etiq1">
      <xdr:nvPicPr>
        <xdr:cNvPr id="2" name="1 Imagen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14382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14</xdr:row>
      <xdr:rowOff>19050</xdr:rowOff>
    </xdr:from>
    <xdr:to>
      <xdr:col>7</xdr:col>
      <xdr:colOff>419100</xdr:colOff>
      <xdr:row>16</xdr:row>
      <xdr:rowOff>113453</xdr:rowOff>
    </xdr:to>
    <xdr:pic macro="[0]!Etiq2">
      <xdr:nvPicPr>
        <xdr:cNvPr id="3" name="2 Imagen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1725" y="23050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371475</xdr:colOff>
      <xdr:row>24</xdr:row>
      <xdr:rowOff>94401</xdr:rowOff>
    </xdr:to>
    <xdr:pic macro="[0]!Etiq3">
      <xdr:nvPicPr>
        <xdr:cNvPr id="4" name="3 Image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52775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371475</xdr:colOff>
      <xdr:row>32</xdr:row>
      <xdr:rowOff>94402</xdr:rowOff>
    </xdr:to>
    <xdr:pic macro="[0]!Etiq4">
      <xdr:nvPicPr>
        <xdr:cNvPr id="5" name="4 Imagen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0195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371475</xdr:colOff>
      <xdr:row>40</xdr:row>
      <xdr:rowOff>94402</xdr:rowOff>
    </xdr:to>
    <xdr:pic macro="[0]!Etiq5">
      <xdr:nvPicPr>
        <xdr:cNvPr id="6" name="5 Imagen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48863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371475</xdr:colOff>
      <xdr:row>48</xdr:row>
      <xdr:rowOff>94402</xdr:rowOff>
    </xdr:to>
    <xdr:pic macro="[0]!Etiq6">
      <xdr:nvPicPr>
        <xdr:cNvPr id="7" name="6 Imagen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7531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7</xdr:col>
      <xdr:colOff>371475</xdr:colOff>
      <xdr:row>56</xdr:row>
      <xdr:rowOff>94401</xdr:rowOff>
    </xdr:to>
    <xdr:pic macro="[0]!Etiq7">
      <xdr:nvPicPr>
        <xdr:cNvPr id="8" name="7 Imagen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619875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371475</xdr:colOff>
      <xdr:row>64</xdr:row>
      <xdr:rowOff>94401</xdr:rowOff>
    </xdr:to>
    <xdr:pic macro="[0]!Etiq8">
      <xdr:nvPicPr>
        <xdr:cNvPr id="9" name="8 Imagen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486650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371475</xdr:colOff>
      <xdr:row>72</xdr:row>
      <xdr:rowOff>94402</xdr:rowOff>
    </xdr:to>
    <xdr:pic macro="[0]!Etiq9">
      <xdr:nvPicPr>
        <xdr:cNvPr id="10" name="9 Imagen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83534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371475</xdr:colOff>
      <xdr:row>80</xdr:row>
      <xdr:rowOff>94404</xdr:rowOff>
    </xdr:to>
    <xdr:pic macro="[0]!Etiq10">
      <xdr:nvPicPr>
        <xdr:cNvPr id="11" name="10 Imagen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922020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7</xdr:col>
      <xdr:colOff>371475</xdr:colOff>
      <xdr:row>88</xdr:row>
      <xdr:rowOff>94402</xdr:rowOff>
    </xdr:to>
    <xdr:pic macro="[0]!Etiq11">
      <xdr:nvPicPr>
        <xdr:cNvPr id="12" name="11 Imagen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0869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7</xdr:col>
      <xdr:colOff>371475</xdr:colOff>
      <xdr:row>96</xdr:row>
      <xdr:rowOff>94402</xdr:rowOff>
    </xdr:to>
    <xdr:pic macro="[0]!Etiq12">
      <xdr:nvPicPr>
        <xdr:cNvPr id="13" name="12 Imagen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09537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371475</xdr:colOff>
      <xdr:row>104</xdr:row>
      <xdr:rowOff>94401</xdr:rowOff>
    </xdr:to>
    <xdr:pic macro="[0]!Etiq13">
      <xdr:nvPicPr>
        <xdr:cNvPr id="14" name="13 Imagen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18205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371475</xdr:colOff>
      <xdr:row>112</xdr:row>
      <xdr:rowOff>94401</xdr:rowOff>
    </xdr:to>
    <xdr:pic macro="[0]!Etiq14">
      <xdr:nvPicPr>
        <xdr:cNvPr id="15" name="14 Imagen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2687300"/>
          <a:ext cx="371475" cy="3420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7</xdr:col>
      <xdr:colOff>371475</xdr:colOff>
      <xdr:row>120</xdr:row>
      <xdr:rowOff>94402</xdr:rowOff>
    </xdr:to>
    <xdr:pic macro="[0]!Etiq15">
      <xdr:nvPicPr>
        <xdr:cNvPr id="16" name="15 Imagen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3554075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126</xdr:row>
      <xdr:rowOff>0</xdr:rowOff>
    </xdr:from>
    <xdr:to>
      <xdr:col>7</xdr:col>
      <xdr:colOff>371475</xdr:colOff>
      <xdr:row>128</xdr:row>
      <xdr:rowOff>94402</xdr:rowOff>
    </xdr:to>
    <xdr:pic macro="[0]!Etiq16">
      <xdr:nvPicPr>
        <xdr:cNvPr id="17" name="16 Imagen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442085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7</xdr:col>
      <xdr:colOff>371475</xdr:colOff>
      <xdr:row>136</xdr:row>
      <xdr:rowOff>94402</xdr:rowOff>
    </xdr:to>
    <xdr:pic macro="[0]!Etiq17">
      <xdr:nvPicPr>
        <xdr:cNvPr id="18" name="17 Imagen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52876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7</xdr:col>
      <xdr:colOff>371475</xdr:colOff>
      <xdr:row>144</xdr:row>
      <xdr:rowOff>94404</xdr:rowOff>
    </xdr:to>
    <xdr:pic macro="[0]!Etiq18">
      <xdr:nvPicPr>
        <xdr:cNvPr id="19" name="18 Imagen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6154400"/>
          <a:ext cx="371475" cy="3420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150</xdr:row>
      <xdr:rowOff>0</xdr:rowOff>
    </xdr:from>
    <xdr:to>
      <xdr:col>7</xdr:col>
      <xdr:colOff>371475</xdr:colOff>
      <xdr:row>152</xdr:row>
      <xdr:rowOff>94403</xdr:rowOff>
    </xdr:to>
    <xdr:pic macro="[0]!Etiq19">
      <xdr:nvPicPr>
        <xdr:cNvPr id="20" name="19 Imagen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702117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7</xdr:col>
      <xdr:colOff>371475</xdr:colOff>
      <xdr:row>160</xdr:row>
      <xdr:rowOff>94401</xdr:rowOff>
    </xdr:to>
    <xdr:pic macro="[0]!Etiq20">
      <xdr:nvPicPr>
        <xdr:cNvPr id="21" name="20 Imagen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7887950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7</xdr:col>
      <xdr:colOff>371475</xdr:colOff>
      <xdr:row>168</xdr:row>
      <xdr:rowOff>94402</xdr:rowOff>
    </xdr:to>
    <xdr:pic macro="[0]!Etiq21">
      <xdr:nvPicPr>
        <xdr:cNvPr id="22" name="21 Imagen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87547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7</xdr:col>
      <xdr:colOff>371475</xdr:colOff>
      <xdr:row>176</xdr:row>
      <xdr:rowOff>94402</xdr:rowOff>
    </xdr:to>
    <xdr:pic macro="[0]!Etiq22">
      <xdr:nvPicPr>
        <xdr:cNvPr id="23" name="22 Imagen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196215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7</xdr:col>
      <xdr:colOff>371475</xdr:colOff>
      <xdr:row>184</xdr:row>
      <xdr:rowOff>94402</xdr:rowOff>
    </xdr:to>
    <xdr:pic macro="[0]!Etiq23">
      <xdr:nvPicPr>
        <xdr:cNvPr id="24" name="23 Imagen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048827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7</xdr:col>
      <xdr:colOff>371475</xdr:colOff>
      <xdr:row>192</xdr:row>
      <xdr:rowOff>94402</xdr:rowOff>
    </xdr:to>
    <xdr:pic macro="[0]!Etiq24">
      <xdr:nvPicPr>
        <xdr:cNvPr id="25" name="24 Imagen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13550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198</xdr:row>
      <xdr:rowOff>0</xdr:rowOff>
    </xdr:from>
    <xdr:to>
      <xdr:col>7</xdr:col>
      <xdr:colOff>371475</xdr:colOff>
      <xdr:row>200</xdr:row>
      <xdr:rowOff>94401</xdr:rowOff>
    </xdr:to>
    <xdr:pic macro="[0]!Etiq25">
      <xdr:nvPicPr>
        <xdr:cNvPr id="26" name="25 Imagen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22218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7</xdr:col>
      <xdr:colOff>371475</xdr:colOff>
      <xdr:row>208</xdr:row>
      <xdr:rowOff>94401</xdr:rowOff>
    </xdr:to>
    <xdr:pic macro="[0]!Etiq26">
      <xdr:nvPicPr>
        <xdr:cNvPr id="27" name="26 Imagen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3088600"/>
          <a:ext cx="371475" cy="3420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7</xdr:col>
      <xdr:colOff>371475</xdr:colOff>
      <xdr:row>216</xdr:row>
      <xdr:rowOff>94404</xdr:rowOff>
    </xdr:to>
    <xdr:pic macro="[0]!Etiq27">
      <xdr:nvPicPr>
        <xdr:cNvPr id="28" name="27 Imagen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39553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222</xdr:row>
      <xdr:rowOff>0</xdr:rowOff>
    </xdr:from>
    <xdr:to>
      <xdr:col>7</xdr:col>
      <xdr:colOff>371475</xdr:colOff>
      <xdr:row>224</xdr:row>
      <xdr:rowOff>94402</xdr:rowOff>
    </xdr:to>
    <xdr:pic macro="[0]!Etiq28">
      <xdr:nvPicPr>
        <xdr:cNvPr id="29" name="28 Imagen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482215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7</xdr:col>
      <xdr:colOff>371475</xdr:colOff>
      <xdr:row>232</xdr:row>
      <xdr:rowOff>94402</xdr:rowOff>
    </xdr:to>
    <xdr:pic macro="[0]!Etiq29">
      <xdr:nvPicPr>
        <xdr:cNvPr id="30" name="29 Imagen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56889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7</xdr:col>
      <xdr:colOff>371475</xdr:colOff>
      <xdr:row>240</xdr:row>
      <xdr:rowOff>94401</xdr:rowOff>
    </xdr:to>
    <xdr:pic macro="[0]!Etiq30">
      <xdr:nvPicPr>
        <xdr:cNvPr id="31" name="30 Imagen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65557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246</xdr:row>
      <xdr:rowOff>0</xdr:rowOff>
    </xdr:from>
    <xdr:to>
      <xdr:col>7</xdr:col>
      <xdr:colOff>371475</xdr:colOff>
      <xdr:row>248</xdr:row>
      <xdr:rowOff>94401</xdr:rowOff>
    </xdr:to>
    <xdr:pic macro="[0]!Etiq31">
      <xdr:nvPicPr>
        <xdr:cNvPr id="32" name="31 Imagen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7422475"/>
          <a:ext cx="371475" cy="3420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254</xdr:row>
      <xdr:rowOff>0</xdr:rowOff>
    </xdr:from>
    <xdr:to>
      <xdr:col>7</xdr:col>
      <xdr:colOff>371475</xdr:colOff>
      <xdr:row>256</xdr:row>
      <xdr:rowOff>94400</xdr:rowOff>
    </xdr:to>
    <xdr:pic macro="[0]!Etiq32">
      <xdr:nvPicPr>
        <xdr:cNvPr id="33" name="32 Imagen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8289250"/>
          <a:ext cx="371475" cy="3420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262</xdr:row>
      <xdr:rowOff>0</xdr:rowOff>
    </xdr:from>
    <xdr:to>
      <xdr:col>7</xdr:col>
      <xdr:colOff>371475</xdr:colOff>
      <xdr:row>264</xdr:row>
      <xdr:rowOff>94402</xdr:rowOff>
    </xdr:to>
    <xdr:pic macro="[0]!Etiq33">
      <xdr:nvPicPr>
        <xdr:cNvPr id="34" name="33 Imagen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291560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270</xdr:row>
      <xdr:rowOff>0</xdr:rowOff>
    </xdr:from>
    <xdr:to>
      <xdr:col>7</xdr:col>
      <xdr:colOff>371475</xdr:colOff>
      <xdr:row>272</xdr:row>
      <xdr:rowOff>94402</xdr:rowOff>
    </xdr:to>
    <xdr:pic macro="[0]!Etiq34">
      <xdr:nvPicPr>
        <xdr:cNvPr id="35" name="34 Imagen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02280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278</xdr:row>
      <xdr:rowOff>0</xdr:rowOff>
    </xdr:from>
    <xdr:to>
      <xdr:col>7</xdr:col>
      <xdr:colOff>371475</xdr:colOff>
      <xdr:row>280</xdr:row>
      <xdr:rowOff>94404</xdr:rowOff>
    </xdr:to>
    <xdr:pic macro="[0]!Etiq35">
      <xdr:nvPicPr>
        <xdr:cNvPr id="36" name="35 Imagen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889575"/>
          <a:ext cx="371475" cy="3420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286</xdr:row>
      <xdr:rowOff>0</xdr:rowOff>
    </xdr:from>
    <xdr:to>
      <xdr:col>7</xdr:col>
      <xdr:colOff>371475</xdr:colOff>
      <xdr:row>288</xdr:row>
      <xdr:rowOff>94402</xdr:rowOff>
    </xdr:to>
    <xdr:pic macro="[0]!Etiq36">
      <xdr:nvPicPr>
        <xdr:cNvPr id="37" name="36 Imagen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1756350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294</xdr:row>
      <xdr:rowOff>0</xdr:rowOff>
    </xdr:from>
    <xdr:to>
      <xdr:col>7</xdr:col>
      <xdr:colOff>371475</xdr:colOff>
      <xdr:row>296</xdr:row>
      <xdr:rowOff>94402</xdr:rowOff>
    </xdr:to>
    <xdr:pic macro="[0]!Etiq37">
      <xdr:nvPicPr>
        <xdr:cNvPr id="38" name="37 Imagen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262312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302</xdr:row>
      <xdr:rowOff>0</xdr:rowOff>
    </xdr:from>
    <xdr:to>
      <xdr:col>7</xdr:col>
      <xdr:colOff>371475</xdr:colOff>
      <xdr:row>304</xdr:row>
      <xdr:rowOff>94403</xdr:rowOff>
    </xdr:to>
    <xdr:pic macro="[0]!Etiq38">
      <xdr:nvPicPr>
        <xdr:cNvPr id="39" name="38 Imagen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348990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310</xdr:row>
      <xdr:rowOff>0</xdr:rowOff>
    </xdr:from>
    <xdr:to>
      <xdr:col>7</xdr:col>
      <xdr:colOff>371475</xdr:colOff>
      <xdr:row>312</xdr:row>
      <xdr:rowOff>94404</xdr:rowOff>
    </xdr:to>
    <xdr:pic macro="[0]!Etiq39">
      <xdr:nvPicPr>
        <xdr:cNvPr id="40" name="39 Imagen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435667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318</xdr:row>
      <xdr:rowOff>0</xdr:rowOff>
    </xdr:from>
    <xdr:to>
      <xdr:col>7</xdr:col>
      <xdr:colOff>371475</xdr:colOff>
      <xdr:row>320</xdr:row>
      <xdr:rowOff>94402</xdr:rowOff>
    </xdr:to>
    <xdr:pic macro="[0]!Etiq40">
      <xdr:nvPicPr>
        <xdr:cNvPr id="41" name="40 Imagen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522345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326</xdr:row>
      <xdr:rowOff>0</xdr:rowOff>
    </xdr:from>
    <xdr:to>
      <xdr:col>7</xdr:col>
      <xdr:colOff>371475</xdr:colOff>
      <xdr:row>328</xdr:row>
      <xdr:rowOff>94403</xdr:rowOff>
    </xdr:to>
    <xdr:pic macro="[0]!Etiq41">
      <xdr:nvPicPr>
        <xdr:cNvPr id="42" name="41 Imagen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6090225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334</xdr:row>
      <xdr:rowOff>0</xdr:rowOff>
    </xdr:from>
    <xdr:to>
      <xdr:col>7</xdr:col>
      <xdr:colOff>371475</xdr:colOff>
      <xdr:row>336</xdr:row>
      <xdr:rowOff>94402</xdr:rowOff>
    </xdr:to>
    <xdr:pic macro="[0]!Etiq42">
      <xdr:nvPicPr>
        <xdr:cNvPr id="43" name="42 Imagen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6957000"/>
          <a:ext cx="371475" cy="34205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342</xdr:row>
      <xdr:rowOff>0</xdr:rowOff>
    </xdr:from>
    <xdr:to>
      <xdr:col>7</xdr:col>
      <xdr:colOff>371475</xdr:colOff>
      <xdr:row>344</xdr:row>
      <xdr:rowOff>94403</xdr:rowOff>
    </xdr:to>
    <xdr:pic macro="[0]!Etiq43">
      <xdr:nvPicPr>
        <xdr:cNvPr id="44" name="43 Imagen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7823775"/>
          <a:ext cx="371475" cy="3420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350</xdr:row>
      <xdr:rowOff>0</xdr:rowOff>
    </xdr:from>
    <xdr:to>
      <xdr:col>7</xdr:col>
      <xdr:colOff>371475</xdr:colOff>
      <xdr:row>352</xdr:row>
      <xdr:rowOff>94404</xdr:rowOff>
    </xdr:to>
    <xdr:pic macro="[0]!Etiq44">
      <xdr:nvPicPr>
        <xdr:cNvPr id="45" name="44 Imagen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8690550"/>
          <a:ext cx="371475" cy="342053"/>
        </a:xfrm>
        <a:prstGeom prst="rect">
          <a:avLst/>
        </a:prstGeom>
      </xdr:spPr>
    </xdr:pic>
    <xdr:clientData/>
  </xdr:twoCellAnchor>
  <xdr:twoCellAnchor>
    <xdr:from>
      <xdr:col>7</xdr:col>
      <xdr:colOff>229913</xdr:colOff>
      <xdr:row>1</xdr:row>
      <xdr:rowOff>45984</xdr:rowOff>
    </xdr:from>
    <xdr:to>
      <xdr:col>8</xdr:col>
      <xdr:colOff>578069</xdr:colOff>
      <xdr:row>2</xdr:row>
      <xdr:rowOff>65690</xdr:rowOff>
    </xdr:to>
    <xdr:sp macro="[0]!ETQ_MOVER_HSC" textlink="">
      <xdr:nvSpPr>
        <xdr:cNvPr id="46" name="45 CuadroTexto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 txBox="1"/>
      </xdr:nvSpPr>
      <xdr:spPr>
        <a:xfrm>
          <a:off x="6364013" y="436509"/>
          <a:ext cx="1110156" cy="41023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800"/>
            <a:t>CLICK PARA GENERAR ETIQUETAS</a:t>
          </a:r>
        </a:p>
      </xdr:txBody>
    </xdr:sp>
    <xdr:clientData/>
  </xdr:twoCellAnchor>
  <xdr:twoCellAnchor>
    <xdr:from>
      <xdr:col>10</xdr:col>
      <xdr:colOff>157369</xdr:colOff>
      <xdr:row>1</xdr:row>
      <xdr:rowOff>8283</xdr:rowOff>
    </xdr:from>
    <xdr:to>
      <xdr:col>11</xdr:col>
      <xdr:colOff>505525</xdr:colOff>
      <xdr:row>2</xdr:row>
      <xdr:rowOff>27989</xdr:rowOff>
    </xdr:to>
    <xdr:sp macro="[0]!all_etq_HSC" textlink="">
      <xdr:nvSpPr>
        <xdr:cNvPr id="47" name="46 CuadroTexto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 txBox="1"/>
      </xdr:nvSpPr>
      <xdr:spPr>
        <a:xfrm>
          <a:off x="8589065" y="397566"/>
          <a:ext cx="1110156" cy="408988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800"/>
            <a:t>CLICK PARA GENERAR ETIQUETAS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76200</xdr:rowOff>
    </xdr:from>
    <xdr:to>
      <xdr:col>1</xdr:col>
      <xdr:colOff>971550</xdr:colOff>
      <xdr:row>1</xdr:row>
      <xdr:rowOff>47625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76200"/>
          <a:ext cx="16478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57150</xdr:rowOff>
    </xdr:from>
    <xdr:to>
      <xdr:col>1</xdr:col>
      <xdr:colOff>828675</xdr:colOff>
      <xdr:row>0</xdr:row>
      <xdr:rowOff>390525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57150"/>
          <a:ext cx="16478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57150</xdr:rowOff>
    </xdr:from>
    <xdr:to>
      <xdr:col>1</xdr:col>
      <xdr:colOff>1190625</xdr:colOff>
      <xdr:row>0</xdr:row>
      <xdr:rowOff>361950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57150"/>
          <a:ext cx="16573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7</xdr:row>
          <xdr:rowOff>47625</xdr:rowOff>
        </xdr:from>
        <xdr:to>
          <xdr:col>3</xdr:col>
          <xdr:colOff>733425</xdr:colOff>
          <xdr:row>8</xdr:row>
          <xdr:rowOff>142875</xdr:rowOff>
        </xdr:to>
        <xdr:sp macro="" textlink="">
          <xdr:nvSpPr>
            <xdr:cNvPr id="21506" name="ComboBox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104775</xdr:colOff>
      <xdr:row>6</xdr:row>
      <xdr:rowOff>57150</xdr:rowOff>
    </xdr:from>
    <xdr:to>
      <xdr:col>4</xdr:col>
      <xdr:colOff>646230</xdr:colOff>
      <xdr:row>9</xdr:row>
      <xdr:rowOff>4751</xdr:rowOff>
    </xdr:to>
    <xdr:pic macro="[0]!save_NPT_Sol">
      <xdr:nvPicPr>
        <xdr:cNvPr id="4" name="3 Image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29" t="12857" r="10714" b="12500"/>
        <a:stretch/>
      </xdr:blipFill>
      <xdr:spPr>
        <a:xfrm>
          <a:off x="3152775" y="1219200"/>
          <a:ext cx="541455" cy="519101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209550</xdr:colOff>
      <xdr:row>6</xdr:row>
      <xdr:rowOff>114300</xdr:rowOff>
    </xdr:from>
    <xdr:to>
      <xdr:col>11</xdr:col>
      <xdr:colOff>751005</xdr:colOff>
      <xdr:row>9</xdr:row>
      <xdr:rowOff>61901</xdr:rowOff>
    </xdr:to>
    <xdr:pic macro="[0]!save_NPT_FRCC016">
      <xdr:nvPicPr>
        <xdr:cNvPr id="5" name="4 Imagen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29" t="12857" r="10714" b="12500"/>
        <a:stretch/>
      </xdr:blipFill>
      <xdr:spPr>
        <a:xfrm>
          <a:off x="9096375" y="1276350"/>
          <a:ext cx="541455" cy="51910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52916</xdr:colOff>
      <xdr:row>6</xdr:row>
      <xdr:rowOff>201081</xdr:rowOff>
    </xdr:from>
    <xdr:to>
      <xdr:col>18</xdr:col>
      <xdr:colOff>603245</xdr:colOff>
      <xdr:row>7</xdr:row>
      <xdr:rowOff>317496</xdr:rowOff>
    </xdr:to>
    <xdr:sp macro="[0]!Ordenar_mag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597591" y="2429931"/>
          <a:ext cx="1607604" cy="48789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ORDENAR POR</a:t>
          </a:r>
        </a:p>
        <a:p>
          <a:pPr algn="ctr"/>
          <a:r>
            <a:rPr lang="es-CO" sz="1100"/>
            <a:t>CAMPAÑA</a:t>
          </a:r>
        </a:p>
      </xdr:txBody>
    </xdr:sp>
    <xdr:clientData/>
  </xdr:twoCellAnchor>
  <xdr:twoCellAnchor>
    <xdr:from>
      <xdr:col>10</xdr:col>
      <xdr:colOff>148170</xdr:colOff>
      <xdr:row>0</xdr:row>
      <xdr:rowOff>148167</xdr:rowOff>
    </xdr:from>
    <xdr:to>
      <xdr:col>11</xdr:col>
      <xdr:colOff>359837</xdr:colOff>
      <xdr:row>1</xdr:row>
      <xdr:rowOff>263525</xdr:rowOff>
    </xdr:to>
    <xdr:sp macro="[0]!Todo_Mag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406595" y="148167"/>
          <a:ext cx="1221317" cy="486833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Times New Roman" pitchFamily="18" charset="0"/>
              <a:cs typeface="Times New Roman" pitchFamily="18" charset="0"/>
            </a:rPr>
            <a:t>RADICAR</a:t>
          </a:r>
          <a:endParaRPr lang="es-CO" sz="18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28575</xdr:colOff>
          <xdr:row>2</xdr:row>
          <xdr:rowOff>9525</xdr:rowOff>
        </xdr:to>
        <xdr:sp macro="" textlink="">
          <xdr:nvSpPr>
            <xdr:cNvPr id="23553" name="ComboBox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28</xdr:col>
      <xdr:colOff>1524000</xdr:colOff>
      <xdr:row>11</xdr:row>
      <xdr:rowOff>0</xdr:rowOff>
    </xdr:from>
    <xdr:ext cx="77782" cy="226766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2105025" y="2171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11</xdr:row>
      <xdr:rowOff>0</xdr:rowOff>
    </xdr:from>
    <xdr:ext cx="77782" cy="226766"/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2105025" y="2171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8</xdr:row>
      <xdr:rowOff>0</xdr:rowOff>
    </xdr:from>
    <xdr:ext cx="77782" cy="226766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 txBox="1"/>
      </xdr:nvSpPr>
      <xdr:spPr>
        <a:xfrm>
          <a:off x="2105025" y="1600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8</xdr:row>
      <xdr:rowOff>0</xdr:rowOff>
    </xdr:from>
    <xdr:ext cx="77782" cy="226766"/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 txBox="1"/>
      </xdr:nvSpPr>
      <xdr:spPr>
        <a:xfrm>
          <a:off x="2105025" y="1600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11</xdr:row>
      <xdr:rowOff>0</xdr:rowOff>
    </xdr:from>
    <xdr:ext cx="77782" cy="226766"/>
    <xdr:sp macro="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 txBox="1"/>
      </xdr:nvSpPr>
      <xdr:spPr>
        <a:xfrm>
          <a:off x="2105025" y="2171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11</xdr:row>
      <xdr:rowOff>0</xdr:rowOff>
    </xdr:from>
    <xdr:ext cx="77782" cy="226766"/>
    <xdr:sp macro="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 txBox="1"/>
      </xdr:nvSpPr>
      <xdr:spPr>
        <a:xfrm>
          <a:off x="2105025" y="2171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8</xdr:row>
      <xdr:rowOff>0</xdr:rowOff>
    </xdr:from>
    <xdr:ext cx="77782" cy="226766"/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 txBox="1"/>
      </xdr:nvSpPr>
      <xdr:spPr>
        <a:xfrm>
          <a:off x="2105025" y="1600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8</xdr:row>
      <xdr:rowOff>0</xdr:rowOff>
    </xdr:from>
    <xdr:ext cx="77782" cy="226766"/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 txBox="1"/>
      </xdr:nvSpPr>
      <xdr:spPr>
        <a:xfrm>
          <a:off x="2105025" y="1600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13</xdr:row>
      <xdr:rowOff>0</xdr:rowOff>
    </xdr:from>
    <xdr:ext cx="77782" cy="226766"/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 txBox="1"/>
      </xdr:nvSpPr>
      <xdr:spPr>
        <a:xfrm>
          <a:off x="2105025" y="2552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13</xdr:row>
      <xdr:rowOff>0</xdr:rowOff>
    </xdr:from>
    <xdr:ext cx="77782" cy="226766"/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 txBox="1"/>
      </xdr:nvSpPr>
      <xdr:spPr>
        <a:xfrm>
          <a:off x="2105025" y="2552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13</xdr:row>
      <xdr:rowOff>0</xdr:rowOff>
    </xdr:from>
    <xdr:ext cx="77782" cy="226766"/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 txBox="1"/>
      </xdr:nvSpPr>
      <xdr:spPr>
        <a:xfrm>
          <a:off x="2105025" y="2552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13</xdr:row>
      <xdr:rowOff>0</xdr:rowOff>
    </xdr:from>
    <xdr:ext cx="77782" cy="226766"/>
    <xdr:sp macro="" textlink="">
      <xdr:nvSpPr>
        <xdr:cNvPr id="16" name="15 CuadroTexto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2105025" y="2552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14</xdr:row>
      <xdr:rowOff>0</xdr:rowOff>
    </xdr:from>
    <xdr:ext cx="77782" cy="226766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2105025" y="2743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14</xdr:row>
      <xdr:rowOff>0</xdr:rowOff>
    </xdr:from>
    <xdr:ext cx="77782" cy="226766"/>
    <xdr:sp macro="" textlink="">
      <xdr:nvSpPr>
        <xdr:cNvPr id="18" name="17 CuadroTexto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2105025" y="2743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14</xdr:row>
      <xdr:rowOff>0</xdr:rowOff>
    </xdr:from>
    <xdr:ext cx="77782" cy="226766"/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 txBox="1"/>
      </xdr:nvSpPr>
      <xdr:spPr>
        <a:xfrm>
          <a:off x="2105025" y="2743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28</xdr:col>
      <xdr:colOff>1524000</xdr:colOff>
      <xdr:row>14</xdr:row>
      <xdr:rowOff>0</xdr:rowOff>
    </xdr:from>
    <xdr:ext cx="77782" cy="226766"/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2105025" y="27432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twoCellAnchor editAs="oneCell">
    <xdr:from>
      <xdr:col>13</xdr:col>
      <xdr:colOff>306917</xdr:colOff>
      <xdr:row>0</xdr:row>
      <xdr:rowOff>84667</xdr:rowOff>
    </xdr:from>
    <xdr:to>
      <xdr:col>14</xdr:col>
      <xdr:colOff>64572</xdr:colOff>
      <xdr:row>1</xdr:row>
      <xdr:rowOff>324483</xdr:rowOff>
    </xdr:to>
    <xdr:pic macro="[0]!Limpiar_Mag">
      <xdr:nvPicPr>
        <xdr:cNvPr id="21" name="20 Imagen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615334" y="84667"/>
          <a:ext cx="614905" cy="61023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66676</xdr:colOff>
      <xdr:row>2</xdr:row>
      <xdr:rowOff>114300</xdr:rowOff>
    </xdr:from>
    <xdr:to>
      <xdr:col>19</xdr:col>
      <xdr:colOff>561975</xdr:colOff>
      <xdr:row>4</xdr:row>
      <xdr:rowOff>38100</xdr:rowOff>
    </xdr:to>
    <xdr:sp macro="[2]!GenerarOrdenDespach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116051" y="1076325"/>
          <a:ext cx="2124074" cy="5238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Para generar Orden de Despacho haga click AQUI</a:t>
          </a:r>
        </a:p>
      </xdr:txBody>
    </xdr:sp>
    <xdr:clientData/>
  </xdr:two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6" name="15 CuadroTexto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8" name="17 CuadroTexto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1" name="20 CuadroTexto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2" name="21 CuadroTexto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4" name="23 CuadroTexto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6" name="25 CuadroTexto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7" name="26 CuadroTexto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8" name="27 CuadroTexto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29" name="28 CuadroTexto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0" name="29 CuadroTexto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1" name="30 CuadroTexto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2" name="31 CuadroTexto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3" name="32 CuadroTexto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4" name="33 CuadroTexto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5" name="34 CuadroTexto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6" name="35 CuadroTexto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7" name="36 CuadroTexto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8" name="37 CuadroTexto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39" name="38 CuadroTexto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0" name="39 CuadroTexto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1" name="40 CuadroTexto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2" name="41 CuadroTexto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3" name="42 CuadroTexto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4" name="43 CuadroTexto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5" name="44 CuadroTexto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6" name="45 CuadroTexto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7" name="46 CuadroTexto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8" name="47 CuadroTexto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49" name="48 CuadroTexto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0" name="49 CuadroTexto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1" name="50 CuadroTexto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2" name="51 CuadroTexto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3" name="52 CuadroTexto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4" name="53 CuadroTexto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5" name="54 CuadroTexto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6" name="55 CuadroTexto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7" name="56 CuadroTexto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8" name="57 CuadroTexto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59" name="58 CuadroTexto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0" name="59 CuadroTexto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1" name="60 CuadroTexto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2" name="61 CuadroTexto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3" name="62 CuadroTexto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4" name="63 CuadroTexto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5" name="64 CuadroTexto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6" name="65 CuadroTexto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7" name="66 CuadroTexto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8" name="67 CuadroTexto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69" name="68 CuadroTexto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0" name="69 CuadroTexto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1" name="70 CuadroTexto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2" name="71 CuadroTexto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3" name="72 CuadroTexto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4" name="73 CuadroTexto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5" name="74 CuadroTexto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6" name="75 CuadroTexto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7" name="76 CuadroTexto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8" name="77 CuadroTexto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79" name="78 CuadroTexto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0" name="79 CuadroTexto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1" name="80 CuadroTexto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2" name="81 CuadroTexto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3" name="82 CuadroTexto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4" name="83 CuadroTexto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5" name="84 CuadroTexto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6" name="85 CuadroTexto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7" name="86 CuadroTexto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8" name="87 CuadroTexto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89" name="88 CuadroTexto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0" name="89 CuadroTexto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1" name="90 CuadroTexto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2" name="91 CuadroTexto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3" name="92 CuadroTexto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4" name="93 CuadroTexto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5" name="94 CuadroTexto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6" name="95 CuadroTexto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7" name="96 CuadroTexto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8" name="97 CuadroTexto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99" name="98 CuadroTexto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0" name="99 CuadroTexto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1" name="100 CuadroTexto"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2" name="101 CuadroTexto"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3" name="102 CuadroTexto"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4" name="103 CuadroTexto">
          <a:extLst>
            <a:ext uri="{FF2B5EF4-FFF2-40B4-BE49-F238E27FC236}">
              <a16:creationId xmlns:a16="http://schemas.microsoft.com/office/drawing/2014/main" id="{00000000-0008-0000-1300-000068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5" name="104 CuadroTexto">
          <a:extLst>
            <a:ext uri="{FF2B5EF4-FFF2-40B4-BE49-F238E27FC236}">
              <a16:creationId xmlns:a16="http://schemas.microsoft.com/office/drawing/2014/main" id="{00000000-0008-0000-1300-000069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6" name="105 CuadroTexto">
          <a:extLst>
            <a:ext uri="{FF2B5EF4-FFF2-40B4-BE49-F238E27FC236}">
              <a16:creationId xmlns:a16="http://schemas.microsoft.com/office/drawing/2014/main" id="{00000000-0008-0000-1300-00006A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7" name="106 CuadroTexto">
          <a:extLst>
            <a:ext uri="{FF2B5EF4-FFF2-40B4-BE49-F238E27FC236}">
              <a16:creationId xmlns:a16="http://schemas.microsoft.com/office/drawing/2014/main" id="{00000000-0008-0000-1300-00006B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8" name="107 CuadroTexto">
          <a:extLst>
            <a:ext uri="{FF2B5EF4-FFF2-40B4-BE49-F238E27FC236}">
              <a16:creationId xmlns:a16="http://schemas.microsoft.com/office/drawing/2014/main" id="{00000000-0008-0000-1300-00006C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09" name="108 CuadroTexto">
          <a:extLst>
            <a:ext uri="{FF2B5EF4-FFF2-40B4-BE49-F238E27FC236}">
              <a16:creationId xmlns:a16="http://schemas.microsoft.com/office/drawing/2014/main" id="{00000000-0008-0000-1300-00006D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0" name="109 CuadroTexto">
          <a:extLst>
            <a:ext uri="{FF2B5EF4-FFF2-40B4-BE49-F238E27FC236}">
              <a16:creationId xmlns:a16="http://schemas.microsoft.com/office/drawing/2014/main" id="{00000000-0008-0000-1300-00006E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1" name="110 CuadroTexto">
          <a:extLst>
            <a:ext uri="{FF2B5EF4-FFF2-40B4-BE49-F238E27FC236}">
              <a16:creationId xmlns:a16="http://schemas.microsoft.com/office/drawing/2014/main" id="{00000000-0008-0000-1300-00006F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2" name="111 CuadroTexto">
          <a:extLst>
            <a:ext uri="{FF2B5EF4-FFF2-40B4-BE49-F238E27FC236}">
              <a16:creationId xmlns:a16="http://schemas.microsoft.com/office/drawing/2014/main" id="{00000000-0008-0000-1300-000070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3" name="112 CuadroTexto">
          <a:extLst>
            <a:ext uri="{FF2B5EF4-FFF2-40B4-BE49-F238E27FC236}">
              <a16:creationId xmlns:a16="http://schemas.microsoft.com/office/drawing/2014/main" id="{00000000-0008-0000-1300-000071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4" name="113 CuadroTexto">
          <a:extLst>
            <a:ext uri="{FF2B5EF4-FFF2-40B4-BE49-F238E27FC236}">
              <a16:creationId xmlns:a16="http://schemas.microsoft.com/office/drawing/2014/main" id="{00000000-0008-0000-1300-000072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1457325</xdr:colOff>
      <xdr:row>70</xdr:row>
      <xdr:rowOff>0</xdr:rowOff>
    </xdr:from>
    <xdr:ext cx="194455" cy="283458"/>
    <xdr:sp macro="" textlink="">
      <xdr:nvSpPr>
        <xdr:cNvPr id="115" name="114 CuadroTexto">
          <a:extLst>
            <a:ext uri="{FF2B5EF4-FFF2-40B4-BE49-F238E27FC236}">
              <a16:creationId xmlns:a16="http://schemas.microsoft.com/office/drawing/2014/main" id="{00000000-0008-0000-1300-000073000000}"/>
            </a:ext>
          </a:extLst>
        </xdr:cNvPr>
        <xdr:cNvSpPr txBox="1"/>
      </xdr:nvSpPr>
      <xdr:spPr>
        <a:xfrm>
          <a:off x="9048750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16" name="115 CuadroTexto">
          <a:extLst>
            <a:ext uri="{FF2B5EF4-FFF2-40B4-BE49-F238E27FC236}">
              <a16:creationId xmlns:a16="http://schemas.microsoft.com/office/drawing/2014/main" id="{00000000-0008-0000-1300-00007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17" name="116 CuadroTexto">
          <a:extLst>
            <a:ext uri="{FF2B5EF4-FFF2-40B4-BE49-F238E27FC236}">
              <a16:creationId xmlns:a16="http://schemas.microsoft.com/office/drawing/2014/main" id="{00000000-0008-0000-1300-00007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18" name="117 CuadroTexto">
          <a:extLst>
            <a:ext uri="{FF2B5EF4-FFF2-40B4-BE49-F238E27FC236}">
              <a16:creationId xmlns:a16="http://schemas.microsoft.com/office/drawing/2014/main" id="{00000000-0008-0000-1300-00007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19" name="118 CuadroTexto">
          <a:extLst>
            <a:ext uri="{FF2B5EF4-FFF2-40B4-BE49-F238E27FC236}">
              <a16:creationId xmlns:a16="http://schemas.microsoft.com/office/drawing/2014/main" id="{00000000-0008-0000-1300-00007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0" name="119 CuadroTexto">
          <a:extLst>
            <a:ext uri="{FF2B5EF4-FFF2-40B4-BE49-F238E27FC236}">
              <a16:creationId xmlns:a16="http://schemas.microsoft.com/office/drawing/2014/main" id="{00000000-0008-0000-1300-00007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1" name="120 CuadroTexto">
          <a:extLst>
            <a:ext uri="{FF2B5EF4-FFF2-40B4-BE49-F238E27FC236}">
              <a16:creationId xmlns:a16="http://schemas.microsoft.com/office/drawing/2014/main" id="{00000000-0008-0000-1300-00007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2" name="121 CuadroTexto">
          <a:extLst>
            <a:ext uri="{FF2B5EF4-FFF2-40B4-BE49-F238E27FC236}">
              <a16:creationId xmlns:a16="http://schemas.microsoft.com/office/drawing/2014/main" id="{00000000-0008-0000-1300-00007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3" name="122 CuadroTexto">
          <a:extLst>
            <a:ext uri="{FF2B5EF4-FFF2-40B4-BE49-F238E27FC236}">
              <a16:creationId xmlns:a16="http://schemas.microsoft.com/office/drawing/2014/main" id="{00000000-0008-0000-1300-00007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4" name="123 CuadroTexto">
          <a:extLst>
            <a:ext uri="{FF2B5EF4-FFF2-40B4-BE49-F238E27FC236}">
              <a16:creationId xmlns:a16="http://schemas.microsoft.com/office/drawing/2014/main" id="{00000000-0008-0000-1300-00007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5" name="124 CuadroTexto">
          <a:extLst>
            <a:ext uri="{FF2B5EF4-FFF2-40B4-BE49-F238E27FC236}">
              <a16:creationId xmlns:a16="http://schemas.microsoft.com/office/drawing/2014/main" id="{00000000-0008-0000-1300-00007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6" name="125 CuadroTexto">
          <a:extLst>
            <a:ext uri="{FF2B5EF4-FFF2-40B4-BE49-F238E27FC236}">
              <a16:creationId xmlns:a16="http://schemas.microsoft.com/office/drawing/2014/main" id="{00000000-0008-0000-1300-00007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7" name="126 CuadroTexto">
          <a:extLst>
            <a:ext uri="{FF2B5EF4-FFF2-40B4-BE49-F238E27FC236}">
              <a16:creationId xmlns:a16="http://schemas.microsoft.com/office/drawing/2014/main" id="{00000000-0008-0000-1300-00007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8" name="127 CuadroTexto">
          <a:extLst>
            <a:ext uri="{FF2B5EF4-FFF2-40B4-BE49-F238E27FC236}">
              <a16:creationId xmlns:a16="http://schemas.microsoft.com/office/drawing/2014/main" id="{00000000-0008-0000-1300-00008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29" name="128 CuadroTexto">
          <a:extLst>
            <a:ext uri="{FF2B5EF4-FFF2-40B4-BE49-F238E27FC236}">
              <a16:creationId xmlns:a16="http://schemas.microsoft.com/office/drawing/2014/main" id="{00000000-0008-0000-1300-00008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0" name="129 CuadroTexto">
          <a:extLst>
            <a:ext uri="{FF2B5EF4-FFF2-40B4-BE49-F238E27FC236}">
              <a16:creationId xmlns:a16="http://schemas.microsoft.com/office/drawing/2014/main" id="{00000000-0008-0000-1300-00008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1" name="130 CuadroTexto">
          <a:extLst>
            <a:ext uri="{FF2B5EF4-FFF2-40B4-BE49-F238E27FC236}">
              <a16:creationId xmlns:a16="http://schemas.microsoft.com/office/drawing/2014/main" id="{00000000-0008-0000-1300-00008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2" name="131 CuadroTexto">
          <a:extLst>
            <a:ext uri="{FF2B5EF4-FFF2-40B4-BE49-F238E27FC236}">
              <a16:creationId xmlns:a16="http://schemas.microsoft.com/office/drawing/2014/main" id="{00000000-0008-0000-1300-00008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3" name="132 CuadroTexto">
          <a:extLst>
            <a:ext uri="{FF2B5EF4-FFF2-40B4-BE49-F238E27FC236}">
              <a16:creationId xmlns:a16="http://schemas.microsoft.com/office/drawing/2014/main" id="{00000000-0008-0000-1300-00008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4" name="133 CuadroTexto">
          <a:extLst>
            <a:ext uri="{FF2B5EF4-FFF2-40B4-BE49-F238E27FC236}">
              <a16:creationId xmlns:a16="http://schemas.microsoft.com/office/drawing/2014/main" id="{00000000-0008-0000-1300-00008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5" name="134 CuadroTexto">
          <a:extLst>
            <a:ext uri="{FF2B5EF4-FFF2-40B4-BE49-F238E27FC236}">
              <a16:creationId xmlns:a16="http://schemas.microsoft.com/office/drawing/2014/main" id="{00000000-0008-0000-1300-00008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6" name="135 CuadroTexto">
          <a:extLst>
            <a:ext uri="{FF2B5EF4-FFF2-40B4-BE49-F238E27FC236}">
              <a16:creationId xmlns:a16="http://schemas.microsoft.com/office/drawing/2014/main" id="{00000000-0008-0000-1300-00008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7" name="136 CuadroTexto">
          <a:extLst>
            <a:ext uri="{FF2B5EF4-FFF2-40B4-BE49-F238E27FC236}">
              <a16:creationId xmlns:a16="http://schemas.microsoft.com/office/drawing/2014/main" id="{00000000-0008-0000-1300-00008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8" name="137 CuadroTexto">
          <a:extLst>
            <a:ext uri="{FF2B5EF4-FFF2-40B4-BE49-F238E27FC236}">
              <a16:creationId xmlns:a16="http://schemas.microsoft.com/office/drawing/2014/main" id="{00000000-0008-0000-1300-00008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39" name="138 CuadroTexto">
          <a:extLst>
            <a:ext uri="{FF2B5EF4-FFF2-40B4-BE49-F238E27FC236}">
              <a16:creationId xmlns:a16="http://schemas.microsoft.com/office/drawing/2014/main" id="{00000000-0008-0000-1300-00008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0" name="139 CuadroTexto">
          <a:extLst>
            <a:ext uri="{FF2B5EF4-FFF2-40B4-BE49-F238E27FC236}">
              <a16:creationId xmlns:a16="http://schemas.microsoft.com/office/drawing/2014/main" id="{00000000-0008-0000-1300-00008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1" name="140 CuadroTexto">
          <a:extLst>
            <a:ext uri="{FF2B5EF4-FFF2-40B4-BE49-F238E27FC236}">
              <a16:creationId xmlns:a16="http://schemas.microsoft.com/office/drawing/2014/main" id="{00000000-0008-0000-1300-00008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2" name="141 CuadroTexto">
          <a:extLst>
            <a:ext uri="{FF2B5EF4-FFF2-40B4-BE49-F238E27FC236}">
              <a16:creationId xmlns:a16="http://schemas.microsoft.com/office/drawing/2014/main" id="{00000000-0008-0000-1300-00008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3" name="142 CuadroTexto">
          <a:extLst>
            <a:ext uri="{FF2B5EF4-FFF2-40B4-BE49-F238E27FC236}">
              <a16:creationId xmlns:a16="http://schemas.microsoft.com/office/drawing/2014/main" id="{00000000-0008-0000-1300-00008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4" name="143 CuadroTexto">
          <a:extLst>
            <a:ext uri="{FF2B5EF4-FFF2-40B4-BE49-F238E27FC236}">
              <a16:creationId xmlns:a16="http://schemas.microsoft.com/office/drawing/2014/main" id="{00000000-0008-0000-1300-00009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5" name="144 CuadroTexto">
          <a:extLst>
            <a:ext uri="{FF2B5EF4-FFF2-40B4-BE49-F238E27FC236}">
              <a16:creationId xmlns:a16="http://schemas.microsoft.com/office/drawing/2014/main" id="{00000000-0008-0000-1300-00009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6" name="145 CuadroTexto">
          <a:extLst>
            <a:ext uri="{FF2B5EF4-FFF2-40B4-BE49-F238E27FC236}">
              <a16:creationId xmlns:a16="http://schemas.microsoft.com/office/drawing/2014/main" id="{00000000-0008-0000-1300-00009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7" name="146 CuadroTexto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8" name="147 CuadroTexto">
          <a:extLst>
            <a:ext uri="{FF2B5EF4-FFF2-40B4-BE49-F238E27FC236}">
              <a16:creationId xmlns:a16="http://schemas.microsoft.com/office/drawing/2014/main" id="{00000000-0008-0000-1300-00009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49" name="148 CuadroTexto">
          <a:extLst>
            <a:ext uri="{FF2B5EF4-FFF2-40B4-BE49-F238E27FC236}">
              <a16:creationId xmlns:a16="http://schemas.microsoft.com/office/drawing/2014/main" id="{00000000-0008-0000-1300-00009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0" name="149 CuadroTexto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1" name="150 CuadroTexto">
          <a:extLst>
            <a:ext uri="{FF2B5EF4-FFF2-40B4-BE49-F238E27FC236}">
              <a16:creationId xmlns:a16="http://schemas.microsoft.com/office/drawing/2014/main" id="{00000000-0008-0000-1300-00009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2" name="151 CuadroTexto">
          <a:extLst>
            <a:ext uri="{FF2B5EF4-FFF2-40B4-BE49-F238E27FC236}">
              <a16:creationId xmlns:a16="http://schemas.microsoft.com/office/drawing/2014/main" id="{00000000-0008-0000-1300-00009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3" name="152 CuadroTexto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4" name="153 CuadroTexto">
          <a:extLst>
            <a:ext uri="{FF2B5EF4-FFF2-40B4-BE49-F238E27FC236}">
              <a16:creationId xmlns:a16="http://schemas.microsoft.com/office/drawing/2014/main" id="{00000000-0008-0000-1300-00009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5" name="154 CuadroTexto">
          <a:extLst>
            <a:ext uri="{FF2B5EF4-FFF2-40B4-BE49-F238E27FC236}">
              <a16:creationId xmlns:a16="http://schemas.microsoft.com/office/drawing/2014/main" id="{00000000-0008-0000-1300-00009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6" name="155 CuadroTexto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7" name="156 CuadroTexto">
          <a:extLst>
            <a:ext uri="{FF2B5EF4-FFF2-40B4-BE49-F238E27FC236}">
              <a16:creationId xmlns:a16="http://schemas.microsoft.com/office/drawing/2014/main" id="{00000000-0008-0000-1300-00009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8" name="157 CuadroTexto">
          <a:extLst>
            <a:ext uri="{FF2B5EF4-FFF2-40B4-BE49-F238E27FC236}">
              <a16:creationId xmlns:a16="http://schemas.microsoft.com/office/drawing/2014/main" id="{00000000-0008-0000-1300-00009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59" name="158 CuadroTexto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0" name="159 CuadroTexto">
          <a:extLst>
            <a:ext uri="{FF2B5EF4-FFF2-40B4-BE49-F238E27FC236}">
              <a16:creationId xmlns:a16="http://schemas.microsoft.com/office/drawing/2014/main" id="{00000000-0008-0000-1300-0000A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1" name="160 CuadroTexto">
          <a:extLst>
            <a:ext uri="{FF2B5EF4-FFF2-40B4-BE49-F238E27FC236}">
              <a16:creationId xmlns:a16="http://schemas.microsoft.com/office/drawing/2014/main" id="{00000000-0008-0000-1300-0000A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2" name="161 CuadroTexto">
          <a:extLst>
            <a:ext uri="{FF2B5EF4-FFF2-40B4-BE49-F238E27FC236}">
              <a16:creationId xmlns:a16="http://schemas.microsoft.com/office/drawing/2014/main" id="{00000000-0008-0000-1300-0000A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3" name="162 CuadroTexto">
          <a:extLst>
            <a:ext uri="{FF2B5EF4-FFF2-40B4-BE49-F238E27FC236}">
              <a16:creationId xmlns:a16="http://schemas.microsoft.com/office/drawing/2014/main" id="{00000000-0008-0000-1300-0000A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4" name="163 CuadroTexto">
          <a:extLst>
            <a:ext uri="{FF2B5EF4-FFF2-40B4-BE49-F238E27FC236}">
              <a16:creationId xmlns:a16="http://schemas.microsoft.com/office/drawing/2014/main" id="{00000000-0008-0000-1300-0000A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5" name="164 CuadroTexto">
          <a:extLst>
            <a:ext uri="{FF2B5EF4-FFF2-40B4-BE49-F238E27FC236}">
              <a16:creationId xmlns:a16="http://schemas.microsoft.com/office/drawing/2014/main" id="{00000000-0008-0000-1300-0000A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6" name="165 CuadroTexto">
          <a:extLst>
            <a:ext uri="{FF2B5EF4-FFF2-40B4-BE49-F238E27FC236}">
              <a16:creationId xmlns:a16="http://schemas.microsoft.com/office/drawing/2014/main" id="{00000000-0008-0000-1300-0000A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7" name="166 CuadroTexto">
          <a:extLst>
            <a:ext uri="{FF2B5EF4-FFF2-40B4-BE49-F238E27FC236}">
              <a16:creationId xmlns:a16="http://schemas.microsoft.com/office/drawing/2014/main" id="{00000000-0008-0000-1300-0000A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8" name="167 CuadroTexto">
          <a:extLst>
            <a:ext uri="{FF2B5EF4-FFF2-40B4-BE49-F238E27FC236}">
              <a16:creationId xmlns:a16="http://schemas.microsoft.com/office/drawing/2014/main" id="{00000000-0008-0000-1300-0000A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69" name="168 CuadroTexto">
          <a:extLst>
            <a:ext uri="{FF2B5EF4-FFF2-40B4-BE49-F238E27FC236}">
              <a16:creationId xmlns:a16="http://schemas.microsoft.com/office/drawing/2014/main" id="{00000000-0008-0000-1300-0000A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0" name="169 CuadroTexto">
          <a:extLst>
            <a:ext uri="{FF2B5EF4-FFF2-40B4-BE49-F238E27FC236}">
              <a16:creationId xmlns:a16="http://schemas.microsoft.com/office/drawing/2014/main" id="{00000000-0008-0000-1300-0000A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1" name="170 CuadroTexto">
          <a:extLst>
            <a:ext uri="{FF2B5EF4-FFF2-40B4-BE49-F238E27FC236}">
              <a16:creationId xmlns:a16="http://schemas.microsoft.com/office/drawing/2014/main" id="{00000000-0008-0000-1300-0000A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2" name="171 CuadroTexto">
          <a:extLst>
            <a:ext uri="{FF2B5EF4-FFF2-40B4-BE49-F238E27FC236}">
              <a16:creationId xmlns:a16="http://schemas.microsoft.com/office/drawing/2014/main" id="{00000000-0008-0000-1300-0000A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3" name="172 CuadroTexto">
          <a:extLst>
            <a:ext uri="{FF2B5EF4-FFF2-40B4-BE49-F238E27FC236}">
              <a16:creationId xmlns:a16="http://schemas.microsoft.com/office/drawing/2014/main" id="{00000000-0008-0000-1300-0000A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4" name="173 CuadroTexto">
          <a:extLst>
            <a:ext uri="{FF2B5EF4-FFF2-40B4-BE49-F238E27FC236}">
              <a16:creationId xmlns:a16="http://schemas.microsoft.com/office/drawing/2014/main" id="{00000000-0008-0000-1300-0000A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5" name="174 CuadroTexto">
          <a:extLst>
            <a:ext uri="{FF2B5EF4-FFF2-40B4-BE49-F238E27FC236}">
              <a16:creationId xmlns:a16="http://schemas.microsoft.com/office/drawing/2014/main" id="{00000000-0008-0000-1300-0000A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6" name="175 CuadroTexto">
          <a:extLst>
            <a:ext uri="{FF2B5EF4-FFF2-40B4-BE49-F238E27FC236}">
              <a16:creationId xmlns:a16="http://schemas.microsoft.com/office/drawing/2014/main" id="{00000000-0008-0000-1300-0000B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7" name="176 CuadroTexto">
          <a:extLst>
            <a:ext uri="{FF2B5EF4-FFF2-40B4-BE49-F238E27FC236}">
              <a16:creationId xmlns:a16="http://schemas.microsoft.com/office/drawing/2014/main" id="{00000000-0008-0000-1300-0000B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8" name="177 CuadroTexto">
          <a:extLst>
            <a:ext uri="{FF2B5EF4-FFF2-40B4-BE49-F238E27FC236}">
              <a16:creationId xmlns:a16="http://schemas.microsoft.com/office/drawing/2014/main" id="{00000000-0008-0000-1300-0000B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79" name="178 CuadroTexto">
          <a:extLst>
            <a:ext uri="{FF2B5EF4-FFF2-40B4-BE49-F238E27FC236}">
              <a16:creationId xmlns:a16="http://schemas.microsoft.com/office/drawing/2014/main" id="{00000000-0008-0000-1300-0000B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0" name="179 CuadroTexto">
          <a:extLst>
            <a:ext uri="{FF2B5EF4-FFF2-40B4-BE49-F238E27FC236}">
              <a16:creationId xmlns:a16="http://schemas.microsoft.com/office/drawing/2014/main" id="{00000000-0008-0000-1300-0000B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1" name="180 CuadroTexto">
          <a:extLst>
            <a:ext uri="{FF2B5EF4-FFF2-40B4-BE49-F238E27FC236}">
              <a16:creationId xmlns:a16="http://schemas.microsoft.com/office/drawing/2014/main" id="{00000000-0008-0000-1300-0000B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2" name="181 CuadroTexto">
          <a:extLst>
            <a:ext uri="{FF2B5EF4-FFF2-40B4-BE49-F238E27FC236}">
              <a16:creationId xmlns:a16="http://schemas.microsoft.com/office/drawing/2014/main" id="{00000000-0008-0000-1300-0000B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3" name="182 CuadroTexto">
          <a:extLst>
            <a:ext uri="{FF2B5EF4-FFF2-40B4-BE49-F238E27FC236}">
              <a16:creationId xmlns:a16="http://schemas.microsoft.com/office/drawing/2014/main" id="{00000000-0008-0000-1300-0000B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4" name="183 CuadroTexto">
          <a:extLst>
            <a:ext uri="{FF2B5EF4-FFF2-40B4-BE49-F238E27FC236}">
              <a16:creationId xmlns:a16="http://schemas.microsoft.com/office/drawing/2014/main" id="{00000000-0008-0000-1300-0000B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5" name="184 CuadroTexto">
          <a:extLst>
            <a:ext uri="{FF2B5EF4-FFF2-40B4-BE49-F238E27FC236}">
              <a16:creationId xmlns:a16="http://schemas.microsoft.com/office/drawing/2014/main" id="{00000000-0008-0000-1300-0000B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6" name="185 CuadroTexto">
          <a:extLst>
            <a:ext uri="{FF2B5EF4-FFF2-40B4-BE49-F238E27FC236}">
              <a16:creationId xmlns:a16="http://schemas.microsoft.com/office/drawing/2014/main" id="{00000000-0008-0000-1300-0000B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7" name="186 CuadroTexto">
          <a:extLst>
            <a:ext uri="{FF2B5EF4-FFF2-40B4-BE49-F238E27FC236}">
              <a16:creationId xmlns:a16="http://schemas.microsoft.com/office/drawing/2014/main" id="{00000000-0008-0000-1300-0000B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8" name="187 CuadroTexto">
          <a:extLst>
            <a:ext uri="{FF2B5EF4-FFF2-40B4-BE49-F238E27FC236}">
              <a16:creationId xmlns:a16="http://schemas.microsoft.com/office/drawing/2014/main" id="{00000000-0008-0000-1300-0000B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89" name="188 CuadroTexto">
          <a:extLst>
            <a:ext uri="{FF2B5EF4-FFF2-40B4-BE49-F238E27FC236}">
              <a16:creationId xmlns:a16="http://schemas.microsoft.com/office/drawing/2014/main" id="{00000000-0008-0000-1300-0000B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0" name="189 CuadroTexto">
          <a:extLst>
            <a:ext uri="{FF2B5EF4-FFF2-40B4-BE49-F238E27FC236}">
              <a16:creationId xmlns:a16="http://schemas.microsoft.com/office/drawing/2014/main" id="{00000000-0008-0000-1300-0000B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1" name="190 CuadroTexto">
          <a:extLst>
            <a:ext uri="{FF2B5EF4-FFF2-40B4-BE49-F238E27FC236}">
              <a16:creationId xmlns:a16="http://schemas.microsoft.com/office/drawing/2014/main" id="{00000000-0008-0000-1300-0000B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2" name="191 CuadroTexto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3" name="192 CuadroTexto">
          <a:extLst>
            <a:ext uri="{FF2B5EF4-FFF2-40B4-BE49-F238E27FC236}">
              <a16:creationId xmlns:a16="http://schemas.microsoft.com/office/drawing/2014/main" id="{00000000-0008-0000-1300-0000C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4" name="193 CuadroTexto">
          <a:extLst>
            <a:ext uri="{FF2B5EF4-FFF2-40B4-BE49-F238E27FC236}">
              <a16:creationId xmlns:a16="http://schemas.microsoft.com/office/drawing/2014/main" id="{00000000-0008-0000-1300-0000C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5" name="194 CuadroTexto">
          <a:extLst>
            <a:ext uri="{FF2B5EF4-FFF2-40B4-BE49-F238E27FC236}">
              <a16:creationId xmlns:a16="http://schemas.microsoft.com/office/drawing/2014/main" id="{00000000-0008-0000-1300-0000C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6" name="195 CuadroTexto">
          <a:extLst>
            <a:ext uri="{FF2B5EF4-FFF2-40B4-BE49-F238E27FC236}">
              <a16:creationId xmlns:a16="http://schemas.microsoft.com/office/drawing/2014/main" id="{00000000-0008-0000-1300-0000C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7" name="196 CuadroTexto">
          <a:extLst>
            <a:ext uri="{FF2B5EF4-FFF2-40B4-BE49-F238E27FC236}">
              <a16:creationId xmlns:a16="http://schemas.microsoft.com/office/drawing/2014/main" id="{00000000-0008-0000-1300-0000C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8" name="197 CuadroTexto">
          <a:extLst>
            <a:ext uri="{FF2B5EF4-FFF2-40B4-BE49-F238E27FC236}">
              <a16:creationId xmlns:a16="http://schemas.microsoft.com/office/drawing/2014/main" id="{00000000-0008-0000-1300-0000C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199" name="198 CuadroTexto">
          <a:extLst>
            <a:ext uri="{FF2B5EF4-FFF2-40B4-BE49-F238E27FC236}">
              <a16:creationId xmlns:a16="http://schemas.microsoft.com/office/drawing/2014/main" id="{00000000-0008-0000-1300-0000C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0" name="199 CuadroTexto">
          <a:extLst>
            <a:ext uri="{FF2B5EF4-FFF2-40B4-BE49-F238E27FC236}">
              <a16:creationId xmlns:a16="http://schemas.microsoft.com/office/drawing/2014/main" id="{00000000-0008-0000-1300-0000C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1" name="200 CuadroTexto">
          <a:extLst>
            <a:ext uri="{FF2B5EF4-FFF2-40B4-BE49-F238E27FC236}">
              <a16:creationId xmlns:a16="http://schemas.microsoft.com/office/drawing/2014/main" id="{00000000-0008-0000-1300-0000C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2" name="201 CuadroTexto">
          <a:extLst>
            <a:ext uri="{FF2B5EF4-FFF2-40B4-BE49-F238E27FC236}">
              <a16:creationId xmlns:a16="http://schemas.microsoft.com/office/drawing/2014/main" id="{00000000-0008-0000-1300-0000C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3" name="202 CuadroTexto">
          <a:extLst>
            <a:ext uri="{FF2B5EF4-FFF2-40B4-BE49-F238E27FC236}">
              <a16:creationId xmlns:a16="http://schemas.microsoft.com/office/drawing/2014/main" id="{00000000-0008-0000-1300-0000C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4" name="203 CuadroTexto">
          <a:extLst>
            <a:ext uri="{FF2B5EF4-FFF2-40B4-BE49-F238E27FC236}">
              <a16:creationId xmlns:a16="http://schemas.microsoft.com/office/drawing/2014/main" id="{00000000-0008-0000-1300-0000C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5" name="204 CuadroTexto">
          <a:extLst>
            <a:ext uri="{FF2B5EF4-FFF2-40B4-BE49-F238E27FC236}">
              <a16:creationId xmlns:a16="http://schemas.microsoft.com/office/drawing/2014/main" id="{00000000-0008-0000-1300-0000C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6" name="205 CuadroTexto">
          <a:extLst>
            <a:ext uri="{FF2B5EF4-FFF2-40B4-BE49-F238E27FC236}">
              <a16:creationId xmlns:a16="http://schemas.microsoft.com/office/drawing/2014/main" id="{00000000-0008-0000-1300-0000C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7" name="206 CuadroTexto">
          <a:extLst>
            <a:ext uri="{FF2B5EF4-FFF2-40B4-BE49-F238E27FC236}">
              <a16:creationId xmlns:a16="http://schemas.microsoft.com/office/drawing/2014/main" id="{00000000-0008-0000-1300-0000C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8" name="207 CuadroTexto">
          <a:extLst>
            <a:ext uri="{FF2B5EF4-FFF2-40B4-BE49-F238E27FC236}">
              <a16:creationId xmlns:a16="http://schemas.microsoft.com/office/drawing/2014/main" id="{00000000-0008-0000-1300-0000D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09" name="208 CuadroTexto">
          <a:extLst>
            <a:ext uri="{FF2B5EF4-FFF2-40B4-BE49-F238E27FC236}">
              <a16:creationId xmlns:a16="http://schemas.microsoft.com/office/drawing/2014/main" id="{00000000-0008-0000-1300-0000D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0" name="209 CuadroTexto">
          <a:extLst>
            <a:ext uri="{FF2B5EF4-FFF2-40B4-BE49-F238E27FC236}">
              <a16:creationId xmlns:a16="http://schemas.microsoft.com/office/drawing/2014/main" id="{00000000-0008-0000-1300-0000D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1" name="210 CuadroTexto">
          <a:extLst>
            <a:ext uri="{FF2B5EF4-FFF2-40B4-BE49-F238E27FC236}">
              <a16:creationId xmlns:a16="http://schemas.microsoft.com/office/drawing/2014/main" id="{00000000-0008-0000-1300-0000D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2" name="211 CuadroTexto">
          <a:extLst>
            <a:ext uri="{FF2B5EF4-FFF2-40B4-BE49-F238E27FC236}">
              <a16:creationId xmlns:a16="http://schemas.microsoft.com/office/drawing/2014/main" id="{00000000-0008-0000-1300-0000D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3" name="212 CuadroTexto">
          <a:extLst>
            <a:ext uri="{FF2B5EF4-FFF2-40B4-BE49-F238E27FC236}">
              <a16:creationId xmlns:a16="http://schemas.microsoft.com/office/drawing/2014/main" id="{00000000-0008-0000-1300-0000D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4" name="213 CuadroTexto">
          <a:extLst>
            <a:ext uri="{FF2B5EF4-FFF2-40B4-BE49-F238E27FC236}">
              <a16:creationId xmlns:a16="http://schemas.microsoft.com/office/drawing/2014/main" id="{00000000-0008-0000-1300-0000D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5" name="214 CuadroTexto">
          <a:extLst>
            <a:ext uri="{FF2B5EF4-FFF2-40B4-BE49-F238E27FC236}">
              <a16:creationId xmlns:a16="http://schemas.microsoft.com/office/drawing/2014/main" id="{00000000-0008-0000-1300-0000D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6" name="215 CuadroTexto">
          <a:extLst>
            <a:ext uri="{FF2B5EF4-FFF2-40B4-BE49-F238E27FC236}">
              <a16:creationId xmlns:a16="http://schemas.microsoft.com/office/drawing/2014/main" id="{00000000-0008-0000-1300-0000D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7" name="216 CuadroTexto">
          <a:extLst>
            <a:ext uri="{FF2B5EF4-FFF2-40B4-BE49-F238E27FC236}">
              <a16:creationId xmlns:a16="http://schemas.microsoft.com/office/drawing/2014/main" id="{00000000-0008-0000-1300-0000D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8" name="217 CuadroTexto">
          <a:extLst>
            <a:ext uri="{FF2B5EF4-FFF2-40B4-BE49-F238E27FC236}">
              <a16:creationId xmlns:a16="http://schemas.microsoft.com/office/drawing/2014/main" id="{00000000-0008-0000-1300-0000D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19" name="218 CuadroTexto">
          <a:extLst>
            <a:ext uri="{FF2B5EF4-FFF2-40B4-BE49-F238E27FC236}">
              <a16:creationId xmlns:a16="http://schemas.microsoft.com/office/drawing/2014/main" id="{00000000-0008-0000-1300-0000D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0" name="219 CuadroTexto">
          <a:extLst>
            <a:ext uri="{FF2B5EF4-FFF2-40B4-BE49-F238E27FC236}">
              <a16:creationId xmlns:a16="http://schemas.microsoft.com/office/drawing/2014/main" id="{00000000-0008-0000-1300-0000D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1" name="220 CuadroTexto">
          <a:extLst>
            <a:ext uri="{FF2B5EF4-FFF2-40B4-BE49-F238E27FC236}">
              <a16:creationId xmlns:a16="http://schemas.microsoft.com/office/drawing/2014/main" id="{00000000-0008-0000-1300-0000D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2" name="221 CuadroTexto">
          <a:extLst>
            <a:ext uri="{FF2B5EF4-FFF2-40B4-BE49-F238E27FC236}">
              <a16:creationId xmlns:a16="http://schemas.microsoft.com/office/drawing/2014/main" id="{00000000-0008-0000-1300-0000D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3" name="222 CuadroTexto">
          <a:extLst>
            <a:ext uri="{FF2B5EF4-FFF2-40B4-BE49-F238E27FC236}">
              <a16:creationId xmlns:a16="http://schemas.microsoft.com/office/drawing/2014/main" id="{00000000-0008-0000-1300-0000D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4" name="223 CuadroTexto">
          <a:extLst>
            <a:ext uri="{FF2B5EF4-FFF2-40B4-BE49-F238E27FC236}">
              <a16:creationId xmlns:a16="http://schemas.microsoft.com/office/drawing/2014/main" id="{00000000-0008-0000-1300-0000E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5" name="224 CuadroTexto">
          <a:extLst>
            <a:ext uri="{FF2B5EF4-FFF2-40B4-BE49-F238E27FC236}">
              <a16:creationId xmlns:a16="http://schemas.microsoft.com/office/drawing/2014/main" id="{00000000-0008-0000-1300-0000E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6" name="225 CuadroTexto">
          <a:extLst>
            <a:ext uri="{FF2B5EF4-FFF2-40B4-BE49-F238E27FC236}">
              <a16:creationId xmlns:a16="http://schemas.microsoft.com/office/drawing/2014/main" id="{00000000-0008-0000-1300-0000E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7" name="226 CuadroTexto">
          <a:extLst>
            <a:ext uri="{FF2B5EF4-FFF2-40B4-BE49-F238E27FC236}">
              <a16:creationId xmlns:a16="http://schemas.microsoft.com/office/drawing/2014/main" id="{00000000-0008-0000-1300-0000E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8" name="227 CuadroTexto">
          <a:extLst>
            <a:ext uri="{FF2B5EF4-FFF2-40B4-BE49-F238E27FC236}">
              <a16:creationId xmlns:a16="http://schemas.microsoft.com/office/drawing/2014/main" id="{00000000-0008-0000-1300-0000E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29" name="228 CuadroTexto">
          <a:extLst>
            <a:ext uri="{FF2B5EF4-FFF2-40B4-BE49-F238E27FC236}">
              <a16:creationId xmlns:a16="http://schemas.microsoft.com/office/drawing/2014/main" id="{00000000-0008-0000-1300-0000E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0" name="229 CuadroTexto">
          <a:extLst>
            <a:ext uri="{FF2B5EF4-FFF2-40B4-BE49-F238E27FC236}">
              <a16:creationId xmlns:a16="http://schemas.microsoft.com/office/drawing/2014/main" id="{00000000-0008-0000-1300-0000E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1" name="230 CuadroTexto">
          <a:extLst>
            <a:ext uri="{FF2B5EF4-FFF2-40B4-BE49-F238E27FC236}">
              <a16:creationId xmlns:a16="http://schemas.microsoft.com/office/drawing/2014/main" id="{00000000-0008-0000-1300-0000E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2" name="231 CuadroTexto">
          <a:extLst>
            <a:ext uri="{FF2B5EF4-FFF2-40B4-BE49-F238E27FC236}">
              <a16:creationId xmlns:a16="http://schemas.microsoft.com/office/drawing/2014/main" id="{00000000-0008-0000-1300-0000E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3" name="232 CuadroTexto">
          <a:extLst>
            <a:ext uri="{FF2B5EF4-FFF2-40B4-BE49-F238E27FC236}">
              <a16:creationId xmlns:a16="http://schemas.microsoft.com/office/drawing/2014/main" id="{00000000-0008-0000-1300-0000E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4" name="233 CuadroTexto">
          <a:extLst>
            <a:ext uri="{FF2B5EF4-FFF2-40B4-BE49-F238E27FC236}">
              <a16:creationId xmlns:a16="http://schemas.microsoft.com/office/drawing/2014/main" id="{00000000-0008-0000-1300-0000E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5" name="234 CuadroTexto">
          <a:extLst>
            <a:ext uri="{FF2B5EF4-FFF2-40B4-BE49-F238E27FC236}">
              <a16:creationId xmlns:a16="http://schemas.microsoft.com/office/drawing/2014/main" id="{00000000-0008-0000-1300-0000E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6" name="235 CuadroTexto">
          <a:extLst>
            <a:ext uri="{FF2B5EF4-FFF2-40B4-BE49-F238E27FC236}">
              <a16:creationId xmlns:a16="http://schemas.microsoft.com/office/drawing/2014/main" id="{00000000-0008-0000-1300-0000E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7" name="236 CuadroTexto">
          <a:extLst>
            <a:ext uri="{FF2B5EF4-FFF2-40B4-BE49-F238E27FC236}">
              <a16:creationId xmlns:a16="http://schemas.microsoft.com/office/drawing/2014/main" id="{00000000-0008-0000-1300-0000E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8" name="237 CuadroTexto">
          <a:extLst>
            <a:ext uri="{FF2B5EF4-FFF2-40B4-BE49-F238E27FC236}">
              <a16:creationId xmlns:a16="http://schemas.microsoft.com/office/drawing/2014/main" id="{00000000-0008-0000-1300-0000E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39" name="238 CuadroTexto">
          <a:extLst>
            <a:ext uri="{FF2B5EF4-FFF2-40B4-BE49-F238E27FC236}">
              <a16:creationId xmlns:a16="http://schemas.microsoft.com/office/drawing/2014/main" id="{00000000-0008-0000-1300-0000E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0" name="239 CuadroTexto">
          <a:extLst>
            <a:ext uri="{FF2B5EF4-FFF2-40B4-BE49-F238E27FC236}">
              <a16:creationId xmlns:a16="http://schemas.microsoft.com/office/drawing/2014/main" id="{00000000-0008-0000-1300-0000F0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1" name="240 CuadroTexto">
          <a:extLst>
            <a:ext uri="{FF2B5EF4-FFF2-40B4-BE49-F238E27FC236}">
              <a16:creationId xmlns:a16="http://schemas.microsoft.com/office/drawing/2014/main" id="{00000000-0008-0000-1300-0000F1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2" name="241 CuadroTexto">
          <a:extLst>
            <a:ext uri="{FF2B5EF4-FFF2-40B4-BE49-F238E27FC236}">
              <a16:creationId xmlns:a16="http://schemas.microsoft.com/office/drawing/2014/main" id="{00000000-0008-0000-1300-0000F2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3" name="242 CuadroTexto">
          <a:extLst>
            <a:ext uri="{FF2B5EF4-FFF2-40B4-BE49-F238E27FC236}">
              <a16:creationId xmlns:a16="http://schemas.microsoft.com/office/drawing/2014/main" id="{00000000-0008-0000-1300-0000F3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4" name="243 CuadroTexto">
          <a:extLst>
            <a:ext uri="{FF2B5EF4-FFF2-40B4-BE49-F238E27FC236}">
              <a16:creationId xmlns:a16="http://schemas.microsoft.com/office/drawing/2014/main" id="{00000000-0008-0000-1300-0000F4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5" name="244 CuadroTexto">
          <a:extLst>
            <a:ext uri="{FF2B5EF4-FFF2-40B4-BE49-F238E27FC236}">
              <a16:creationId xmlns:a16="http://schemas.microsoft.com/office/drawing/2014/main" id="{00000000-0008-0000-1300-0000F5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6" name="245 CuadroTexto">
          <a:extLst>
            <a:ext uri="{FF2B5EF4-FFF2-40B4-BE49-F238E27FC236}">
              <a16:creationId xmlns:a16="http://schemas.microsoft.com/office/drawing/2014/main" id="{00000000-0008-0000-1300-0000F6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7" name="246 CuadroTexto">
          <a:extLst>
            <a:ext uri="{FF2B5EF4-FFF2-40B4-BE49-F238E27FC236}">
              <a16:creationId xmlns:a16="http://schemas.microsoft.com/office/drawing/2014/main" id="{00000000-0008-0000-1300-0000F7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8" name="247 CuadroTexto">
          <a:extLst>
            <a:ext uri="{FF2B5EF4-FFF2-40B4-BE49-F238E27FC236}">
              <a16:creationId xmlns:a16="http://schemas.microsoft.com/office/drawing/2014/main" id="{00000000-0008-0000-1300-0000F8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49" name="248 CuadroTexto">
          <a:extLst>
            <a:ext uri="{FF2B5EF4-FFF2-40B4-BE49-F238E27FC236}">
              <a16:creationId xmlns:a16="http://schemas.microsoft.com/office/drawing/2014/main" id="{00000000-0008-0000-1300-0000F9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0" name="249 CuadroTexto">
          <a:extLst>
            <a:ext uri="{FF2B5EF4-FFF2-40B4-BE49-F238E27FC236}">
              <a16:creationId xmlns:a16="http://schemas.microsoft.com/office/drawing/2014/main" id="{00000000-0008-0000-1300-0000FA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1" name="250 CuadroTexto">
          <a:extLst>
            <a:ext uri="{FF2B5EF4-FFF2-40B4-BE49-F238E27FC236}">
              <a16:creationId xmlns:a16="http://schemas.microsoft.com/office/drawing/2014/main" id="{00000000-0008-0000-1300-0000FB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2" name="251 CuadroTexto">
          <a:extLst>
            <a:ext uri="{FF2B5EF4-FFF2-40B4-BE49-F238E27FC236}">
              <a16:creationId xmlns:a16="http://schemas.microsoft.com/office/drawing/2014/main" id="{00000000-0008-0000-1300-0000FC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3" name="252 CuadroTexto">
          <a:extLst>
            <a:ext uri="{FF2B5EF4-FFF2-40B4-BE49-F238E27FC236}">
              <a16:creationId xmlns:a16="http://schemas.microsoft.com/office/drawing/2014/main" id="{00000000-0008-0000-1300-0000FD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4" name="253 CuadroTexto">
          <a:extLst>
            <a:ext uri="{FF2B5EF4-FFF2-40B4-BE49-F238E27FC236}">
              <a16:creationId xmlns:a16="http://schemas.microsoft.com/office/drawing/2014/main" id="{00000000-0008-0000-1300-0000FE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5" name="254 CuadroTexto">
          <a:extLst>
            <a:ext uri="{FF2B5EF4-FFF2-40B4-BE49-F238E27FC236}">
              <a16:creationId xmlns:a16="http://schemas.microsoft.com/office/drawing/2014/main" id="{00000000-0008-0000-1300-0000FF00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6" name="255 CuadroTexto">
          <a:extLst>
            <a:ext uri="{FF2B5EF4-FFF2-40B4-BE49-F238E27FC236}">
              <a16:creationId xmlns:a16="http://schemas.microsoft.com/office/drawing/2014/main" id="{00000000-0008-0000-1300-00000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7" name="256 CuadroTexto">
          <a:extLst>
            <a:ext uri="{FF2B5EF4-FFF2-40B4-BE49-F238E27FC236}">
              <a16:creationId xmlns:a16="http://schemas.microsoft.com/office/drawing/2014/main" id="{00000000-0008-0000-1300-00000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8" name="257 CuadroTexto">
          <a:extLst>
            <a:ext uri="{FF2B5EF4-FFF2-40B4-BE49-F238E27FC236}">
              <a16:creationId xmlns:a16="http://schemas.microsoft.com/office/drawing/2014/main" id="{00000000-0008-0000-1300-00000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59" name="258 CuadroTexto">
          <a:extLst>
            <a:ext uri="{FF2B5EF4-FFF2-40B4-BE49-F238E27FC236}">
              <a16:creationId xmlns:a16="http://schemas.microsoft.com/office/drawing/2014/main" id="{00000000-0008-0000-1300-00000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0" name="259 CuadroTexto">
          <a:extLst>
            <a:ext uri="{FF2B5EF4-FFF2-40B4-BE49-F238E27FC236}">
              <a16:creationId xmlns:a16="http://schemas.microsoft.com/office/drawing/2014/main" id="{00000000-0008-0000-1300-00000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1" name="260 CuadroTexto">
          <a:extLst>
            <a:ext uri="{FF2B5EF4-FFF2-40B4-BE49-F238E27FC236}">
              <a16:creationId xmlns:a16="http://schemas.microsoft.com/office/drawing/2014/main" id="{00000000-0008-0000-1300-00000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2" name="261 CuadroTexto">
          <a:extLst>
            <a:ext uri="{FF2B5EF4-FFF2-40B4-BE49-F238E27FC236}">
              <a16:creationId xmlns:a16="http://schemas.microsoft.com/office/drawing/2014/main" id="{00000000-0008-0000-1300-00000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3" name="262 CuadroTexto">
          <a:extLst>
            <a:ext uri="{FF2B5EF4-FFF2-40B4-BE49-F238E27FC236}">
              <a16:creationId xmlns:a16="http://schemas.microsoft.com/office/drawing/2014/main" id="{00000000-0008-0000-1300-00000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4" name="263 CuadroTexto">
          <a:extLst>
            <a:ext uri="{FF2B5EF4-FFF2-40B4-BE49-F238E27FC236}">
              <a16:creationId xmlns:a16="http://schemas.microsoft.com/office/drawing/2014/main" id="{00000000-0008-0000-1300-00000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5" name="264 CuadroTexto">
          <a:extLst>
            <a:ext uri="{FF2B5EF4-FFF2-40B4-BE49-F238E27FC236}">
              <a16:creationId xmlns:a16="http://schemas.microsoft.com/office/drawing/2014/main" id="{00000000-0008-0000-1300-00000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6" name="265 CuadroTexto">
          <a:extLst>
            <a:ext uri="{FF2B5EF4-FFF2-40B4-BE49-F238E27FC236}">
              <a16:creationId xmlns:a16="http://schemas.microsoft.com/office/drawing/2014/main" id="{00000000-0008-0000-1300-00000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7" name="266 CuadroTexto">
          <a:extLst>
            <a:ext uri="{FF2B5EF4-FFF2-40B4-BE49-F238E27FC236}">
              <a16:creationId xmlns:a16="http://schemas.microsoft.com/office/drawing/2014/main" id="{00000000-0008-0000-1300-00000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8" name="267 CuadroTexto">
          <a:extLst>
            <a:ext uri="{FF2B5EF4-FFF2-40B4-BE49-F238E27FC236}">
              <a16:creationId xmlns:a16="http://schemas.microsoft.com/office/drawing/2014/main" id="{00000000-0008-0000-1300-00000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69" name="268 CuadroTexto">
          <a:extLst>
            <a:ext uri="{FF2B5EF4-FFF2-40B4-BE49-F238E27FC236}">
              <a16:creationId xmlns:a16="http://schemas.microsoft.com/office/drawing/2014/main" id="{00000000-0008-0000-1300-00000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0" name="269 CuadroTexto">
          <a:extLst>
            <a:ext uri="{FF2B5EF4-FFF2-40B4-BE49-F238E27FC236}">
              <a16:creationId xmlns:a16="http://schemas.microsoft.com/office/drawing/2014/main" id="{00000000-0008-0000-1300-00000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1" name="270 CuadroTexto">
          <a:extLst>
            <a:ext uri="{FF2B5EF4-FFF2-40B4-BE49-F238E27FC236}">
              <a16:creationId xmlns:a16="http://schemas.microsoft.com/office/drawing/2014/main" id="{00000000-0008-0000-1300-00000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2" name="271 CuadroTexto">
          <a:extLst>
            <a:ext uri="{FF2B5EF4-FFF2-40B4-BE49-F238E27FC236}">
              <a16:creationId xmlns:a16="http://schemas.microsoft.com/office/drawing/2014/main" id="{00000000-0008-0000-1300-00001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3" name="272 CuadroTexto">
          <a:extLst>
            <a:ext uri="{FF2B5EF4-FFF2-40B4-BE49-F238E27FC236}">
              <a16:creationId xmlns:a16="http://schemas.microsoft.com/office/drawing/2014/main" id="{00000000-0008-0000-1300-00001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4" name="273 CuadroTexto">
          <a:extLst>
            <a:ext uri="{FF2B5EF4-FFF2-40B4-BE49-F238E27FC236}">
              <a16:creationId xmlns:a16="http://schemas.microsoft.com/office/drawing/2014/main" id="{00000000-0008-0000-1300-00001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5" name="274 CuadroTexto">
          <a:extLst>
            <a:ext uri="{FF2B5EF4-FFF2-40B4-BE49-F238E27FC236}">
              <a16:creationId xmlns:a16="http://schemas.microsoft.com/office/drawing/2014/main" id="{00000000-0008-0000-1300-00001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6" name="275 CuadroTexto">
          <a:extLst>
            <a:ext uri="{FF2B5EF4-FFF2-40B4-BE49-F238E27FC236}">
              <a16:creationId xmlns:a16="http://schemas.microsoft.com/office/drawing/2014/main" id="{00000000-0008-0000-1300-00001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7" name="276 CuadroTexto">
          <a:extLst>
            <a:ext uri="{FF2B5EF4-FFF2-40B4-BE49-F238E27FC236}">
              <a16:creationId xmlns:a16="http://schemas.microsoft.com/office/drawing/2014/main" id="{00000000-0008-0000-1300-00001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8" name="277 CuadroTexto">
          <a:extLst>
            <a:ext uri="{FF2B5EF4-FFF2-40B4-BE49-F238E27FC236}">
              <a16:creationId xmlns:a16="http://schemas.microsoft.com/office/drawing/2014/main" id="{00000000-0008-0000-1300-00001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79" name="278 CuadroTexto">
          <a:extLst>
            <a:ext uri="{FF2B5EF4-FFF2-40B4-BE49-F238E27FC236}">
              <a16:creationId xmlns:a16="http://schemas.microsoft.com/office/drawing/2014/main" id="{00000000-0008-0000-1300-00001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0" name="279 CuadroTexto">
          <a:extLst>
            <a:ext uri="{FF2B5EF4-FFF2-40B4-BE49-F238E27FC236}">
              <a16:creationId xmlns:a16="http://schemas.microsoft.com/office/drawing/2014/main" id="{00000000-0008-0000-1300-00001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1" name="280 CuadroTexto">
          <a:extLst>
            <a:ext uri="{FF2B5EF4-FFF2-40B4-BE49-F238E27FC236}">
              <a16:creationId xmlns:a16="http://schemas.microsoft.com/office/drawing/2014/main" id="{00000000-0008-0000-1300-00001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2" name="281 CuadroTexto">
          <a:extLst>
            <a:ext uri="{FF2B5EF4-FFF2-40B4-BE49-F238E27FC236}">
              <a16:creationId xmlns:a16="http://schemas.microsoft.com/office/drawing/2014/main" id="{00000000-0008-0000-1300-00001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3" name="282 CuadroTexto">
          <a:extLst>
            <a:ext uri="{FF2B5EF4-FFF2-40B4-BE49-F238E27FC236}">
              <a16:creationId xmlns:a16="http://schemas.microsoft.com/office/drawing/2014/main" id="{00000000-0008-0000-1300-00001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4" name="283 CuadroTexto">
          <a:extLst>
            <a:ext uri="{FF2B5EF4-FFF2-40B4-BE49-F238E27FC236}">
              <a16:creationId xmlns:a16="http://schemas.microsoft.com/office/drawing/2014/main" id="{00000000-0008-0000-1300-00001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5" name="284 CuadroTexto">
          <a:extLst>
            <a:ext uri="{FF2B5EF4-FFF2-40B4-BE49-F238E27FC236}">
              <a16:creationId xmlns:a16="http://schemas.microsoft.com/office/drawing/2014/main" id="{00000000-0008-0000-1300-00001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6" name="285 CuadroTexto">
          <a:extLst>
            <a:ext uri="{FF2B5EF4-FFF2-40B4-BE49-F238E27FC236}">
              <a16:creationId xmlns:a16="http://schemas.microsoft.com/office/drawing/2014/main" id="{00000000-0008-0000-1300-00001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7" name="286 CuadroTexto">
          <a:extLst>
            <a:ext uri="{FF2B5EF4-FFF2-40B4-BE49-F238E27FC236}">
              <a16:creationId xmlns:a16="http://schemas.microsoft.com/office/drawing/2014/main" id="{00000000-0008-0000-1300-00001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8" name="287 CuadroTexto">
          <a:extLst>
            <a:ext uri="{FF2B5EF4-FFF2-40B4-BE49-F238E27FC236}">
              <a16:creationId xmlns:a16="http://schemas.microsoft.com/office/drawing/2014/main" id="{00000000-0008-0000-1300-00002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89" name="288 CuadroTexto">
          <a:extLst>
            <a:ext uri="{FF2B5EF4-FFF2-40B4-BE49-F238E27FC236}">
              <a16:creationId xmlns:a16="http://schemas.microsoft.com/office/drawing/2014/main" id="{00000000-0008-0000-1300-00002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0" name="289 CuadroTexto">
          <a:extLst>
            <a:ext uri="{FF2B5EF4-FFF2-40B4-BE49-F238E27FC236}">
              <a16:creationId xmlns:a16="http://schemas.microsoft.com/office/drawing/2014/main" id="{00000000-0008-0000-1300-00002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1" name="290 CuadroTexto">
          <a:extLst>
            <a:ext uri="{FF2B5EF4-FFF2-40B4-BE49-F238E27FC236}">
              <a16:creationId xmlns:a16="http://schemas.microsoft.com/office/drawing/2014/main" id="{00000000-0008-0000-1300-00002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2" name="291 CuadroTexto">
          <a:extLst>
            <a:ext uri="{FF2B5EF4-FFF2-40B4-BE49-F238E27FC236}">
              <a16:creationId xmlns:a16="http://schemas.microsoft.com/office/drawing/2014/main" id="{00000000-0008-0000-1300-00002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3" name="292 CuadroTexto">
          <a:extLst>
            <a:ext uri="{FF2B5EF4-FFF2-40B4-BE49-F238E27FC236}">
              <a16:creationId xmlns:a16="http://schemas.microsoft.com/office/drawing/2014/main" id="{00000000-0008-0000-1300-00002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4" name="293 CuadroTexto">
          <a:extLst>
            <a:ext uri="{FF2B5EF4-FFF2-40B4-BE49-F238E27FC236}">
              <a16:creationId xmlns:a16="http://schemas.microsoft.com/office/drawing/2014/main" id="{00000000-0008-0000-1300-00002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5" name="294 CuadroTexto">
          <a:extLst>
            <a:ext uri="{FF2B5EF4-FFF2-40B4-BE49-F238E27FC236}">
              <a16:creationId xmlns:a16="http://schemas.microsoft.com/office/drawing/2014/main" id="{00000000-0008-0000-1300-00002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6" name="295 CuadroTexto">
          <a:extLst>
            <a:ext uri="{FF2B5EF4-FFF2-40B4-BE49-F238E27FC236}">
              <a16:creationId xmlns:a16="http://schemas.microsoft.com/office/drawing/2014/main" id="{00000000-0008-0000-1300-00002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7" name="296 CuadroTexto">
          <a:extLst>
            <a:ext uri="{FF2B5EF4-FFF2-40B4-BE49-F238E27FC236}">
              <a16:creationId xmlns:a16="http://schemas.microsoft.com/office/drawing/2014/main" id="{00000000-0008-0000-1300-00002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8" name="297 CuadroTexto">
          <a:extLst>
            <a:ext uri="{FF2B5EF4-FFF2-40B4-BE49-F238E27FC236}">
              <a16:creationId xmlns:a16="http://schemas.microsoft.com/office/drawing/2014/main" id="{00000000-0008-0000-1300-00002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299" name="298 CuadroTexto">
          <a:extLst>
            <a:ext uri="{FF2B5EF4-FFF2-40B4-BE49-F238E27FC236}">
              <a16:creationId xmlns:a16="http://schemas.microsoft.com/office/drawing/2014/main" id="{00000000-0008-0000-1300-00002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0" name="299 CuadroTexto">
          <a:extLst>
            <a:ext uri="{FF2B5EF4-FFF2-40B4-BE49-F238E27FC236}">
              <a16:creationId xmlns:a16="http://schemas.microsoft.com/office/drawing/2014/main" id="{00000000-0008-0000-1300-00002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1" name="300 CuadroTexto">
          <a:extLst>
            <a:ext uri="{FF2B5EF4-FFF2-40B4-BE49-F238E27FC236}">
              <a16:creationId xmlns:a16="http://schemas.microsoft.com/office/drawing/2014/main" id="{00000000-0008-0000-1300-00002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2" name="301 CuadroTexto">
          <a:extLst>
            <a:ext uri="{FF2B5EF4-FFF2-40B4-BE49-F238E27FC236}">
              <a16:creationId xmlns:a16="http://schemas.microsoft.com/office/drawing/2014/main" id="{00000000-0008-0000-1300-00002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3" name="302 CuadroTexto">
          <a:extLst>
            <a:ext uri="{FF2B5EF4-FFF2-40B4-BE49-F238E27FC236}">
              <a16:creationId xmlns:a16="http://schemas.microsoft.com/office/drawing/2014/main" id="{00000000-0008-0000-1300-00002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4" name="303 CuadroTexto">
          <a:extLst>
            <a:ext uri="{FF2B5EF4-FFF2-40B4-BE49-F238E27FC236}">
              <a16:creationId xmlns:a16="http://schemas.microsoft.com/office/drawing/2014/main" id="{00000000-0008-0000-1300-00003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5" name="304 CuadroTexto">
          <a:extLst>
            <a:ext uri="{FF2B5EF4-FFF2-40B4-BE49-F238E27FC236}">
              <a16:creationId xmlns:a16="http://schemas.microsoft.com/office/drawing/2014/main" id="{00000000-0008-0000-1300-00003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6" name="305 CuadroTexto">
          <a:extLst>
            <a:ext uri="{FF2B5EF4-FFF2-40B4-BE49-F238E27FC236}">
              <a16:creationId xmlns:a16="http://schemas.microsoft.com/office/drawing/2014/main" id="{00000000-0008-0000-1300-00003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7" name="306 CuadroTexto">
          <a:extLst>
            <a:ext uri="{FF2B5EF4-FFF2-40B4-BE49-F238E27FC236}">
              <a16:creationId xmlns:a16="http://schemas.microsoft.com/office/drawing/2014/main" id="{00000000-0008-0000-1300-00003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8" name="307 CuadroTexto">
          <a:extLst>
            <a:ext uri="{FF2B5EF4-FFF2-40B4-BE49-F238E27FC236}">
              <a16:creationId xmlns:a16="http://schemas.microsoft.com/office/drawing/2014/main" id="{00000000-0008-0000-1300-00003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09" name="308 CuadroTexto">
          <a:extLst>
            <a:ext uri="{FF2B5EF4-FFF2-40B4-BE49-F238E27FC236}">
              <a16:creationId xmlns:a16="http://schemas.microsoft.com/office/drawing/2014/main" id="{00000000-0008-0000-1300-00003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0" name="309 CuadroTexto">
          <a:extLst>
            <a:ext uri="{FF2B5EF4-FFF2-40B4-BE49-F238E27FC236}">
              <a16:creationId xmlns:a16="http://schemas.microsoft.com/office/drawing/2014/main" id="{00000000-0008-0000-1300-00003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1" name="310 CuadroTexto">
          <a:extLst>
            <a:ext uri="{FF2B5EF4-FFF2-40B4-BE49-F238E27FC236}">
              <a16:creationId xmlns:a16="http://schemas.microsoft.com/office/drawing/2014/main" id="{00000000-0008-0000-1300-00003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2" name="311 CuadroTexto">
          <a:extLst>
            <a:ext uri="{FF2B5EF4-FFF2-40B4-BE49-F238E27FC236}">
              <a16:creationId xmlns:a16="http://schemas.microsoft.com/office/drawing/2014/main" id="{00000000-0008-0000-1300-00003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3" name="312 CuadroTexto">
          <a:extLst>
            <a:ext uri="{FF2B5EF4-FFF2-40B4-BE49-F238E27FC236}">
              <a16:creationId xmlns:a16="http://schemas.microsoft.com/office/drawing/2014/main" id="{00000000-0008-0000-1300-00003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4" name="313 CuadroTexto">
          <a:extLst>
            <a:ext uri="{FF2B5EF4-FFF2-40B4-BE49-F238E27FC236}">
              <a16:creationId xmlns:a16="http://schemas.microsoft.com/office/drawing/2014/main" id="{00000000-0008-0000-1300-00003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5" name="314 CuadroTexto">
          <a:extLst>
            <a:ext uri="{FF2B5EF4-FFF2-40B4-BE49-F238E27FC236}">
              <a16:creationId xmlns:a16="http://schemas.microsoft.com/office/drawing/2014/main" id="{00000000-0008-0000-1300-00003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6" name="315 CuadroTexto">
          <a:extLst>
            <a:ext uri="{FF2B5EF4-FFF2-40B4-BE49-F238E27FC236}">
              <a16:creationId xmlns:a16="http://schemas.microsoft.com/office/drawing/2014/main" id="{00000000-0008-0000-1300-00003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7" name="316 CuadroTexto">
          <a:extLst>
            <a:ext uri="{FF2B5EF4-FFF2-40B4-BE49-F238E27FC236}">
              <a16:creationId xmlns:a16="http://schemas.microsoft.com/office/drawing/2014/main" id="{00000000-0008-0000-1300-00003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8" name="317 CuadroTexto">
          <a:extLst>
            <a:ext uri="{FF2B5EF4-FFF2-40B4-BE49-F238E27FC236}">
              <a16:creationId xmlns:a16="http://schemas.microsoft.com/office/drawing/2014/main" id="{00000000-0008-0000-1300-00003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19" name="318 CuadroTexto">
          <a:extLst>
            <a:ext uri="{FF2B5EF4-FFF2-40B4-BE49-F238E27FC236}">
              <a16:creationId xmlns:a16="http://schemas.microsoft.com/office/drawing/2014/main" id="{00000000-0008-0000-1300-00003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0" name="319 CuadroTexto">
          <a:extLst>
            <a:ext uri="{FF2B5EF4-FFF2-40B4-BE49-F238E27FC236}">
              <a16:creationId xmlns:a16="http://schemas.microsoft.com/office/drawing/2014/main" id="{00000000-0008-0000-1300-00004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1" name="320 CuadroTexto">
          <a:extLst>
            <a:ext uri="{FF2B5EF4-FFF2-40B4-BE49-F238E27FC236}">
              <a16:creationId xmlns:a16="http://schemas.microsoft.com/office/drawing/2014/main" id="{00000000-0008-0000-1300-00004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2" name="321 CuadroTexto">
          <a:extLst>
            <a:ext uri="{FF2B5EF4-FFF2-40B4-BE49-F238E27FC236}">
              <a16:creationId xmlns:a16="http://schemas.microsoft.com/office/drawing/2014/main" id="{00000000-0008-0000-1300-00004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3" name="322 CuadroTexto">
          <a:extLst>
            <a:ext uri="{FF2B5EF4-FFF2-40B4-BE49-F238E27FC236}">
              <a16:creationId xmlns:a16="http://schemas.microsoft.com/office/drawing/2014/main" id="{00000000-0008-0000-1300-00004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4" name="323 CuadroTexto">
          <a:extLst>
            <a:ext uri="{FF2B5EF4-FFF2-40B4-BE49-F238E27FC236}">
              <a16:creationId xmlns:a16="http://schemas.microsoft.com/office/drawing/2014/main" id="{00000000-0008-0000-1300-00004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5" name="324 CuadroTexto">
          <a:extLst>
            <a:ext uri="{FF2B5EF4-FFF2-40B4-BE49-F238E27FC236}">
              <a16:creationId xmlns:a16="http://schemas.microsoft.com/office/drawing/2014/main" id="{00000000-0008-0000-1300-00004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6" name="325 CuadroTexto">
          <a:extLst>
            <a:ext uri="{FF2B5EF4-FFF2-40B4-BE49-F238E27FC236}">
              <a16:creationId xmlns:a16="http://schemas.microsoft.com/office/drawing/2014/main" id="{00000000-0008-0000-1300-00004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7" name="326 CuadroTexto">
          <a:extLst>
            <a:ext uri="{FF2B5EF4-FFF2-40B4-BE49-F238E27FC236}">
              <a16:creationId xmlns:a16="http://schemas.microsoft.com/office/drawing/2014/main" id="{00000000-0008-0000-1300-00004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8" name="327 CuadroTexto">
          <a:extLst>
            <a:ext uri="{FF2B5EF4-FFF2-40B4-BE49-F238E27FC236}">
              <a16:creationId xmlns:a16="http://schemas.microsoft.com/office/drawing/2014/main" id="{00000000-0008-0000-1300-00004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29" name="328 CuadroTexto">
          <a:extLst>
            <a:ext uri="{FF2B5EF4-FFF2-40B4-BE49-F238E27FC236}">
              <a16:creationId xmlns:a16="http://schemas.microsoft.com/office/drawing/2014/main" id="{00000000-0008-0000-1300-00004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0" name="329 CuadroTexto">
          <a:extLst>
            <a:ext uri="{FF2B5EF4-FFF2-40B4-BE49-F238E27FC236}">
              <a16:creationId xmlns:a16="http://schemas.microsoft.com/office/drawing/2014/main" id="{00000000-0008-0000-1300-00004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1" name="330 CuadroTexto">
          <a:extLst>
            <a:ext uri="{FF2B5EF4-FFF2-40B4-BE49-F238E27FC236}">
              <a16:creationId xmlns:a16="http://schemas.microsoft.com/office/drawing/2014/main" id="{00000000-0008-0000-1300-00004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2" name="331 CuadroTexto">
          <a:extLst>
            <a:ext uri="{FF2B5EF4-FFF2-40B4-BE49-F238E27FC236}">
              <a16:creationId xmlns:a16="http://schemas.microsoft.com/office/drawing/2014/main" id="{00000000-0008-0000-1300-00004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3" name="332 CuadroTexto">
          <a:extLst>
            <a:ext uri="{FF2B5EF4-FFF2-40B4-BE49-F238E27FC236}">
              <a16:creationId xmlns:a16="http://schemas.microsoft.com/office/drawing/2014/main" id="{00000000-0008-0000-1300-00004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4" name="333 CuadroTexto">
          <a:extLst>
            <a:ext uri="{FF2B5EF4-FFF2-40B4-BE49-F238E27FC236}">
              <a16:creationId xmlns:a16="http://schemas.microsoft.com/office/drawing/2014/main" id="{00000000-0008-0000-1300-00004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5" name="334 CuadroTexto">
          <a:extLst>
            <a:ext uri="{FF2B5EF4-FFF2-40B4-BE49-F238E27FC236}">
              <a16:creationId xmlns:a16="http://schemas.microsoft.com/office/drawing/2014/main" id="{00000000-0008-0000-1300-00004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6" name="335 CuadroTexto">
          <a:extLst>
            <a:ext uri="{FF2B5EF4-FFF2-40B4-BE49-F238E27FC236}">
              <a16:creationId xmlns:a16="http://schemas.microsoft.com/office/drawing/2014/main" id="{00000000-0008-0000-1300-00005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7" name="336 CuadroTexto">
          <a:extLst>
            <a:ext uri="{FF2B5EF4-FFF2-40B4-BE49-F238E27FC236}">
              <a16:creationId xmlns:a16="http://schemas.microsoft.com/office/drawing/2014/main" id="{00000000-0008-0000-1300-00005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8" name="337 CuadroTexto">
          <a:extLst>
            <a:ext uri="{FF2B5EF4-FFF2-40B4-BE49-F238E27FC236}">
              <a16:creationId xmlns:a16="http://schemas.microsoft.com/office/drawing/2014/main" id="{00000000-0008-0000-1300-00005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39" name="338 CuadroTexto">
          <a:extLst>
            <a:ext uri="{FF2B5EF4-FFF2-40B4-BE49-F238E27FC236}">
              <a16:creationId xmlns:a16="http://schemas.microsoft.com/office/drawing/2014/main" id="{00000000-0008-0000-1300-00005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0" name="339 CuadroTexto">
          <a:extLst>
            <a:ext uri="{FF2B5EF4-FFF2-40B4-BE49-F238E27FC236}">
              <a16:creationId xmlns:a16="http://schemas.microsoft.com/office/drawing/2014/main" id="{00000000-0008-0000-1300-00005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1" name="340 CuadroTexto">
          <a:extLst>
            <a:ext uri="{FF2B5EF4-FFF2-40B4-BE49-F238E27FC236}">
              <a16:creationId xmlns:a16="http://schemas.microsoft.com/office/drawing/2014/main" id="{00000000-0008-0000-1300-00005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2" name="341 CuadroTexto">
          <a:extLst>
            <a:ext uri="{FF2B5EF4-FFF2-40B4-BE49-F238E27FC236}">
              <a16:creationId xmlns:a16="http://schemas.microsoft.com/office/drawing/2014/main" id="{00000000-0008-0000-1300-00005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3" name="342 CuadroTexto">
          <a:extLst>
            <a:ext uri="{FF2B5EF4-FFF2-40B4-BE49-F238E27FC236}">
              <a16:creationId xmlns:a16="http://schemas.microsoft.com/office/drawing/2014/main" id="{00000000-0008-0000-1300-00005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4" name="343 CuadroTexto">
          <a:extLst>
            <a:ext uri="{FF2B5EF4-FFF2-40B4-BE49-F238E27FC236}">
              <a16:creationId xmlns:a16="http://schemas.microsoft.com/office/drawing/2014/main" id="{00000000-0008-0000-1300-00005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5" name="344 CuadroTexto">
          <a:extLst>
            <a:ext uri="{FF2B5EF4-FFF2-40B4-BE49-F238E27FC236}">
              <a16:creationId xmlns:a16="http://schemas.microsoft.com/office/drawing/2014/main" id="{00000000-0008-0000-1300-00005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6" name="345 CuadroTexto">
          <a:extLst>
            <a:ext uri="{FF2B5EF4-FFF2-40B4-BE49-F238E27FC236}">
              <a16:creationId xmlns:a16="http://schemas.microsoft.com/office/drawing/2014/main" id="{00000000-0008-0000-1300-00005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7" name="346 CuadroTexto">
          <a:extLst>
            <a:ext uri="{FF2B5EF4-FFF2-40B4-BE49-F238E27FC236}">
              <a16:creationId xmlns:a16="http://schemas.microsoft.com/office/drawing/2014/main" id="{00000000-0008-0000-1300-00005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8" name="347 CuadroTexto">
          <a:extLst>
            <a:ext uri="{FF2B5EF4-FFF2-40B4-BE49-F238E27FC236}">
              <a16:creationId xmlns:a16="http://schemas.microsoft.com/office/drawing/2014/main" id="{00000000-0008-0000-1300-00005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49" name="348 CuadroTexto">
          <a:extLst>
            <a:ext uri="{FF2B5EF4-FFF2-40B4-BE49-F238E27FC236}">
              <a16:creationId xmlns:a16="http://schemas.microsoft.com/office/drawing/2014/main" id="{00000000-0008-0000-1300-00005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0" name="349 CuadroTexto">
          <a:extLst>
            <a:ext uri="{FF2B5EF4-FFF2-40B4-BE49-F238E27FC236}">
              <a16:creationId xmlns:a16="http://schemas.microsoft.com/office/drawing/2014/main" id="{00000000-0008-0000-1300-00005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1" name="350 CuadroTexto">
          <a:extLst>
            <a:ext uri="{FF2B5EF4-FFF2-40B4-BE49-F238E27FC236}">
              <a16:creationId xmlns:a16="http://schemas.microsoft.com/office/drawing/2014/main" id="{00000000-0008-0000-1300-00005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2" name="351 CuadroTexto">
          <a:extLst>
            <a:ext uri="{FF2B5EF4-FFF2-40B4-BE49-F238E27FC236}">
              <a16:creationId xmlns:a16="http://schemas.microsoft.com/office/drawing/2014/main" id="{00000000-0008-0000-1300-00006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3" name="352 CuadroTexto">
          <a:extLst>
            <a:ext uri="{FF2B5EF4-FFF2-40B4-BE49-F238E27FC236}">
              <a16:creationId xmlns:a16="http://schemas.microsoft.com/office/drawing/2014/main" id="{00000000-0008-0000-1300-00006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4" name="353 CuadroTexto">
          <a:extLst>
            <a:ext uri="{FF2B5EF4-FFF2-40B4-BE49-F238E27FC236}">
              <a16:creationId xmlns:a16="http://schemas.microsoft.com/office/drawing/2014/main" id="{00000000-0008-0000-1300-00006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5" name="354 CuadroTexto">
          <a:extLst>
            <a:ext uri="{FF2B5EF4-FFF2-40B4-BE49-F238E27FC236}">
              <a16:creationId xmlns:a16="http://schemas.microsoft.com/office/drawing/2014/main" id="{00000000-0008-0000-1300-00006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6" name="355 CuadroTexto">
          <a:extLst>
            <a:ext uri="{FF2B5EF4-FFF2-40B4-BE49-F238E27FC236}">
              <a16:creationId xmlns:a16="http://schemas.microsoft.com/office/drawing/2014/main" id="{00000000-0008-0000-1300-00006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7" name="356 CuadroTexto">
          <a:extLst>
            <a:ext uri="{FF2B5EF4-FFF2-40B4-BE49-F238E27FC236}">
              <a16:creationId xmlns:a16="http://schemas.microsoft.com/office/drawing/2014/main" id="{00000000-0008-0000-1300-00006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8" name="357 CuadroTexto">
          <a:extLst>
            <a:ext uri="{FF2B5EF4-FFF2-40B4-BE49-F238E27FC236}">
              <a16:creationId xmlns:a16="http://schemas.microsoft.com/office/drawing/2014/main" id="{00000000-0008-0000-1300-00006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59" name="358 CuadroTexto">
          <a:extLst>
            <a:ext uri="{FF2B5EF4-FFF2-40B4-BE49-F238E27FC236}">
              <a16:creationId xmlns:a16="http://schemas.microsoft.com/office/drawing/2014/main" id="{00000000-0008-0000-1300-00006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0" name="359 CuadroTexto">
          <a:extLst>
            <a:ext uri="{FF2B5EF4-FFF2-40B4-BE49-F238E27FC236}">
              <a16:creationId xmlns:a16="http://schemas.microsoft.com/office/drawing/2014/main" id="{00000000-0008-0000-1300-00006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1" name="360 CuadroTexto">
          <a:extLst>
            <a:ext uri="{FF2B5EF4-FFF2-40B4-BE49-F238E27FC236}">
              <a16:creationId xmlns:a16="http://schemas.microsoft.com/office/drawing/2014/main" id="{00000000-0008-0000-1300-00006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2" name="361 CuadroTexto">
          <a:extLst>
            <a:ext uri="{FF2B5EF4-FFF2-40B4-BE49-F238E27FC236}">
              <a16:creationId xmlns:a16="http://schemas.microsoft.com/office/drawing/2014/main" id="{00000000-0008-0000-1300-00006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3" name="362 CuadroTexto">
          <a:extLst>
            <a:ext uri="{FF2B5EF4-FFF2-40B4-BE49-F238E27FC236}">
              <a16:creationId xmlns:a16="http://schemas.microsoft.com/office/drawing/2014/main" id="{00000000-0008-0000-1300-00006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4" name="363 CuadroTexto">
          <a:extLst>
            <a:ext uri="{FF2B5EF4-FFF2-40B4-BE49-F238E27FC236}">
              <a16:creationId xmlns:a16="http://schemas.microsoft.com/office/drawing/2014/main" id="{00000000-0008-0000-1300-00006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5" name="364 CuadroTexto">
          <a:extLst>
            <a:ext uri="{FF2B5EF4-FFF2-40B4-BE49-F238E27FC236}">
              <a16:creationId xmlns:a16="http://schemas.microsoft.com/office/drawing/2014/main" id="{00000000-0008-0000-1300-00006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6" name="365 CuadroTexto">
          <a:extLst>
            <a:ext uri="{FF2B5EF4-FFF2-40B4-BE49-F238E27FC236}">
              <a16:creationId xmlns:a16="http://schemas.microsoft.com/office/drawing/2014/main" id="{00000000-0008-0000-1300-00006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7" name="366 CuadroTexto">
          <a:extLst>
            <a:ext uri="{FF2B5EF4-FFF2-40B4-BE49-F238E27FC236}">
              <a16:creationId xmlns:a16="http://schemas.microsoft.com/office/drawing/2014/main" id="{00000000-0008-0000-1300-00006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8" name="367 CuadroTexto">
          <a:extLst>
            <a:ext uri="{FF2B5EF4-FFF2-40B4-BE49-F238E27FC236}">
              <a16:creationId xmlns:a16="http://schemas.microsoft.com/office/drawing/2014/main" id="{00000000-0008-0000-1300-00007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69" name="368 CuadroTexto">
          <a:extLst>
            <a:ext uri="{FF2B5EF4-FFF2-40B4-BE49-F238E27FC236}">
              <a16:creationId xmlns:a16="http://schemas.microsoft.com/office/drawing/2014/main" id="{00000000-0008-0000-1300-00007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0" name="369 CuadroTexto">
          <a:extLst>
            <a:ext uri="{FF2B5EF4-FFF2-40B4-BE49-F238E27FC236}">
              <a16:creationId xmlns:a16="http://schemas.microsoft.com/office/drawing/2014/main" id="{00000000-0008-0000-1300-00007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1" name="370 CuadroTexto">
          <a:extLst>
            <a:ext uri="{FF2B5EF4-FFF2-40B4-BE49-F238E27FC236}">
              <a16:creationId xmlns:a16="http://schemas.microsoft.com/office/drawing/2014/main" id="{00000000-0008-0000-1300-00007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2" name="371 CuadroTexto">
          <a:extLst>
            <a:ext uri="{FF2B5EF4-FFF2-40B4-BE49-F238E27FC236}">
              <a16:creationId xmlns:a16="http://schemas.microsoft.com/office/drawing/2014/main" id="{00000000-0008-0000-1300-00007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3" name="372 CuadroTexto">
          <a:extLst>
            <a:ext uri="{FF2B5EF4-FFF2-40B4-BE49-F238E27FC236}">
              <a16:creationId xmlns:a16="http://schemas.microsoft.com/office/drawing/2014/main" id="{00000000-0008-0000-1300-00007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4" name="373 CuadroTexto">
          <a:extLst>
            <a:ext uri="{FF2B5EF4-FFF2-40B4-BE49-F238E27FC236}">
              <a16:creationId xmlns:a16="http://schemas.microsoft.com/office/drawing/2014/main" id="{00000000-0008-0000-1300-00007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5" name="374 CuadroTexto">
          <a:extLst>
            <a:ext uri="{FF2B5EF4-FFF2-40B4-BE49-F238E27FC236}">
              <a16:creationId xmlns:a16="http://schemas.microsoft.com/office/drawing/2014/main" id="{00000000-0008-0000-1300-00007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6" name="375 CuadroTexto">
          <a:extLst>
            <a:ext uri="{FF2B5EF4-FFF2-40B4-BE49-F238E27FC236}">
              <a16:creationId xmlns:a16="http://schemas.microsoft.com/office/drawing/2014/main" id="{00000000-0008-0000-1300-00007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7" name="376 CuadroTexto">
          <a:extLst>
            <a:ext uri="{FF2B5EF4-FFF2-40B4-BE49-F238E27FC236}">
              <a16:creationId xmlns:a16="http://schemas.microsoft.com/office/drawing/2014/main" id="{00000000-0008-0000-1300-00007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8" name="377 CuadroTexto">
          <a:extLst>
            <a:ext uri="{FF2B5EF4-FFF2-40B4-BE49-F238E27FC236}">
              <a16:creationId xmlns:a16="http://schemas.microsoft.com/office/drawing/2014/main" id="{00000000-0008-0000-1300-00007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79" name="378 CuadroTexto">
          <a:extLst>
            <a:ext uri="{FF2B5EF4-FFF2-40B4-BE49-F238E27FC236}">
              <a16:creationId xmlns:a16="http://schemas.microsoft.com/office/drawing/2014/main" id="{00000000-0008-0000-1300-00007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0" name="379 CuadroTexto">
          <a:extLst>
            <a:ext uri="{FF2B5EF4-FFF2-40B4-BE49-F238E27FC236}">
              <a16:creationId xmlns:a16="http://schemas.microsoft.com/office/drawing/2014/main" id="{00000000-0008-0000-1300-00007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1" name="380 CuadroTexto">
          <a:extLst>
            <a:ext uri="{FF2B5EF4-FFF2-40B4-BE49-F238E27FC236}">
              <a16:creationId xmlns:a16="http://schemas.microsoft.com/office/drawing/2014/main" id="{00000000-0008-0000-1300-00007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2" name="381 CuadroTexto">
          <a:extLst>
            <a:ext uri="{FF2B5EF4-FFF2-40B4-BE49-F238E27FC236}">
              <a16:creationId xmlns:a16="http://schemas.microsoft.com/office/drawing/2014/main" id="{00000000-0008-0000-1300-00007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3" name="382 CuadroTexto">
          <a:extLst>
            <a:ext uri="{FF2B5EF4-FFF2-40B4-BE49-F238E27FC236}">
              <a16:creationId xmlns:a16="http://schemas.microsoft.com/office/drawing/2014/main" id="{00000000-0008-0000-1300-00007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4" name="383 CuadroTexto">
          <a:extLst>
            <a:ext uri="{FF2B5EF4-FFF2-40B4-BE49-F238E27FC236}">
              <a16:creationId xmlns:a16="http://schemas.microsoft.com/office/drawing/2014/main" id="{00000000-0008-0000-1300-00008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5" name="384 CuadroTexto">
          <a:extLst>
            <a:ext uri="{FF2B5EF4-FFF2-40B4-BE49-F238E27FC236}">
              <a16:creationId xmlns:a16="http://schemas.microsoft.com/office/drawing/2014/main" id="{00000000-0008-0000-1300-00008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6" name="385 CuadroTexto">
          <a:extLst>
            <a:ext uri="{FF2B5EF4-FFF2-40B4-BE49-F238E27FC236}">
              <a16:creationId xmlns:a16="http://schemas.microsoft.com/office/drawing/2014/main" id="{00000000-0008-0000-1300-00008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7" name="386 CuadroTexto">
          <a:extLst>
            <a:ext uri="{FF2B5EF4-FFF2-40B4-BE49-F238E27FC236}">
              <a16:creationId xmlns:a16="http://schemas.microsoft.com/office/drawing/2014/main" id="{00000000-0008-0000-1300-00008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8" name="387 CuadroTexto">
          <a:extLst>
            <a:ext uri="{FF2B5EF4-FFF2-40B4-BE49-F238E27FC236}">
              <a16:creationId xmlns:a16="http://schemas.microsoft.com/office/drawing/2014/main" id="{00000000-0008-0000-1300-00008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89" name="388 CuadroTexto">
          <a:extLst>
            <a:ext uri="{FF2B5EF4-FFF2-40B4-BE49-F238E27FC236}">
              <a16:creationId xmlns:a16="http://schemas.microsoft.com/office/drawing/2014/main" id="{00000000-0008-0000-1300-00008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0" name="389 CuadroTexto">
          <a:extLst>
            <a:ext uri="{FF2B5EF4-FFF2-40B4-BE49-F238E27FC236}">
              <a16:creationId xmlns:a16="http://schemas.microsoft.com/office/drawing/2014/main" id="{00000000-0008-0000-1300-00008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1" name="390 CuadroTexto">
          <a:extLst>
            <a:ext uri="{FF2B5EF4-FFF2-40B4-BE49-F238E27FC236}">
              <a16:creationId xmlns:a16="http://schemas.microsoft.com/office/drawing/2014/main" id="{00000000-0008-0000-1300-00008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2" name="391 CuadroTexto">
          <a:extLst>
            <a:ext uri="{FF2B5EF4-FFF2-40B4-BE49-F238E27FC236}">
              <a16:creationId xmlns:a16="http://schemas.microsoft.com/office/drawing/2014/main" id="{00000000-0008-0000-1300-00008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3" name="392 CuadroTexto">
          <a:extLst>
            <a:ext uri="{FF2B5EF4-FFF2-40B4-BE49-F238E27FC236}">
              <a16:creationId xmlns:a16="http://schemas.microsoft.com/office/drawing/2014/main" id="{00000000-0008-0000-1300-00008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4" name="393 CuadroTexto">
          <a:extLst>
            <a:ext uri="{FF2B5EF4-FFF2-40B4-BE49-F238E27FC236}">
              <a16:creationId xmlns:a16="http://schemas.microsoft.com/office/drawing/2014/main" id="{00000000-0008-0000-1300-00008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5" name="394 CuadroTexto">
          <a:extLst>
            <a:ext uri="{FF2B5EF4-FFF2-40B4-BE49-F238E27FC236}">
              <a16:creationId xmlns:a16="http://schemas.microsoft.com/office/drawing/2014/main" id="{00000000-0008-0000-1300-00008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6" name="395 CuadroTexto">
          <a:extLst>
            <a:ext uri="{FF2B5EF4-FFF2-40B4-BE49-F238E27FC236}">
              <a16:creationId xmlns:a16="http://schemas.microsoft.com/office/drawing/2014/main" id="{00000000-0008-0000-1300-00008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7" name="396 CuadroTexto">
          <a:extLst>
            <a:ext uri="{FF2B5EF4-FFF2-40B4-BE49-F238E27FC236}">
              <a16:creationId xmlns:a16="http://schemas.microsoft.com/office/drawing/2014/main" id="{00000000-0008-0000-1300-00008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8" name="397 CuadroTexto">
          <a:extLst>
            <a:ext uri="{FF2B5EF4-FFF2-40B4-BE49-F238E27FC236}">
              <a16:creationId xmlns:a16="http://schemas.microsoft.com/office/drawing/2014/main" id="{00000000-0008-0000-1300-00008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399" name="398 CuadroTexto">
          <a:extLst>
            <a:ext uri="{FF2B5EF4-FFF2-40B4-BE49-F238E27FC236}">
              <a16:creationId xmlns:a16="http://schemas.microsoft.com/office/drawing/2014/main" id="{00000000-0008-0000-1300-00008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0" name="399 CuadroTexto">
          <a:extLst>
            <a:ext uri="{FF2B5EF4-FFF2-40B4-BE49-F238E27FC236}">
              <a16:creationId xmlns:a16="http://schemas.microsoft.com/office/drawing/2014/main" id="{00000000-0008-0000-1300-00009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1" name="400 CuadroTexto">
          <a:extLst>
            <a:ext uri="{FF2B5EF4-FFF2-40B4-BE49-F238E27FC236}">
              <a16:creationId xmlns:a16="http://schemas.microsoft.com/office/drawing/2014/main" id="{00000000-0008-0000-1300-00009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2" name="401 CuadroTexto">
          <a:extLst>
            <a:ext uri="{FF2B5EF4-FFF2-40B4-BE49-F238E27FC236}">
              <a16:creationId xmlns:a16="http://schemas.microsoft.com/office/drawing/2014/main" id="{00000000-0008-0000-1300-00009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3" name="402 CuadroTexto">
          <a:extLst>
            <a:ext uri="{FF2B5EF4-FFF2-40B4-BE49-F238E27FC236}">
              <a16:creationId xmlns:a16="http://schemas.microsoft.com/office/drawing/2014/main" id="{00000000-0008-0000-1300-00009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4" name="403 CuadroTexto">
          <a:extLst>
            <a:ext uri="{FF2B5EF4-FFF2-40B4-BE49-F238E27FC236}">
              <a16:creationId xmlns:a16="http://schemas.microsoft.com/office/drawing/2014/main" id="{00000000-0008-0000-1300-00009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5" name="404 CuadroTexto">
          <a:extLst>
            <a:ext uri="{FF2B5EF4-FFF2-40B4-BE49-F238E27FC236}">
              <a16:creationId xmlns:a16="http://schemas.microsoft.com/office/drawing/2014/main" id="{00000000-0008-0000-1300-00009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6" name="405 CuadroTexto">
          <a:extLst>
            <a:ext uri="{FF2B5EF4-FFF2-40B4-BE49-F238E27FC236}">
              <a16:creationId xmlns:a16="http://schemas.microsoft.com/office/drawing/2014/main" id="{00000000-0008-0000-1300-00009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7" name="406 CuadroTexto">
          <a:extLst>
            <a:ext uri="{FF2B5EF4-FFF2-40B4-BE49-F238E27FC236}">
              <a16:creationId xmlns:a16="http://schemas.microsoft.com/office/drawing/2014/main" id="{00000000-0008-0000-1300-00009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8" name="407 CuadroTexto">
          <a:extLst>
            <a:ext uri="{FF2B5EF4-FFF2-40B4-BE49-F238E27FC236}">
              <a16:creationId xmlns:a16="http://schemas.microsoft.com/office/drawing/2014/main" id="{00000000-0008-0000-1300-00009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09" name="408 CuadroTexto">
          <a:extLst>
            <a:ext uri="{FF2B5EF4-FFF2-40B4-BE49-F238E27FC236}">
              <a16:creationId xmlns:a16="http://schemas.microsoft.com/office/drawing/2014/main" id="{00000000-0008-0000-1300-00009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0" name="409 CuadroTexto">
          <a:extLst>
            <a:ext uri="{FF2B5EF4-FFF2-40B4-BE49-F238E27FC236}">
              <a16:creationId xmlns:a16="http://schemas.microsoft.com/office/drawing/2014/main" id="{00000000-0008-0000-1300-00009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1" name="410 CuadroTexto">
          <a:extLst>
            <a:ext uri="{FF2B5EF4-FFF2-40B4-BE49-F238E27FC236}">
              <a16:creationId xmlns:a16="http://schemas.microsoft.com/office/drawing/2014/main" id="{00000000-0008-0000-1300-00009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2" name="411 CuadroTexto">
          <a:extLst>
            <a:ext uri="{FF2B5EF4-FFF2-40B4-BE49-F238E27FC236}">
              <a16:creationId xmlns:a16="http://schemas.microsoft.com/office/drawing/2014/main" id="{00000000-0008-0000-1300-00009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3" name="412 CuadroTexto">
          <a:extLst>
            <a:ext uri="{FF2B5EF4-FFF2-40B4-BE49-F238E27FC236}">
              <a16:creationId xmlns:a16="http://schemas.microsoft.com/office/drawing/2014/main" id="{00000000-0008-0000-1300-00009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4" name="413 CuadroTexto">
          <a:extLst>
            <a:ext uri="{FF2B5EF4-FFF2-40B4-BE49-F238E27FC236}">
              <a16:creationId xmlns:a16="http://schemas.microsoft.com/office/drawing/2014/main" id="{00000000-0008-0000-1300-00009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5" name="414 CuadroTexto">
          <a:extLst>
            <a:ext uri="{FF2B5EF4-FFF2-40B4-BE49-F238E27FC236}">
              <a16:creationId xmlns:a16="http://schemas.microsoft.com/office/drawing/2014/main" id="{00000000-0008-0000-1300-00009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6" name="415 CuadroTexto">
          <a:extLst>
            <a:ext uri="{FF2B5EF4-FFF2-40B4-BE49-F238E27FC236}">
              <a16:creationId xmlns:a16="http://schemas.microsoft.com/office/drawing/2014/main" id="{00000000-0008-0000-1300-0000A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7" name="416 CuadroTexto">
          <a:extLst>
            <a:ext uri="{FF2B5EF4-FFF2-40B4-BE49-F238E27FC236}">
              <a16:creationId xmlns:a16="http://schemas.microsoft.com/office/drawing/2014/main" id="{00000000-0008-0000-1300-0000A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8" name="417 CuadroTexto">
          <a:extLst>
            <a:ext uri="{FF2B5EF4-FFF2-40B4-BE49-F238E27FC236}">
              <a16:creationId xmlns:a16="http://schemas.microsoft.com/office/drawing/2014/main" id="{00000000-0008-0000-1300-0000A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19" name="418 CuadroTexto">
          <a:extLst>
            <a:ext uri="{FF2B5EF4-FFF2-40B4-BE49-F238E27FC236}">
              <a16:creationId xmlns:a16="http://schemas.microsoft.com/office/drawing/2014/main" id="{00000000-0008-0000-1300-0000A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0" name="419 CuadroTexto">
          <a:extLst>
            <a:ext uri="{FF2B5EF4-FFF2-40B4-BE49-F238E27FC236}">
              <a16:creationId xmlns:a16="http://schemas.microsoft.com/office/drawing/2014/main" id="{00000000-0008-0000-1300-0000A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1" name="420 CuadroTexto">
          <a:extLst>
            <a:ext uri="{FF2B5EF4-FFF2-40B4-BE49-F238E27FC236}">
              <a16:creationId xmlns:a16="http://schemas.microsoft.com/office/drawing/2014/main" id="{00000000-0008-0000-1300-0000A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2" name="421 CuadroTexto">
          <a:extLst>
            <a:ext uri="{FF2B5EF4-FFF2-40B4-BE49-F238E27FC236}">
              <a16:creationId xmlns:a16="http://schemas.microsoft.com/office/drawing/2014/main" id="{00000000-0008-0000-1300-0000A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3" name="422 CuadroTexto">
          <a:extLst>
            <a:ext uri="{FF2B5EF4-FFF2-40B4-BE49-F238E27FC236}">
              <a16:creationId xmlns:a16="http://schemas.microsoft.com/office/drawing/2014/main" id="{00000000-0008-0000-1300-0000A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4" name="423 CuadroTexto">
          <a:extLst>
            <a:ext uri="{FF2B5EF4-FFF2-40B4-BE49-F238E27FC236}">
              <a16:creationId xmlns:a16="http://schemas.microsoft.com/office/drawing/2014/main" id="{00000000-0008-0000-1300-0000A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5" name="424 CuadroTexto">
          <a:extLst>
            <a:ext uri="{FF2B5EF4-FFF2-40B4-BE49-F238E27FC236}">
              <a16:creationId xmlns:a16="http://schemas.microsoft.com/office/drawing/2014/main" id="{00000000-0008-0000-1300-0000A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6" name="425 CuadroTexto">
          <a:extLst>
            <a:ext uri="{FF2B5EF4-FFF2-40B4-BE49-F238E27FC236}">
              <a16:creationId xmlns:a16="http://schemas.microsoft.com/office/drawing/2014/main" id="{00000000-0008-0000-1300-0000A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7" name="426 CuadroTexto">
          <a:extLst>
            <a:ext uri="{FF2B5EF4-FFF2-40B4-BE49-F238E27FC236}">
              <a16:creationId xmlns:a16="http://schemas.microsoft.com/office/drawing/2014/main" id="{00000000-0008-0000-1300-0000A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8" name="427 CuadroTexto">
          <a:extLst>
            <a:ext uri="{FF2B5EF4-FFF2-40B4-BE49-F238E27FC236}">
              <a16:creationId xmlns:a16="http://schemas.microsoft.com/office/drawing/2014/main" id="{00000000-0008-0000-1300-0000A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29" name="428 CuadroTexto">
          <a:extLst>
            <a:ext uri="{FF2B5EF4-FFF2-40B4-BE49-F238E27FC236}">
              <a16:creationId xmlns:a16="http://schemas.microsoft.com/office/drawing/2014/main" id="{00000000-0008-0000-1300-0000A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0" name="429 CuadroTexto">
          <a:extLst>
            <a:ext uri="{FF2B5EF4-FFF2-40B4-BE49-F238E27FC236}">
              <a16:creationId xmlns:a16="http://schemas.microsoft.com/office/drawing/2014/main" id="{00000000-0008-0000-1300-0000A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1" name="430 CuadroTexto">
          <a:extLst>
            <a:ext uri="{FF2B5EF4-FFF2-40B4-BE49-F238E27FC236}">
              <a16:creationId xmlns:a16="http://schemas.microsoft.com/office/drawing/2014/main" id="{00000000-0008-0000-1300-0000A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2" name="431 CuadroTexto">
          <a:extLst>
            <a:ext uri="{FF2B5EF4-FFF2-40B4-BE49-F238E27FC236}">
              <a16:creationId xmlns:a16="http://schemas.microsoft.com/office/drawing/2014/main" id="{00000000-0008-0000-1300-0000B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3" name="432 CuadroTexto">
          <a:extLst>
            <a:ext uri="{FF2B5EF4-FFF2-40B4-BE49-F238E27FC236}">
              <a16:creationId xmlns:a16="http://schemas.microsoft.com/office/drawing/2014/main" id="{00000000-0008-0000-1300-0000B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4" name="433 CuadroTexto">
          <a:extLst>
            <a:ext uri="{FF2B5EF4-FFF2-40B4-BE49-F238E27FC236}">
              <a16:creationId xmlns:a16="http://schemas.microsoft.com/office/drawing/2014/main" id="{00000000-0008-0000-1300-0000B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5" name="434 CuadroTexto">
          <a:extLst>
            <a:ext uri="{FF2B5EF4-FFF2-40B4-BE49-F238E27FC236}">
              <a16:creationId xmlns:a16="http://schemas.microsoft.com/office/drawing/2014/main" id="{00000000-0008-0000-1300-0000B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6" name="435 CuadroTexto">
          <a:extLst>
            <a:ext uri="{FF2B5EF4-FFF2-40B4-BE49-F238E27FC236}">
              <a16:creationId xmlns:a16="http://schemas.microsoft.com/office/drawing/2014/main" id="{00000000-0008-0000-1300-0000B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7" name="436 CuadroTexto">
          <a:extLst>
            <a:ext uri="{FF2B5EF4-FFF2-40B4-BE49-F238E27FC236}">
              <a16:creationId xmlns:a16="http://schemas.microsoft.com/office/drawing/2014/main" id="{00000000-0008-0000-1300-0000B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8" name="437 CuadroTexto">
          <a:extLst>
            <a:ext uri="{FF2B5EF4-FFF2-40B4-BE49-F238E27FC236}">
              <a16:creationId xmlns:a16="http://schemas.microsoft.com/office/drawing/2014/main" id="{00000000-0008-0000-1300-0000B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39" name="438 CuadroTexto">
          <a:extLst>
            <a:ext uri="{FF2B5EF4-FFF2-40B4-BE49-F238E27FC236}">
              <a16:creationId xmlns:a16="http://schemas.microsoft.com/office/drawing/2014/main" id="{00000000-0008-0000-1300-0000B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0" name="439 CuadroTexto">
          <a:extLst>
            <a:ext uri="{FF2B5EF4-FFF2-40B4-BE49-F238E27FC236}">
              <a16:creationId xmlns:a16="http://schemas.microsoft.com/office/drawing/2014/main" id="{00000000-0008-0000-1300-0000B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1" name="440 CuadroTexto">
          <a:extLst>
            <a:ext uri="{FF2B5EF4-FFF2-40B4-BE49-F238E27FC236}">
              <a16:creationId xmlns:a16="http://schemas.microsoft.com/office/drawing/2014/main" id="{00000000-0008-0000-1300-0000B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2" name="441 CuadroTexto">
          <a:extLst>
            <a:ext uri="{FF2B5EF4-FFF2-40B4-BE49-F238E27FC236}">
              <a16:creationId xmlns:a16="http://schemas.microsoft.com/office/drawing/2014/main" id="{00000000-0008-0000-1300-0000B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3" name="442 CuadroTexto">
          <a:extLst>
            <a:ext uri="{FF2B5EF4-FFF2-40B4-BE49-F238E27FC236}">
              <a16:creationId xmlns:a16="http://schemas.microsoft.com/office/drawing/2014/main" id="{00000000-0008-0000-1300-0000B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4" name="443 CuadroTexto">
          <a:extLst>
            <a:ext uri="{FF2B5EF4-FFF2-40B4-BE49-F238E27FC236}">
              <a16:creationId xmlns:a16="http://schemas.microsoft.com/office/drawing/2014/main" id="{00000000-0008-0000-1300-0000B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5" name="444 CuadroTexto">
          <a:extLst>
            <a:ext uri="{FF2B5EF4-FFF2-40B4-BE49-F238E27FC236}">
              <a16:creationId xmlns:a16="http://schemas.microsoft.com/office/drawing/2014/main" id="{00000000-0008-0000-1300-0000B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6" name="445 CuadroTexto">
          <a:extLst>
            <a:ext uri="{FF2B5EF4-FFF2-40B4-BE49-F238E27FC236}">
              <a16:creationId xmlns:a16="http://schemas.microsoft.com/office/drawing/2014/main" id="{00000000-0008-0000-1300-0000B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7" name="446 CuadroTexto">
          <a:extLst>
            <a:ext uri="{FF2B5EF4-FFF2-40B4-BE49-F238E27FC236}">
              <a16:creationId xmlns:a16="http://schemas.microsoft.com/office/drawing/2014/main" id="{00000000-0008-0000-1300-0000B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8" name="447 CuadroTexto">
          <a:extLst>
            <a:ext uri="{FF2B5EF4-FFF2-40B4-BE49-F238E27FC236}">
              <a16:creationId xmlns:a16="http://schemas.microsoft.com/office/drawing/2014/main" id="{00000000-0008-0000-1300-0000C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49" name="448 CuadroTexto">
          <a:extLst>
            <a:ext uri="{FF2B5EF4-FFF2-40B4-BE49-F238E27FC236}">
              <a16:creationId xmlns:a16="http://schemas.microsoft.com/office/drawing/2014/main" id="{00000000-0008-0000-1300-0000C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0" name="449 CuadroTexto">
          <a:extLst>
            <a:ext uri="{FF2B5EF4-FFF2-40B4-BE49-F238E27FC236}">
              <a16:creationId xmlns:a16="http://schemas.microsoft.com/office/drawing/2014/main" id="{00000000-0008-0000-1300-0000C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1" name="450 CuadroTexto">
          <a:extLst>
            <a:ext uri="{FF2B5EF4-FFF2-40B4-BE49-F238E27FC236}">
              <a16:creationId xmlns:a16="http://schemas.microsoft.com/office/drawing/2014/main" id="{00000000-0008-0000-1300-0000C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2" name="451 CuadroTexto">
          <a:extLst>
            <a:ext uri="{FF2B5EF4-FFF2-40B4-BE49-F238E27FC236}">
              <a16:creationId xmlns:a16="http://schemas.microsoft.com/office/drawing/2014/main" id="{00000000-0008-0000-1300-0000C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3" name="452 CuadroTexto">
          <a:extLst>
            <a:ext uri="{FF2B5EF4-FFF2-40B4-BE49-F238E27FC236}">
              <a16:creationId xmlns:a16="http://schemas.microsoft.com/office/drawing/2014/main" id="{00000000-0008-0000-1300-0000C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4" name="453 CuadroTexto">
          <a:extLst>
            <a:ext uri="{FF2B5EF4-FFF2-40B4-BE49-F238E27FC236}">
              <a16:creationId xmlns:a16="http://schemas.microsoft.com/office/drawing/2014/main" id="{00000000-0008-0000-1300-0000C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5" name="454 CuadroTexto">
          <a:extLst>
            <a:ext uri="{FF2B5EF4-FFF2-40B4-BE49-F238E27FC236}">
              <a16:creationId xmlns:a16="http://schemas.microsoft.com/office/drawing/2014/main" id="{00000000-0008-0000-1300-0000C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6" name="455 CuadroTexto">
          <a:extLst>
            <a:ext uri="{FF2B5EF4-FFF2-40B4-BE49-F238E27FC236}">
              <a16:creationId xmlns:a16="http://schemas.microsoft.com/office/drawing/2014/main" id="{00000000-0008-0000-1300-0000C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7" name="456 CuadroTexto">
          <a:extLst>
            <a:ext uri="{FF2B5EF4-FFF2-40B4-BE49-F238E27FC236}">
              <a16:creationId xmlns:a16="http://schemas.microsoft.com/office/drawing/2014/main" id="{00000000-0008-0000-1300-0000C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8" name="457 CuadroTexto">
          <a:extLst>
            <a:ext uri="{FF2B5EF4-FFF2-40B4-BE49-F238E27FC236}">
              <a16:creationId xmlns:a16="http://schemas.microsoft.com/office/drawing/2014/main" id="{00000000-0008-0000-1300-0000C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59" name="458 CuadroTexto">
          <a:extLst>
            <a:ext uri="{FF2B5EF4-FFF2-40B4-BE49-F238E27FC236}">
              <a16:creationId xmlns:a16="http://schemas.microsoft.com/office/drawing/2014/main" id="{00000000-0008-0000-1300-0000C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0" name="459 CuadroTexto">
          <a:extLst>
            <a:ext uri="{FF2B5EF4-FFF2-40B4-BE49-F238E27FC236}">
              <a16:creationId xmlns:a16="http://schemas.microsoft.com/office/drawing/2014/main" id="{00000000-0008-0000-1300-0000C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1" name="460 CuadroTexto">
          <a:extLst>
            <a:ext uri="{FF2B5EF4-FFF2-40B4-BE49-F238E27FC236}">
              <a16:creationId xmlns:a16="http://schemas.microsoft.com/office/drawing/2014/main" id="{00000000-0008-0000-1300-0000C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2" name="461 CuadroTexto">
          <a:extLst>
            <a:ext uri="{FF2B5EF4-FFF2-40B4-BE49-F238E27FC236}">
              <a16:creationId xmlns:a16="http://schemas.microsoft.com/office/drawing/2014/main" id="{00000000-0008-0000-1300-0000C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3" name="462 CuadroTexto">
          <a:extLst>
            <a:ext uri="{FF2B5EF4-FFF2-40B4-BE49-F238E27FC236}">
              <a16:creationId xmlns:a16="http://schemas.microsoft.com/office/drawing/2014/main" id="{00000000-0008-0000-1300-0000C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4" name="463 CuadroTexto">
          <a:extLst>
            <a:ext uri="{FF2B5EF4-FFF2-40B4-BE49-F238E27FC236}">
              <a16:creationId xmlns:a16="http://schemas.microsoft.com/office/drawing/2014/main" id="{00000000-0008-0000-1300-0000D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5" name="464 CuadroTexto">
          <a:extLst>
            <a:ext uri="{FF2B5EF4-FFF2-40B4-BE49-F238E27FC236}">
              <a16:creationId xmlns:a16="http://schemas.microsoft.com/office/drawing/2014/main" id="{00000000-0008-0000-1300-0000D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6" name="465 CuadroTexto">
          <a:extLst>
            <a:ext uri="{FF2B5EF4-FFF2-40B4-BE49-F238E27FC236}">
              <a16:creationId xmlns:a16="http://schemas.microsoft.com/office/drawing/2014/main" id="{00000000-0008-0000-1300-0000D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7" name="466 CuadroTexto">
          <a:extLst>
            <a:ext uri="{FF2B5EF4-FFF2-40B4-BE49-F238E27FC236}">
              <a16:creationId xmlns:a16="http://schemas.microsoft.com/office/drawing/2014/main" id="{00000000-0008-0000-1300-0000D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8" name="467 CuadroTexto">
          <a:extLst>
            <a:ext uri="{FF2B5EF4-FFF2-40B4-BE49-F238E27FC236}">
              <a16:creationId xmlns:a16="http://schemas.microsoft.com/office/drawing/2014/main" id="{00000000-0008-0000-1300-0000D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69" name="468 CuadroTexto">
          <a:extLst>
            <a:ext uri="{FF2B5EF4-FFF2-40B4-BE49-F238E27FC236}">
              <a16:creationId xmlns:a16="http://schemas.microsoft.com/office/drawing/2014/main" id="{00000000-0008-0000-1300-0000D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0" name="469 CuadroTexto">
          <a:extLst>
            <a:ext uri="{FF2B5EF4-FFF2-40B4-BE49-F238E27FC236}">
              <a16:creationId xmlns:a16="http://schemas.microsoft.com/office/drawing/2014/main" id="{00000000-0008-0000-1300-0000D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1" name="470 CuadroTexto">
          <a:extLst>
            <a:ext uri="{FF2B5EF4-FFF2-40B4-BE49-F238E27FC236}">
              <a16:creationId xmlns:a16="http://schemas.microsoft.com/office/drawing/2014/main" id="{00000000-0008-0000-1300-0000D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2" name="471 CuadroTexto">
          <a:extLst>
            <a:ext uri="{FF2B5EF4-FFF2-40B4-BE49-F238E27FC236}">
              <a16:creationId xmlns:a16="http://schemas.microsoft.com/office/drawing/2014/main" id="{00000000-0008-0000-1300-0000D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3" name="472 CuadroTexto">
          <a:extLst>
            <a:ext uri="{FF2B5EF4-FFF2-40B4-BE49-F238E27FC236}">
              <a16:creationId xmlns:a16="http://schemas.microsoft.com/office/drawing/2014/main" id="{00000000-0008-0000-1300-0000D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4" name="473 CuadroTexto">
          <a:extLst>
            <a:ext uri="{FF2B5EF4-FFF2-40B4-BE49-F238E27FC236}">
              <a16:creationId xmlns:a16="http://schemas.microsoft.com/office/drawing/2014/main" id="{00000000-0008-0000-1300-0000D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5" name="474 CuadroTexto">
          <a:extLst>
            <a:ext uri="{FF2B5EF4-FFF2-40B4-BE49-F238E27FC236}">
              <a16:creationId xmlns:a16="http://schemas.microsoft.com/office/drawing/2014/main" id="{00000000-0008-0000-1300-0000D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6" name="475 CuadroTexto">
          <a:extLst>
            <a:ext uri="{FF2B5EF4-FFF2-40B4-BE49-F238E27FC236}">
              <a16:creationId xmlns:a16="http://schemas.microsoft.com/office/drawing/2014/main" id="{00000000-0008-0000-1300-0000D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7" name="476 CuadroTexto">
          <a:extLst>
            <a:ext uri="{FF2B5EF4-FFF2-40B4-BE49-F238E27FC236}">
              <a16:creationId xmlns:a16="http://schemas.microsoft.com/office/drawing/2014/main" id="{00000000-0008-0000-1300-0000D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8" name="477 CuadroTexto">
          <a:extLst>
            <a:ext uri="{FF2B5EF4-FFF2-40B4-BE49-F238E27FC236}">
              <a16:creationId xmlns:a16="http://schemas.microsoft.com/office/drawing/2014/main" id="{00000000-0008-0000-1300-0000D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79" name="478 CuadroTexto">
          <a:extLst>
            <a:ext uri="{FF2B5EF4-FFF2-40B4-BE49-F238E27FC236}">
              <a16:creationId xmlns:a16="http://schemas.microsoft.com/office/drawing/2014/main" id="{00000000-0008-0000-1300-0000D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0" name="479 CuadroTexto">
          <a:extLst>
            <a:ext uri="{FF2B5EF4-FFF2-40B4-BE49-F238E27FC236}">
              <a16:creationId xmlns:a16="http://schemas.microsoft.com/office/drawing/2014/main" id="{00000000-0008-0000-1300-0000E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1" name="480 CuadroTexto">
          <a:extLst>
            <a:ext uri="{FF2B5EF4-FFF2-40B4-BE49-F238E27FC236}">
              <a16:creationId xmlns:a16="http://schemas.microsoft.com/office/drawing/2014/main" id="{00000000-0008-0000-1300-0000E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2" name="481 CuadroTexto">
          <a:extLst>
            <a:ext uri="{FF2B5EF4-FFF2-40B4-BE49-F238E27FC236}">
              <a16:creationId xmlns:a16="http://schemas.microsoft.com/office/drawing/2014/main" id="{00000000-0008-0000-1300-0000E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3" name="482 CuadroTexto">
          <a:extLst>
            <a:ext uri="{FF2B5EF4-FFF2-40B4-BE49-F238E27FC236}">
              <a16:creationId xmlns:a16="http://schemas.microsoft.com/office/drawing/2014/main" id="{00000000-0008-0000-1300-0000E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4" name="483 CuadroTexto">
          <a:extLst>
            <a:ext uri="{FF2B5EF4-FFF2-40B4-BE49-F238E27FC236}">
              <a16:creationId xmlns:a16="http://schemas.microsoft.com/office/drawing/2014/main" id="{00000000-0008-0000-1300-0000E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5" name="484 CuadroTexto">
          <a:extLst>
            <a:ext uri="{FF2B5EF4-FFF2-40B4-BE49-F238E27FC236}">
              <a16:creationId xmlns:a16="http://schemas.microsoft.com/office/drawing/2014/main" id="{00000000-0008-0000-1300-0000E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6" name="485 CuadroTexto">
          <a:extLst>
            <a:ext uri="{FF2B5EF4-FFF2-40B4-BE49-F238E27FC236}">
              <a16:creationId xmlns:a16="http://schemas.microsoft.com/office/drawing/2014/main" id="{00000000-0008-0000-1300-0000E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7" name="486 CuadroTexto">
          <a:extLst>
            <a:ext uri="{FF2B5EF4-FFF2-40B4-BE49-F238E27FC236}">
              <a16:creationId xmlns:a16="http://schemas.microsoft.com/office/drawing/2014/main" id="{00000000-0008-0000-1300-0000E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8" name="487 CuadroTexto">
          <a:extLst>
            <a:ext uri="{FF2B5EF4-FFF2-40B4-BE49-F238E27FC236}">
              <a16:creationId xmlns:a16="http://schemas.microsoft.com/office/drawing/2014/main" id="{00000000-0008-0000-1300-0000E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89" name="488 CuadroTexto">
          <a:extLst>
            <a:ext uri="{FF2B5EF4-FFF2-40B4-BE49-F238E27FC236}">
              <a16:creationId xmlns:a16="http://schemas.microsoft.com/office/drawing/2014/main" id="{00000000-0008-0000-1300-0000E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0" name="489 CuadroTexto">
          <a:extLst>
            <a:ext uri="{FF2B5EF4-FFF2-40B4-BE49-F238E27FC236}">
              <a16:creationId xmlns:a16="http://schemas.microsoft.com/office/drawing/2014/main" id="{00000000-0008-0000-1300-0000E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1" name="490 CuadroTexto">
          <a:extLst>
            <a:ext uri="{FF2B5EF4-FFF2-40B4-BE49-F238E27FC236}">
              <a16:creationId xmlns:a16="http://schemas.microsoft.com/office/drawing/2014/main" id="{00000000-0008-0000-1300-0000E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2" name="491 CuadroTexto">
          <a:extLst>
            <a:ext uri="{FF2B5EF4-FFF2-40B4-BE49-F238E27FC236}">
              <a16:creationId xmlns:a16="http://schemas.microsoft.com/office/drawing/2014/main" id="{00000000-0008-0000-1300-0000EC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3" name="492 CuadroTexto">
          <a:extLst>
            <a:ext uri="{FF2B5EF4-FFF2-40B4-BE49-F238E27FC236}">
              <a16:creationId xmlns:a16="http://schemas.microsoft.com/office/drawing/2014/main" id="{00000000-0008-0000-1300-0000ED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4" name="493 CuadroTexto">
          <a:extLst>
            <a:ext uri="{FF2B5EF4-FFF2-40B4-BE49-F238E27FC236}">
              <a16:creationId xmlns:a16="http://schemas.microsoft.com/office/drawing/2014/main" id="{00000000-0008-0000-1300-0000EE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5" name="494 CuadroTexto">
          <a:extLst>
            <a:ext uri="{FF2B5EF4-FFF2-40B4-BE49-F238E27FC236}">
              <a16:creationId xmlns:a16="http://schemas.microsoft.com/office/drawing/2014/main" id="{00000000-0008-0000-1300-0000EF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6" name="495 CuadroTexto">
          <a:extLst>
            <a:ext uri="{FF2B5EF4-FFF2-40B4-BE49-F238E27FC236}">
              <a16:creationId xmlns:a16="http://schemas.microsoft.com/office/drawing/2014/main" id="{00000000-0008-0000-1300-0000F0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7" name="496 CuadroTexto">
          <a:extLst>
            <a:ext uri="{FF2B5EF4-FFF2-40B4-BE49-F238E27FC236}">
              <a16:creationId xmlns:a16="http://schemas.microsoft.com/office/drawing/2014/main" id="{00000000-0008-0000-1300-0000F1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8" name="497 CuadroTexto">
          <a:extLst>
            <a:ext uri="{FF2B5EF4-FFF2-40B4-BE49-F238E27FC236}">
              <a16:creationId xmlns:a16="http://schemas.microsoft.com/office/drawing/2014/main" id="{00000000-0008-0000-1300-0000F2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499" name="498 CuadroTexto">
          <a:extLst>
            <a:ext uri="{FF2B5EF4-FFF2-40B4-BE49-F238E27FC236}">
              <a16:creationId xmlns:a16="http://schemas.microsoft.com/office/drawing/2014/main" id="{00000000-0008-0000-1300-0000F3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0" name="499 CuadroTexto">
          <a:extLst>
            <a:ext uri="{FF2B5EF4-FFF2-40B4-BE49-F238E27FC236}">
              <a16:creationId xmlns:a16="http://schemas.microsoft.com/office/drawing/2014/main" id="{00000000-0008-0000-1300-0000F4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1" name="500 CuadroTexto">
          <a:extLst>
            <a:ext uri="{FF2B5EF4-FFF2-40B4-BE49-F238E27FC236}">
              <a16:creationId xmlns:a16="http://schemas.microsoft.com/office/drawing/2014/main" id="{00000000-0008-0000-1300-0000F5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2" name="501 CuadroTexto">
          <a:extLst>
            <a:ext uri="{FF2B5EF4-FFF2-40B4-BE49-F238E27FC236}">
              <a16:creationId xmlns:a16="http://schemas.microsoft.com/office/drawing/2014/main" id="{00000000-0008-0000-1300-0000F6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3" name="502 CuadroTexto">
          <a:extLst>
            <a:ext uri="{FF2B5EF4-FFF2-40B4-BE49-F238E27FC236}">
              <a16:creationId xmlns:a16="http://schemas.microsoft.com/office/drawing/2014/main" id="{00000000-0008-0000-1300-0000F7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4" name="503 CuadroTexto">
          <a:extLst>
            <a:ext uri="{FF2B5EF4-FFF2-40B4-BE49-F238E27FC236}">
              <a16:creationId xmlns:a16="http://schemas.microsoft.com/office/drawing/2014/main" id="{00000000-0008-0000-1300-0000F8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5" name="504 CuadroTexto">
          <a:extLst>
            <a:ext uri="{FF2B5EF4-FFF2-40B4-BE49-F238E27FC236}">
              <a16:creationId xmlns:a16="http://schemas.microsoft.com/office/drawing/2014/main" id="{00000000-0008-0000-1300-0000F9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6" name="505 CuadroTexto">
          <a:extLst>
            <a:ext uri="{FF2B5EF4-FFF2-40B4-BE49-F238E27FC236}">
              <a16:creationId xmlns:a16="http://schemas.microsoft.com/office/drawing/2014/main" id="{00000000-0008-0000-1300-0000FA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8</xdr:col>
      <xdr:colOff>771525</xdr:colOff>
      <xdr:row>70</xdr:row>
      <xdr:rowOff>0</xdr:rowOff>
    </xdr:from>
    <xdr:ext cx="77782" cy="226766"/>
    <xdr:sp macro="" textlink="">
      <xdr:nvSpPr>
        <xdr:cNvPr id="507" name="506 CuadroTexto">
          <a:extLst>
            <a:ext uri="{FF2B5EF4-FFF2-40B4-BE49-F238E27FC236}">
              <a16:creationId xmlns:a16="http://schemas.microsoft.com/office/drawing/2014/main" id="{00000000-0008-0000-1300-0000FB010000}"/>
            </a:ext>
          </a:extLst>
        </xdr:cNvPr>
        <xdr:cNvSpPr txBox="1"/>
      </xdr:nvSpPr>
      <xdr:spPr>
        <a:xfrm>
          <a:off x="10467975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08" name="507 CuadroTexto">
          <a:extLst>
            <a:ext uri="{FF2B5EF4-FFF2-40B4-BE49-F238E27FC236}">
              <a16:creationId xmlns:a16="http://schemas.microsoft.com/office/drawing/2014/main" id="{00000000-0008-0000-1300-0000FC01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09" name="508 CuadroTexto">
          <a:extLst>
            <a:ext uri="{FF2B5EF4-FFF2-40B4-BE49-F238E27FC236}">
              <a16:creationId xmlns:a16="http://schemas.microsoft.com/office/drawing/2014/main" id="{00000000-0008-0000-1300-0000FD01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0" name="509 CuadroTexto">
          <a:extLst>
            <a:ext uri="{FF2B5EF4-FFF2-40B4-BE49-F238E27FC236}">
              <a16:creationId xmlns:a16="http://schemas.microsoft.com/office/drawing/2014/main" id="{00000000-0008-0000-1300-0000FE01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1" name="510 CuadroTexto">
          <a:extLst>
            <a:ext uri="{FF2B5EF4-FFF2-40B4-BE49-F238E27FC236}">
              <a16:creationId xmlns:a16="http://schemas.microsoft.com/office/drawing/2014/main" id="{00000000-0008-0000-1300-0000FF01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2" name="511 CuadroTexto">
          <a:extLst>
            <a:ext uri="{FF2B5EF4-FFF2-40B4-BE49-F238E27FC236}">
              <a16:creationId xmlns:a16="http://schemas.microsoft.com/office/drawing/2014/main" id="{00000000-0008-0000-1300-00000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3" name="512 CuadroTexto">
          <a:extLst>
            <a:ext uri="{FF2B5EF4-FFF2-40B4-BE49-F238E27FC236}">
              <a16:creationId xmlns:a16="http://schemas.microsoft.com/office/drawing/2014/main" id="{00000000-0008-0000-1300-00000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4" name="513 CuadroTexto">
          <a:extLst>
            <a:ext uri="{FF2B5EF4-FFF2-40B4-BE49-F238E27FC236}">
              <a16:creationId xmlns:a16="http://schemas.microsoft.com/office/drawing/2014/main" id="{00000000-0008-0000-1300-00000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5" name="514 CuadroTexto">
          <a:extLst>
            <a:ext uri="{FF2B5EF4-FFF2-40B4-BE49-F238E27FC236}">
              <a16:creationId xmlns:a16="http://schemas.microsoft.com/office/drawing/2014/main" id="{00000000-0008-0000-1300-00000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6" name="515 CuadroTexto">
          <a:extLst>
            <a:ext uri="{FF2B5EF4-FFF2-40B4-BE49-F238E27FC236}">
              <a16:creationId xmlns:a16="http://schemas.microsoft.com/office/drawing/2014/main" id="{00000000-0008-0000-1300-00000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7" name="516 CuadroTexto">
          <a:extLst>
            <a:ext uri="{FF2B5EF4-FFF2-40B4-BE49-F238E27FC236}">
              <a16:creationId xmlns:a16="http://schemas.microsoft.com/office/drawing/2014/main" id="{00000000-0008-0000-1300-00000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8" name="517 CuadroTexto">
          <a:extLst>
            <a:ext uri="{FF2B5EF4-FFF2-40B4-BE49-F238E27FC236}">
              <a16:creationId xmlns:a16="http://schemas.microsoft.com/office/drawing/2014/main" id="{00000000-0008-0000-1300-00000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19" name="518 CuadroTexto">
          <a:extLst>
            <a:ext uri="{FF2B5EF4-FFF2-40B4-BE49-F238E27FC236}">
              <a16:creationId xmlns:a16="http://schemas.microsoft.com/office/drawing/2014/main" id="{00000000-0008-0000-1300-00000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0" name="519 CuadroTexto">
          <a:extLst>
            <a:ext uri="{FF2B5EF4-FFF2-40B4-BE49-F238E27FC236}">
              <a16:creationId xmlns:a16="http://schemas.microsoft.com/office/drawing/2014/main" id="{00000000-0008-0000-1300-00000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1" name="520 CuadroTexto">
          <a:extLst>
            <a:ext uri="{FF2B5EF4-FFF2-40B4-BE49-F238E27FC236}">
              <a16:creationId xmlns:a16="http://schemas.microsoft.com/office/drawing/2014/main" id="{00000000-0008-0000-1300-00000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2" name="521 CuadroTexto">
          <a:extLst>
            <a:ext uri="{FF2B5EF4-FFF2-40B4-BE49-F238E27FC236}">
              <a16:creationId xmlns:a16="http://schemas.microsoft.com/office/drawing/2014/main" id="{00000000-0008-0000-1300-00000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3" name="522 CuadroTexto">
          <a:extLst>
            <a:ext uri="{FF2B5EF4-FFF2-40B4-BE49-F238E27FC236}">
              <a16:creationId xmlns:a16="http://schemas.microsoft.com/office/drawing/2014/main" id="{00000000-0008-0000-1300-00000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4" name="523 CuadroTexto">
          <a:extLst>
            <a:ext uri="{FF2B5EF4-FFF2-40B4-BE49-F238E27FC236}">
              <a16:creationId xmlns:a16="http://schemas.microsoft.com/office/drawing/2014/main" id="{00000000-0008-0000-1300-00000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5" name="524 CuadroTexto">
          <a:extLst>
            <a:ext uri="{FF2B5EF4-FFF2-40B4-BE49-F238E27FC236}">
              <a16:creationId xmlns:a16="http://schemas.microsoft.com/office/drawing/2014/main" id="{00000000-0008-0000-1300-00000D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6" name="525 CuadroTexto">
          <a:extLst>
            <a:ext uri="{FF2B5EF4-FFF2-40B4-BE49-F238E27FC236}">
              <a16:creationId xmlns:a16="http://schemas.microsoft.com/office/drawing/2014/main" id="{00000000-0008-0000-1300-00000E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7" name="526 CuadroTexto">
          <a:extLst>
            <a:ext uri="{FF2B5EF4-FFF2-40B4-BE49-F238E27FC236}">
              <a16:creationId xmlns:a16="http://schemas.microsoft.com/office/drawing/2014/main" id="{00000000-0008-0000-1300-00000F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8" name="527 CuadroTexto">
          <a:extLst>
            <a:ext uri="{FF2B5EF4-FFF2-40B4-BE49-F238E27FC236}">
              <a16:creationId xmlns:a16="http://schemas.microsoft.com/office/drawing/2014/main" id="{00000000-0008-0000-1300-00001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29" name="528 CuadroTexto">
          <a:extLst>
            <a:ext uri="{FF2B5EF4-FFF2-40B4-BE49-F238E27FC236}">
              <a16:creationId xmlns:a16="http://schemas.microsoft.com/office/drawing/2014/main" id="{00000000-0008-0000-1300-00001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0" name="529 CuadroTexto">
          <a:extLst>
            <a:ext uri="{FF2B5EF4-FFF2-40B4-BE49-F238E27FC236}">
              <a16:creationId xmlns:a16="http://schemas.microsoft.com/office/drawing/2014/main" id="{00000000-0008-0000-1300-00001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1" name="530 CuadroTexto">
          <a:extLst>
            <a:ext uri="{FF2B5EF4-FFF2-40B4-BE49-F238E27FC236}">
              <a16:creationId xmlns:a16="http://schemas.microsoft.com/office/drawing/2014/main" id="{00000000-0008-0000-1300-00001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2" name="531 CuadroTexto">
          <a:extLst>
            <a:ext uri="{FF2B5EF4-FFF2-40B4-BE49-F238E27FC236}">
              <a16:creationId xmlns:a16="http://schemas.microsoft.com/office/drawing/2014/main" id="{00000000-0008-0000-1300-00001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3" name="532 CuadroTexto">
          <a:extLst>
            <a:ext uri="{FF2B5EF4-FFF2-40B4-BE49-F238E27FC236}">
              <a16:creationId xmlns:a16="http://schemas.microsoft.com/office/drawing/2014/main" id="{00000000-0008-0000-1300-00001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4" name="533 CuadroTexto">
          <a:extLst>
            <a:ext uri="{FF2B5EF4-FFF2-40B4-BE49-F238E27FC236}">
              <a16:creationId xmlns:a16="http://schemas.microsoft.com/office/drawing/2014/main" id="{00000000-0008-0000-1300-00001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5" name="534 CuadroTexto">
          <a:extLst>
            <a:ext uri="{FF2B5EF4-FFF2-40B4-BE49-F238E27FC236}">
              <a16:creationId xmlns:a16="http://schemas.microsoft.com/office/drawing/2014/main" id="{00000000-0008-0000-1300-00001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6" name="535 CuadroTexto">
          <a:extLst>
            <a:ext uri="{FF2B5EF4-FFF2-40B4-BE49-F238E27FC236}">
              <a16:creationId xmlns:a16="http://schemas.microsoft.com/office/drawing/2014/main" id="{00000000-0008-0000-1300-00001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7" name="536 CuadroTexto">
          <a:extLst>
            <a:ext uri="{FF2B5EF4-FFF2-40B4-BE49-F238E27FC236}">
              <a16:creationId xmlns:a16="http://schemas.microsoft.com/office/drawing/2014/main" id="{00000000-0008-0000-1300-00001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8" name="537 CuadroTexto">
          <a:extLst>
            <a:ext uri="{FF2B5EF4-FFF2-40B4-BE49-F238E27FC236}">
              <a16:creationId xmlns:a16="http://schemas.microsoft.com/office/drawing/2014/main" id="{00000000-0008-0000-1300-00001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39" name="538 CuadroTexto">
          <a:extLst>
            <a:ext uri="{FF2B5EF4-FFF2-40B4-BE49-F238E27FC236}">
              <a16:creationId xmlns:a16="http://schemas.microsoft.com/office/drawing/2014/main" id="{00000000-0008-0000-1300-00001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0" name="539 CuadroTexto">
          <a:extLst>
            <a:ext uri="{FF2B5EF4-FFF2-40B4-BE49-F238E27FC236}">
              <a16:creationId xmlns:a16="http://schemas.microsoft.com/office/drawing/2014/main" id="{00000000-0008-0000-1300-00001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1" name="540 CuadroTexto">
          <a:extLst>
            <a:ext uri="{FF2B5EF4-FFF2-40B4-BE49-F238E27FC236}">
              <a16:creationId xmlns:a16="http://schemas.microsoft.com/office/drawing/2014/main" id="{00000000-0008-0000-1300-00001D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2" name="541 CuadroTexto">
          <a:extLst>
            <a:ext uri="{FF2B5EF4-FFF2-40B4-BE49-F238E27FC236}">
              <a16:creationId xmlns:a16="http://schemas.microsoft.com/office/drawing/2014/main" id="{00000000-0008-0000-1300-00001E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3" name="542 CuadroTexto">
          <a:extLst>
            <a:ext uri="{FF2B5EF4-FFF2-40B4-BE49-F238E27FC236}">
              <a16:creationId xmlns:a16="http://schemas.microsoft.com/office/drawing/2014/main" id="{00000000-0008-0000-1300-00001F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4" name="543 CuadroTexto">
          <a:extLst>
            <a:ext uri="{FF2B5EF4-FFF2-40B4-BE49-F238E27FC236}">
              <a16:creationId xmlns:a16="http://schemas.microsoft.com/office/drawing/2014/main" id="{00000000-0008-0000-1300-00002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5" name="544 CuadroTexto">
          <a:extLst>
            <a:ext uri="{FF2B5EF4-FFF2-40B4-BE49-F238E27FC236}">
              <a16:creationId xmlns:a16="http://schemas.microsoft.com/office/drawing/2014/main" id="{00000000-0008-0000-1300-00002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6" name="545 CuadroTexto">
          <a:extLst>
            <a:ext uri="{FF2B5EF4-FFF2-40B4-BE49-F238E27FC236}">
              <a16:creationId xmlns:a16="http://schemas.microsoft.com/office/drawing/2014/main" id="{00000000-0008-0000-1300-00002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7" name="546 CuadroTexto">
          <a:extLst>
            <a:ext uri="{FF2B5EF4-FFF2-40B4-BE49-F238E27FC236}">
              <a16:creationId xmlns:a16="http://schemas.microsoft.com/office/drawing/2014/main" id="{00000000-0008-0000-1300-00002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8" name="547 CuadroTexto">
          <a:extLst>
            <a:ext uri="{FF2B5EF4-FFF2-40B4-BE49-F238E27FC236}">
              <a16:creationId xmlns:a16="http://schemas.microsoft.com/office/drawing/2014/main" id="{00000000-0008-0000-1300-00002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49" name="548 CuadroTexto">
          <a:extLst>
            <a:ext uri="{FF2B5EF4-FFF2-40B4-BE49-F238E27FC236}">
              <a16:creationId xmlns:a16="http://schemas.microsoft.com/office/drawing/2014/main" id="{00000000-0008-0000-1300-00002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0" name="549 CuadroTexto">
          <a:extLst>
            <a:ext uri="{FF2B5EF4-FFF2-40B4-BE49-F238E27FC236}">
              <a16:creationId xmlns:a16="http://schemas.microsoft.com/office/drawing/2014/main" id="{00000000-0008-0000-1300-00002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1" name="550 CuadroTexto">
          <a:extLst>
            <a:ext uri="{FF2B5EF4-FFF2-40B4-BE49-F238E27FC236}">
              <a16:creationId xmlns:a16="http://schemas.microsoft.com/office/drawing/2014/main" id="{00000000-0008-0000-1300-00002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2" name="551 CuadroTexto">
          <a:extLst>
            <a:ext uri="{FF2B5EF4-FFF2-40B4-BE49-F238E27FC236}">
              <a16:creationId xmlns:a16="http://schemas.microsoft.com/office/drawing/2014/main" id="{00000000-0008-0000-1300-00002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3" name="552 CuadroTexto">
          <a:extLst>
            <a:ext uri="{FF2B5EF4-FFF2-40B4-BE49-F238E27FC236}">
              <a16:creationId xmlns:a16="http://schemas.microsoft.com/office/drawing/2014/main" id="{00000000-0008-0000-1300-00002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4" name="553 CuadroTexto">
          <a:extLst>
            <a:ext uri="{FF2B5EF4-FFF2-40B4-BE49-F238E27FC236}">
              <a16:creationId xmlns:a16="http://schemas.microsoft.com/office/drawing/2014/main" id="{00000000-0008-0000-1300-00002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5" name="554 CuadroTexto">
          <a:extLst>
            <a:ext uri="{FF2B5EF4-FFF2-40B4-BE49-F238E27FC236}">
              <a16:creationId xmlns:a16="http://schemas.microsoft.com/office/drawing/2014/main" id="{00000000-0008-0000-1300-00002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6" name="555 CuadroTexto">
          <a:extLst>
            <a:ext uri="{FF2B5EF4-FFF2-40B4-BE49-F238E27FC236}">
              <a16:creationId xmlns:a16="http://schemas.microsoft.com/office/drawing/2014/main" id="{00000000-0008-0000-1300-00002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7" name="556 CuadroTexto">
          <a:extLst>
            <a:ext uri="{FF2B5EF4-FFF2-40B4-BE49-F238E27FC236}">
              <a16:creationId xmlns:a16="http://schemas.microsoft.com/office/drawing/2014/main" id="{00000000-0008-0000-1300-00002D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8" name="557 CuadroTexto">
          <a:extLst>
            <a:ext uri="{FF2B5EF4-FFF2-40B4-BE49-F238E27FC236}">
              <a16:creationId xmlns:a16="http://schemas.microsoft.com/office/drawing/2014/main" id="{00000000-0008-0000-1300-00002E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59" name="558 CuadroTexto">
          <a:extLst>
            <a:ext uri="{FF2B5EF4-FFF2-40B4-BE49-F238E27FC236}">
              <a16:creationId xmlns:a16="http://schemas.microsoft.com/office/drawing/2014/main" id="{00000000-0008-0000-1300-00002F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0" name="559 CuadroTexto">
          <a:extLst>
            <a:ext uri="{FF2B5EF4-FFF2-40B4-BE49-F238E27FC236}">
              <a16:creationId xmlns:a16="http://schemas.microsoft.com/office/drawing/2014/main" id="{00000000-0008-0000-1300-00003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1" name="560 CuadroTexto">
          <a:extLst>
            <a:ext uri="{FF2B5EF4-FFF2-40B4-BE49-F238E27FC236}">
              <a16:creationId xmlns:a16="http://schemas.microsoft.com/office/drawing/2014/main" id="{00000000-0008-0000-1300-00003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2" name="561 CuadroTexto">
          <a:extLst>
            <a:ext uri="{FF2B5EF4-FFF2-40B4-BE49-F238E27FC236}">
              <a16:creationId xmlns:a16="http://schemas.microsoft.com/office/drawing/2014/main" id="{00000000-0008-0000-1300-00003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3" name="562 CuadroTexto">
          <a:extLst>
            <a:ext uri="{FF2B5EF4-FFF2-40B4-BE49-F238E27FC236}">
              <a16:creationId xmlns:a16="http://schemas.microsoft.com/office/drawing/2014/main" id="{00000000-0008-0000-1300-00003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4" name="563 CuadroTexto">
          <a:extLst>
            <a:ext uri="{FF2B5EF4-FFF2-40B4-BE49-F238E27FC236}">
              <a16:creationId xmlns:a16="http://schemas.microsoft.com/office/drawing/2014/main" id="{00000000-0008-0000-1300-00003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5" name="564 CuadroTexto">
          <a:extLst>
            <a:ext uri="{FF2B5EF4-FFF2-40B4-BE49-F238E27FC236}">
              <a16:creationId xmlns:a16="http://schemas.microsoft.com/office/drawing/2014/main" id="{00000000-0008-0000-1300-00003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6" name="565 CuadroTexto">
          <a:extLst>
            <a:ext uri="{FF2B5EF4-FFF2-40B4-BE49-F238E27FC236}">
              <a16:creationId xmlns:a16="http://schemas.microsoft.com/office/drawing/2014/main" id="{00000000-0008-0000-1300-00003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7" name="566 CuadroTexto">
          <a:extLst>
            <a:ext uri="{FF2B5EF4-FFF2-40B4-BE49-F238E27FC236}">
              <a16:creationId xmlns:a16="http://schemas.microsoft.com/office/drawing/2014/main" id="{00000000-0008-0000-1300-00003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8" name="567 CuadroTexto">
          <a:extLst>
            <a:ext uri="{FF2B5EF4-FFF2-40B4-BE49-F238E27FC236}">
              <a16:creationId xmlns:a16="http://schemas.microsoft.com/office/drawing/2014/main" id="{00000000-0008-0000-1300-00003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69" name="568 CuadroTexto">
          <a:extLst>
            <a:ext uri="{FF2B5EF4-FFF2-40B4-BE49-F238E27FC236}">
              <a16:creationId xmlns:a16="http://schemas.microsoft.com/office/drawing/2014/main" id="{00000000-0008-0000-1300-00003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0" name="569 CuadroTexto">
          <a:extLst>
            <a:ext uri="{FF2B5EF4-FFF2-40B4-BE49-F238E27FC236}">
              <a16:creationId xmlns:a16="http://schemas.microsoft.com/office/drawing/2014/main" id="{00000000-0008-0000-1300-00003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1" name="570 CuadroTexto">
          <a:extLst>
            <a:ext uri="{FF2B5EF4-FFF2-40B4-BE49-F238E27FC236}">
              <a16:creationId xmlns:a16="http://schemas.microsoft.com/office/drawing/2014/main" id="{00000000-0008-0000-1300-00003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2" name="571 CuadroTexto">
          <a:extLst>
            <a:ext uri="{FF2B5EF4-FFF2-40B4-BE49-F238E27FC236}">
              <a16:creationId xmlns:a16="http://schemas.microsoft.com/office/drawing/2014/main" id="{00000000-0008-0000-1300-00003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3" name="572 CuadroTexto">
          <a:extLst>
            <a:ext uri="{FF2B5EF4-FFF2-40B4-BE49-F238E27FC236}">
              <a16:creationId xmlns:a16="http://schemas.microsoft.com/office/drawing/2014/main" id="{00000000-0008-0000-1300-00003D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4" name="573 CuadroTexto">
          <a:extLst>
            <a:ext uri="{FF2B5EF4-FFF2-40B4-BE49-F238E27FC236}">
              <a16:creationId xmlns:a16="http://schemas.microsoft.com/office/drawing/2014/main" id="{00000000-0008-0000-1300-00003E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5" name="574 CuadroTexto">
          <a:extLst>
            <a:ext uri="{FF2B5EF4-FFF2-40B4-BE49-F238E27FC236}">
              <a16:creationId xmlns:a16="http://schemas.microsoft.com/office/drawing/2014/main" id="{00000000-0008-0000-1300-00003F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6" name="575 CuadroTexto">
          <a:extLst>
            <a:ext uri="{FF2B5EF4-FFF2-40B4-BE49-F238E27FC236}">
              <a16:creationId xmlns:a16="http://schemas.microsoft.com/office/drawing/2014/main" id="{00000000-0008-0000-1300-00004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7" name="576 CuadroTexto">
          <a:extLst>
            <a:ext uri="{FF2B5EF4-FFF2-40B4-BE49-F238E27FC236}">
              <a16:creationId xmlns:a16="http://schemas.microsoft.com/office/drawing/2014/main" id="{00000000-0008-0000-1300-00004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8" name="577 CuadroTexto">
          <a:extLst>
            <a:ext uri="{FF2B5EF4-FFF2-40B4-BE49-F238E27FC236}">
              <a16:creationId xmlns:a16="http://schemas.microsoft.com/office/drawing/2014/main" id="{00000000-0008-0000-1300-00004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79" name="578 CuadroTexto">
          <a:extLst>
            <a:ext uri="{FF2B5EF4-FFF2-40B4-BE49-F238E27FC236}">
              <a16:creationId xmlns:a16="http://schemas.microsoft.com/office/drawing/2014/main" id="{00000000-0008-0000-1300-00004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0" name="579 CuadroTexto">
          <a:extLst>
            <a:ext uri="{FF2B5EF4-FFF2-40B4-BE49-F238E27FC236}">
              <a16:creationId xmlns:a16="http://schemas.microsoft.com/office/drawing/2014/main" id="{00000000-0008-0000-1300-00004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1" name="580 CuadroTexto">
          <a:extLst>
            <a:ext uri="{FF2B5EF4-FFF2-40B4-BE49-F238E27FC236}">
              <a16:creationId xmlns:a16="http://schemas.microsoft.com/office/drawing/2014/main" id="{00000000-0008-0000-1300-00004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2" name="581 CuadroTexto">
          <a:extLst>
            <a:ext uri="{FF2B5EF4-FFF2-40B4-BE49-F238E27FC236}">
              <a16:creationId xmlns:a16="http://schemas.microsoft.com/office/drawing/2014/main" id="{00000000-0008-0000-1300-00004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3" name="582 CuadroTexto">
          <a:extLst>
            <a:ext uri="{FF2B5EF4-FFF2-40B4-BE49-F238E27FC236}">
              <a16:creationId xmlns:a16="http://schemas.microsoft.com/office/drawing/2014/main" id="{00000000-0008-0000-1300-00004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4" name="583 CuadroTexto">
          <a:extLst>
            <a:ext uri="{FF2B5EF4-FFF2-40B4-BE49-F238E27FC236}">
              <a16:creationId xmlns:a16="http://schemas.microsoft.com/office/drawing/2014/main" id="{00000000-0008-0000-1300-00004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5" name="584 CuadroTexto">
          <a:extLst>
            <a:ext uri="{FF2B5EF4-FFF2-40B4-BE49-F238E27FC236}">
              <a16:creationId xmlns:a16="http://schemas.microsoft.com/office/drawing/2014/main" id="{00000000-0008-0000-1300-00004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6" name="585 CuadroTexto">
          <a:extLst>
            <a:ext uri="{FF2B5EF4-FFF2-40B4-BE49-F238E27FC236}">
              <a16:creationId xmlns:a16="http://schemas.microsoft.com/office/drawing/2014/main" id="{00000000-0008-0000-1300-00004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7" name="586 CuadroTexto">
          <a:extLst>
            <a:ext uri="{FF2B5EF4-FFF2-40B4-BE49-F238E27FC236}">
              <a16:creationId xmlns:a16="http://schemas.microsoft.com/office/drawing/2014/main" id="{00000000-0008-0000-1300-00004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8" name="587 CuadroTexto">
          <a:extLst>
            <a:ext uri="{FF2B5EF4-FFF2-40B4-BE49-F238E27FC236}">
              <a16:creationId xmlns:a16="http://schemas.microsoft.com/office/drawing/2014/main" id="{00000000-0008-0000-1300-00004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89" name="588 CuadroTexto">
          <a:extLst>
            <a:ext uri="{FF2B5EF4-FFF2-40B4-BE49-F238E27FC236}">
              <a16:creationId xmlns:a16="http://schemas.microsoft.com/office/drawing/2014/main" id="{00000000-0008-0000-1300-00004D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0" name="589 CuadroTexto">
          <a:extLst>
            <a:ext uri="{FF2B5EF4-FFF2-40B4-BE49-F238E27FC236}">
              <a16:creationId xmlns:a16="http://schemas.microsoft.com/office/drawing/2014/main" id="{00000000-0008-0000-1300-00004E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1" name="590 CuadroTexto">
          <a:extLst>
            <a:ext uri="{FF2B5EF4-FFF2-40B4-BE49-F238E27FC236}">
              <a16:creationId xmlns:a16="http://schemas.microsoft.com/office/drawing/2014/main" id="{00000000-0008-0000-1300-00004F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2" name="591 CuadroTexto">
          <a:extLst>
            <a:ext uri="{FF2B5EF4-FFF2-40B4-BE49-F238E27FC236}">
              <a16:creationId xmlns:a16="http://schemas.microsoft.com/office/drawing/2014/main" id="{00000000-0008-0000-1300-00005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3" name="592 CuadroTexto">
          <a:extLst>
            <a:ext uri="{FF2B5EF4-FFF2-40B4-BE49-F238E27FC236}">
              <a16:creationId xmlns:a16="http://schemas.microsoft.com/office/drawing/2014/main" id="{00000000-0008-0000-1300-00005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4" name="593 CuadroTexto">
          <a:extLst>
            <a:ext uri="{FF2B5EF4-FFF2-40B4-BE49-F238E27FC236}">
              <a16:creationId xmlns:a16="http://schemas.microsoft.com/office/drawing/2014/main" id="{00000000-0008-0000-1300-00005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5" name="594 CuadroTexto">
          <a:extLst>
            <a:ext uri="{FF2B5EF4-FFF2-40B4-BE49-F238E27FC236}">
              <a16:creationId xmlns:a16="http://schemas.microsoft.com/office/drawing/2014/main" id="{00000000-0008-0000-1300-00005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6" name="595 CuadroTexto">
          <a:extLst>
            <a:ext uri="{FF2B5EF4-FFF2-40B4-BE49-F238E27FC236}">
              <a16:creationId xmlns:a16="http://schemas.microsoft.com/office/drawing/2014/main" id="{00000000-0008-0000-1300-00005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7" name="596 CuadroTexto">
          <a:extLst>
            <a:ext uri="{FF2B5EF4-FFF2-40B4-BE49-F238E27FC236}">
              <a16:creationId xmlns:a16="http://schemas.microsoft.com/office/drawing/2014/main" id="{00000000-0008-0000-1300-00005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8" name="597 CuadroTexto">
          <a:extLst>
            <a:ext uri="{FF2B5EF4-FFF2-40B4-BE49-F238E27FC236}">
              <a16:creationId xmlns:a16="http://schemas.microsoft.com/office/drawing/2014/main" id="{00000000-0008-0000-1300-00005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599" name="598 CuadroTexto">
          <a:extLst>
            <a:ext uri="{FF2B5EF4-FFF2-40B4-BE49-F238E27FC236}">
              <a16:creationId xmlns:a16="http://schemas.microsoft.com/office/drawing/2014/main" id="{00000000-0008-0000-1300-00005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0" name="599 CuadroTexto">
          <a:extLst>
            <a:ext uri="{FF2B5EF4-FFF2-40B4-BE49-F238E27FC236}">
              <a16:creationId xmlns:a16="http://schemas.microsoft.com/office/drawing/2014/main" id="{00000000-0008-0000-1300-00005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1" name="600 CuadroTexto">
          <a:extLst>
            <a:ext uri="{FF2B5EF4-FFF2-40B4-BE49-F238E27FC236}">
              <a16:creationId xmlns:a16="http://schemas.microsoft.com/office/drawing/2014/main" id="{00000000-0008-0000-1300-00005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2" name="601 CuadroTexto">
          <a:extLst>
            <a:ext uri="{FF2B5EF4-FFF2-40B4-BE49-F238E27FC236}">
              <a16:creationId xmlns:a16="http://schemas.microsoft.com/office/drawing/2014/main" id="{00000000-0008-0000-1300-00005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3" name="602 CuadroTexto">
          <a:extLst>
            <a:ext uri="{FF2B5EF4-FFF2-40B4-BE49-F238E27FC236}">
              <a16:creationId xmlns:a16="http://schemas.microsoft.com/office/drawing/2014/main" id="{00000000-0008-0000-1300-00005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4" name="603 CuadroTexto">
          <a:extLst>
            <a:ext uri="{FF2B5EF4-FFF2-40B4-BE49-F238E27FC236}">
              <a16:creationId xmlns:a16="http://schemas.microsoft.com/office/drawing/2014/main" id="{00000000-0008-0000-1300-00005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5" name="604 CuadroTexto">
          <a:extLst>
            <a:ext uri="{FF2B5EF4-FFF2-40B4-BE49-F238E27FC236}">
              <a16:creationId xmlns:a16="http://schemas.microsoft.com/office/drawing/2014/main" id="{00000000-0008-0000-1300-00005D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6" name="605 CuadroTexto">
          <a:extLst>
            <a:ext uri="{FF2B5EF4-FFF2-40B4-BE49-F238E27FC236}">
              <a16:creationId xmlns:a16="http://schemas.microsoft.com/office/drawing/2014/main" id="{00000000-0008-0000-1300-00005E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7" name="606 CuadroTexto">
          <a:extLst>
            <a:ext uri="{FF2B5EF4-FFF2-40B4-BE49-F238E27FC236}">
              <a16:creationId xmlns:a16="http://schemas.microsoft.com/office/drawing/2014/main" id="{00000000-0008-0000-1300-00005F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8" name="607 CuadroTexto">
          <a:extLst>
            <a:ext uri="{FF2B5EF4-FFF2-40B4-BE49-F238E27FC236}">
              <a16:creationId xmlns:a16="http://schemas.microsoft.com/office/drawing/2014/main" id="{00000000-0008-0000-1300-000060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09" name="608 CuadroTexto">
          <a:extLst>
            <a:ext uri="{FF2B5EF4-FFF2-40B4-BE49-F238E27FC236}">
              <a16:creationId xmlns:a16="http://schemas.microsoft.com/office/drawing/2014/main" id="{00000000-0008-0000-1300-000061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0" name="609 CuadroTexto">
          <a:extLst>
            <a:ext uri="{FF2B5EF4-FFF2-40B4-BE49-F238E27FC236}">
              <a16:creationId xmlns:a16="http://schemas.microsoft.com/office/drawing/2014/main" id="{00000000-0008-0000-1300-000062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1" name="610 CuadroTexto">
          <a:extLst>
            <a:ext uri="{FF2B5EF4-FFF2-40B4-BE49-F238E27FC236}">
              <a16:creationId xmlns:a16="http://schemas.microsoft.com/office/drawing/2014/main" id="{00000000-0008-0000-1300-000063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2" name="611 CuadroTexto">
          <a:extLst>
            <a:ext uri="{FF2B5EF4-FFF2-40B4-BE49-F238E27FC236}">
              <a16:creationId xmlns:a16="http://schemas.microsoft.com/office/drawing/2014/main" id="{00000000-0008-0000-1300-000064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3" name="612 CuadroTexto">
          <a:extLst>
            <a:ext uri="{FF2B5EF4-FFF2-40B4-BE49-F238E27FC236}">
              <a16:creationId xmlns:a16="http://schemas.microsoft.com/office/drawing/2014/main" id="{00000000-0008-0000-1300-000065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4" name="613 CuadroTexto">
          <a:extLst>
            <a:ext uri="{FF2B5EF4-FFF2-40B4-BE49-F238E27FC236}">
              <a16:creationId xmlns:a16="http://schemas.microsoft.com/office/drawing/2014/main" id="{00000000-0008-0000-1300-000066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5" name="614 CuadroTexto">
          <a:extLst>
            <a:ext uri="{FF2B5EF4-FFF2-40B4-BE49-F238E27FC236}">
              <a16:creationId xmlns:a16="http://schemas.microsoft.com/office/drawing/2014/main" id="{00000000-0008-0000-1300-000067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6" name="615 CuadroTexto">
          <a:extLst>
            <a:ext uri="{FF2B5EF4-FFF2-40B4-BE49-F238E27FC236}">
              <a16:creationId xmlns:a16="http://schemas.microsoft.com/office/drawing/2014/main" id="{00000000-0008-0000-1300-000068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7" name="616 CuadroTexto">
          <a:extLst>
            <a:ext uri="{FF2B5EF4-FFF2-40B4-BE49-F238E27FC236}">
              <a16:creationId xmlns:a16="http://schemas.microsoft.com/office/drawing/2014/main" id="{00000000-0008-0000-1300-000069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8" name="617 CuadroTexto">
          <a:extLst>
            <a:ext uri="{FF2B5EF4-FFF2-40B4-BE49-F238E27FC236}">
              <a16:creationId xmlns:a16="http://schemas.microsoft.com/office/drawing/2014/main" id="{00000000-0008-0000-1300-00006A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19" name="618 CuadroTexto">
          <a:extLst>
            <a:ext uri="{FF2B5EF4-FFF2-40B4-BE49-F238E27FC236}">
              <a16:creationId xmlns:a16="http://schemas.microsoft.com/office/drawing/2014/main" id="{00000000-0008-0000-1300-00006B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6</xdr:col>
      <xdr:colOff>1457325</xdr:colOff>
      <xdr:row>70</xdr:row>
      <xdr:rowOff>0</xdr:rowOff>
    </xdr:from>
    <xdr:ext cx="194455" cy="283458"/>
    <xdr:sp macro="" textlink="">
      <xdr:nvSpPr>
        <xdr:cNvPr id="620" name="619 CuadroTexto">
          <a:extLst>
            <a:ext uri="{FF2B5EF4-FFF2-40B4-BE49-F238E27FC236}">
              <a16:creationId xmlns:a16="http://schemas.microsoft.com/office/drawing/2014/main" id="{00000000-0008-0000-1300-00006C020000}"/>
            </a:ext>
          </a:extLst>
        </xdr:cNvPr>
        <xdr:cNvSpPr txBox="1"/>
      </xdr:nvSpPr>
      <xdr:spPr>
        <a:xfrm>
          <a:off x="7591425" y="13211175"/>
          <a:ext cx="194455" cy="283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1" name="620 CuadroTexto">
          <a:extLst>
            <a:ext uri="{FF2B5EF4-FFF2-40B4-BE49-F238E27FC236}">
              <a16:creationId xmlns:a16="http://schemas.microsoft.com/office/drawing/2014/main" id="{00000000-0008-0000-1300-00006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2" name="621 CuadroTexto">
          <a:extLst>
            <a:ext uri="{FF2B5EF4-FFF2-40B4-BE49-F238E27FC236}">
              <a16:creationId xmlns:a16="http://schemas.microsoft.com/office/drawing/2014/main" id="{00000000-0008-0000-1300-00006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3" name="622 CuadroTexto">
          <a:extLst>
            <a:ext uri="{FF2B5EF4-FFF2-40B4-BE49-F238E27FC236}">
              <a16:creationId xmlns:a16="http://schemas.microsoft.com/office/drawing/2014/main" id="{00000000-0008-0000-1300-00006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4" name="623 CuadroTexto">
          <a:extLst>
            <a:ext uri="{FF2B5EF4-FFF2-40B4-BE49-F238E27FC236}">
              <a16:creationId xmlns:a16="http://schemas.microsoft.com/office/drawing/2014/main" id="{00000000-0008-0000-1300-00007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5" name="624 CuadroTexto">
          <a:extLst>
            <a:ext uri="{FF2B5EF4-FFF2-40B4-BE49-F238E27FC236}">
              <a16:creationId xmlns:a16="http://schemas.microsoft.com/office/drawing/2014/main" id="{00000000-0008-0000-1300-00007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6" name="625 CuadroTexto">
          <a:extLst>
            <a:ext uri="{FF2B5EF4-FFF2-40B4-BE49-F238E27FC236}">
              <a16:creationId xmlns:a16="http://schemas.microsoft.com/office/drawing/2014/main" id="{00000000-0008-0000-1300-00007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7" name="626 CuadroTexto">
          <a:extLst>
            <a:ext uri="{FF2B5EF4-FFF2-40B4-BE49-F238E27FC236}">
              <a16:creationId xmlns:a16="http://schemas.microsoft.com/office/drawing/2014/main" id="{00000000-0008-0000-1300-00007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8" name="627 CuadroTexto">
          <a:extLst>
            <a:ext uri="{FF2B5EF4-FFF2-40B4-BE49-F238E27FC236}">
              <a16:creationId xmlns:a16="http://schemas.microsoft.com/office/drawing/2014/main" id="{00000000-0008-0000-1300-00007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29" name="628 CuadroTexto">
          <a:extLst>
            <a:ext uri="{FF2B5EF4-FFF2-40B4-BE49-F238E27FC236}">
              <a16:creationId xmlns:a16="http://schemas.microsoft.com/office/drawing/2014/main" id="{00000000-0008-0000-1300-00007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0" name="629 CuadroTexto">
          <a:extLst>
            <a:ext uri="{FF2B5EF4-FFF2-40B4-BE49-F238E27FC236}">
              <a16:creationId xmlns:a16="http://schemas.microsoft.com/office/drawing/2014/main" id="{00000000-0008-0000-1300-00007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1" name="630 CuadroTexto">
          <a:extLst>
            <a:ext uri="{FF2B5EF4-FFF2-40B4-BE49-F238E27FC236}">
              <a16:creationId xmlns:a16="http://schemas.microsoft.com/office/drawing/2014/main" id="{00000000-0008-0000-1300-00007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2" name="631 CuadroTexto">
          <a:extLst>
            <a:ext uri="{FF2B5EF4-FFF2-40B4-BE49-F238E27FC236}">
              <a16:creationId xmlns:a16="http://schemas.microsoft.com/office/drawing/2014/main" id="{00000000-0008-0000-1300-00007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3" name="632 CuadroTexto">
          <a:extLst>
            <a:ext uri="{FF2B5EF4-FFF2-40B4-BE49-F238E27FC236}">
              <a16:creationId xmlns:a16="http://schemas.microsoft.com/office/drawing/2014/main" id="{00000000-0008-0000-1300-00007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4" name="633 CuadroTexto">
          <a:extLst>
            <a:ext uri="{FF2B5EF4-FFF2-40B4-BE49-F238E27FC236}">
              <a16:creationId xmlns:a16="http://schemas.microsoft.com/office/drawing/2014/main" id="{00000000-0008-0000-1300-00007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5" name="634 CuadroTexto">
          <a:extLst>
            <a:ext uri="{FF2B5EF4-FFF2-40B4-BE49-F238E27FC236}">
              <a16:creationId xmlns:a16="http://schemas.microsoft.com/office/drawing/2014/main" id="{00000000-0008-0000-1300-00007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6" name="635 CuadroTexto">
          <a:extLst>
            <a:ext uri="{FF2B5EF4-FFF2-40B4-BE49-F238E27FC236}">
              <a16:creationId xmlns:a16="http://schemas.microsoft.com/office/drawing/2014/main" id="{00000000-0008-0000-1300-00007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7" name="636 CuadroTexto">
          <a:extLst>
            <a:ext uri="{FF2B5EF4-FFF2-40B4-BE49-F238E27FC236}">
              <a16:creationId xmlns:a16="http://schemas.microsoft.com/office/drawing/2014/main" id="{00000000-0008-0000-1300-00007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8" name="637 CuadroTexto">
          <a:extLst>
            <a:ext uri="{FF2B5EF4-FFF2-40B4-BE49-F238E27FC236}">
              <a16:creationId xmlns:a16="http://schemas.microsoft.com/office/drawing/2014/main" id="{00000000-0008-0000-1300-00007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39" name="638 CuadroTexto">
          <a:extLst>
            <a:ext uri="{FF2B5EF4-FFF2-40B4-BE49-F238E27FC236}">
              <a16:creationId xmlns:a16="http://schemas.microsoft.com/office/drawing/2014/main" id="{00000000-0008-0000-1300-00007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0" name="639 CuadroTexto">
          <a:extLst>
            <a:ext uri="{FF2B5EF4-FFF2-40B4-BE49-F238E27FC236}">
              <a16:creationId xmlns:a16="http://schemas.microsoft.com/office/drawing/2014/main" id="{00000000-0008-0000-1300-00008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1" name="640 CuadroTexto">
          <a:extLst>
            <a:ext uri="{FF2B5EF4-FFF2-40B4-BE49-F238E27FC236}">
              <a16:creationId xmlns:a16="http://schemas.microsoft.com/office/drawing/2014/main" id="{00000000-0008-0000-1300-00008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2" name="641 CuadroTexto">
          <a:extLst>
            <a:ext uri="{FF2B5EF4-FFF2-40B4-BE49-F238E27FC236}">
              <a16:creationId xmlns:a16="http://schemas.microsoft.com/office/drawing/2014/main" id="{00000000-0008-0000-1300-00008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3" name="642 CuadroTexto">
          <a:extLst>
            <a:ext uri="{FF2B5EF4-FFF2-40B4-BE49-F238E27FC236}">
              <a16:creationId xmlns:a16="http://schemas.microsoft.com/office/drawing/2014/main" id="{00000000-0008-0000-1300-00008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4" name="643 CuadroTexto">
          <a:extLst>
            <a:ext uri="{FF2B5EF4-FFF2-40B4-BE49-F238E27FC236}">
              <a16:creationId xmlns:a16="http://schemas.microsoft.com/office/drawing/2014/main" id="{00000000-0008-0000-1300-00008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5" name="644 CuadroTexto">
          <a:extLst>
            <a:ext uri="{FF2B5EF4-FFF2-40B4-BE49-F238E27FC236}">
              <a16:creationId xmlns:a16="http://schemas.microsoft.com/office/drawing/2014/main" id="{00000000-0008-0000-1300-00008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6" name="645 CuadroTexto">
          <a:extLst>
            <a:ext uri="{FF2B5EF4-FFF2-40B4-BE49-F238E27FC236}">
              <a16:creationId xmlns:a16="http://schemas.microsoft.com/office/drawing/2014/main" id="{00000000-0008-0000-1300-00008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7" name="646 CuadroTexto">
          <a:extLst>
            <a:ext uri="{FF2B5EF4-FFF2-40B4-BE49-F238E27FC236}">
              <a16:creationId xmlns:a16="http://schemas.microsoft.com/office/drawing/2014/main" id="{00000000-0008-0000-1300-00008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8" name="647 CuadroTexto">
          <a:extLst>
            <a:ext uri="{FF2B5EF4-FFF2-40B4-BE49-F238E27FC236}">
              <a16:creationId xmlns:a16="http://schemas.microsoft.com/office/drawing/2014/main" id="{00000000-0008-0000-1300-00008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49" name="648 CuadroTexto">
          <a:extLst>
            <a:ext uri="{FF2B5EF4-FFF2-40B4-BE49-F238E27FC236}">
              <a16:creationId xmlns:a16="http://schemas.microsoft.com/office/drawing/2014/main" id="{00000000-0008-0000-1300-00008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0" name="649 CuadroTexto">
          <a:extLst>
            <a:ext uri="{FF2B5EF4-FFF2-40B4-BE49-F238E27FC236}">
              <a16:creationId xmlns:a16="http://schemas.microsoft.com/office/drawing/2014/main" id="{00000000-0008-0000-1300-00008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1" name="650 CuadroTexto">
          <a:extLst>
            <a:ext uri="{FF2B5EF4-FFF2-40B4-BE49-F238E27FC236}">
              <a16:creationId xmlns:a16="http://schemas.microsoft.com/office/drawing/2014/main" id="{00000000-0008-0000-1300-00008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2" name="651 CuadroTexto">
          <a:extLst>
            <a:ext uri="{FF2B5EF4-FFF2-40B4-BE49-F238E27FC236}">
              <a16:creationId xmlns:a16="http://schemas.microsoft.com/office/drawing/2014/main" id="{00000000-0008-0000-1300-00008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3" name="652 CuadroTexto">
          <a:extLst>
            <a:ext uri="{FF2B5EF4-FFF2-40B4-BE49-F238E27FC236}">
              <a16:creationId xmlns:a16="http://schemas.microsoft.com/office/drawing/2014/main" id="{00000000-0008-0000-1300-00008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4" name="653 CuadroTexto">
          <a:extLst>
            <a:ext uri="{FF2B5EF4-FFF2-40B4-BE49-F238E27FC236}">
              <a16:creationId xmlns:a16="http://schemas.microsoft.com/office/drawing/2014/main" id="{00000000-0008-0000-1300-00008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5" name="654 CuadroTexto">
          <a:extLst>
            <a:ext uri="{FF2B5EF4-FFF2-40B4-BE49-F238E27FC236}">
              <a16:creationId xmlns:a16="http://schemas.microsoft.com/office/drawing/2014/main" id="{00000000-0008-0000-1300-00008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6" name="655 CuadroTexto">
          <a:extLst>
            <a:ext uri="{FF2B5EF4-FFF2-40B4-BE49-F238E27FC236}">
              <a16:creationId xmlns:a16="http://schemas.microsoft.com/office/drawing/2014/main" id="{00000000-0008-0000-1300-00009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7" name="656 CuadroTexto">
          <a:extLst>
            <a:ext uri="{FF2B5EF4-FFF2-40B4-BE49-F238E27FC236}">
              <a16:creationId xmlns:a16="http://schemas.microsoft.com/office/drawing/2014/main" id="{00000000-0008-0000-1300-00009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8" name="657 CuadroTexto">
          <a:extLst>
            <a:ext uri="{FF2B5EF4-FFF2-40B4-BE49-F238E27FC236}">
              <a16:creationId xmlns:a16="http://schemas.microsoft.com/office/drawing/2014/main" id="{00000000-0008-0000-1300-00009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59" name="658 CuadroTexto">
          <a:extLst>
            <a:ext uri="{FF2B5EF4-FFF2-40B4-BE49-F238E27FC236}">
              <a16:creationId xmlns:a16="http://schemas.microsoft.com/office/drawing/2014/main" id="{00000000-0008-0000-1300-00009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0" name="659 CuadroTexto">
          <a:extLst>
            <a:ext uri="{FF2B5EF4-FFF2-40B4-BE49-F238E27FC236}">
              <a16:creationId xmlns:a16="http://schemas.microsoft.com/office/drawing/2014/main" id="{00000000-0008-0000-1300-00009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1" name="660 CuadroTexto">
          <a:extLst>
            <a:ext uri="{FF2B5EF4-FFF2-40B4-BE49-F238E27FC236}">
              <a16:creationId xmlns:a16="http://schemas.microsoft.com/office/drawing/2014/main" id="{00000000-0008-0000-1300-00009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2" name="661 CuadroTexto">
          <a:extLst>
            <a:ext uri="{FF2B5EF4-FFF2-40B4-BE49-F238E27FC236}">
              <a16:creationId xmlns:a16="http://schemas.microsoft.com/office/drawing/2014/main" id="{00000000-0008-0000-1300-00009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3" name="662 CuadroTexto">
          <a:extLst>
            <a:ext uri="{FF2B5EF4-FFF2-40B4-BE49-F238E27FC236}">
              <a16:creationId xmlns:a16="http://schemas.microsoft.com/office/drawing/2014/main" id="{00000000-0008-0000-1300-00009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4" name="663 CuadroTexto">
          <a:extLst>
            <a:ext uri="{FF2B5EF4-FFF2-40B4-BE49-F238E27FC236}">
              <a16:creationId xmlns:a16="http://schemas.microsoft.com/office/drawing/2014/main" id="{00000000-0008-0000-1300-00009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5" name="664 CuadroTexto">
          <a:extLst>
            <a:ext uri="{FF2B5EF4-FFF2-40B4-BE49-F238E27FC236}">
              <a16:creationId xmlns:a16="http://schemas.microsoft.com/office/drawing/2014/main" id="{00000000-0008-0000-1300-00009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6" name="665 CuadroTexto">
          <a:extLst>
            <a:ext uri="{FF2B5EF4-FFF2-40B4-BE49-F238E27FC236}">
              <a16:creationId xmlns:a16="http://schemas.microsoft.com/office/drawing/2014/main" id="{00000000-0008-0000-1300-00009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7" name="666 CuadroTexto">
          <a:extLst>
            <a:ext uri="{FF2B5EF4-FFF2-40B4-BE49-F238E27FC236}">
              <a16:creationId xmlns:a16="http://schemas.microsoft.com/office/drawing/2014/main" id="{00000000-0008-0000-1300-00009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8" name="667 CuadroTexto">
          <a:extLst>
            <a:ext uri="{FF2B5EF4-FFF2-40B4-BE49-F238E27FC236}">
              <a16:creationId xmlns:a16="http://schemas.microsoft.com/office/drawing/2014/main" id="{00000000-0008-0000-1300-00009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69" name="668 CuadroTexto">
          <a:extLst>
            <a:ext uri="{FF2B5EF4-FFF2-40B4-BE49-F238E27FC236}">
              <a16:creationId xmlns:a16="http://schemas.microsoft.com/office/drawing/2014/main" id="{00000000-0008-0000-1300-00009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0" name="669 CuadroTexto">
          <a:extLst>
            <a:ext uri="{FF2B5EF4-FFF2-40B4-BE49-F238E27FC236}">
              <a16:creationId xmlns:a16="http://schemas.microsoft.com/office/drawing/2014/main" id="{00000000-0008-0000-1300-00009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1" name="670 CuadroTexto">
          <a:extLst>
            <a:ext uri="{FF2B5EF4-FFF2-40B4-BE49-F238E27FC236}">
              <a16:creationId xmlns:a16="http://schemas.microsoft.com/office/drawing/2014/main" id="{00000000-0008-0000-1300-00009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2" name="671 CuadroTexto">
          <a:extLst>
            <a:ext uri="{FF2B5EF4-FFF2-40B4-BE49-F238E27FC236}">
              <a16:creationId xmlns:a16="http://schemas.microsoft.com/office/drawing/2014/main" id="{00000000-0008-0000-1300-0000A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3" name="672 CuadroTexto">
          <a:extLst>
            <a:ext uri="{FF2B5EF4-FFF2-40B4-BE49-F238E27FC236}">
              <a16:creationId xmlns:a16="http://schemas.microsoft.com/office/drawing/2014/main" id="{00000000-0008-0000-1300-0000A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4" name="673 CuadroTexto">
          <a:extLst>
            <a:ext uri="{FF2B5EF4-FFF2-40B4-BE49-F238E27FC236}">
              <a16:creationId xmlns:a16="http://schemas.microsoft.com/office/drawing/2014/main" id="{00000000-0008-0000-1300-0000A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5" name="674 CuadroTexto">
          <a:extLst>
            <a:ext uri="{FF2B5EF4-FFF2-40B4-BE49-F238E27FC236}">
              <a16:creationId xmlns:a16="http://schemas.microsoft.com/office/drawing/2014/main" id="{00000000-0008-0000-1300-0000A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6" name="675 CuadroTexto">
          <a:extLst>
            <a:ext uri="{FF2B5EF4-FFF2-40B4-BE49-F238E27FC236}">
              <a16:creationId xmlns:a16="http://schemas.microsoft.com/office/drawing/2014/main" id="{00000000-0008-0000-1300-0000A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7" name="676 CuadroTexto">
          <a:extLst>
            <a:ext uri="{FF2B5EF4-FFF2-40B4-BE49-F238E27FC236}">
              <a16:creationId xmlns:a16="http://schemas.microsoft.com/office/drawing/2014/main" id="{00000000-0008-0000-1300-0000A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8" name="677 CuadroTexto">
          <a:extLst>
            <a:ext uri="{FF2B5EF4-FFF2-40B4-BE49-F238E27FC236}">
              <a16:creationId xmlns:a16="http://schemas.microsoft.com/office/drawing/2014/main" id="{00000000-0008-0000-1300-0000A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79" name="678 CuadroTexto">
          <a:extLst>
            <a:ext uri="{FF2B5EF4-FFF2-40B4-BE49-F238E27FC236}">
              <a16:creationId xmlns:a16="http://schemas.microsoft.com/office/drawing/2014/main" id="{00000000-0008-0000-1300-0000A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0" name="679 CuadroTexto">
          <a:extLst>
            <a:ext uri="{FF2B5EF4-FFF2-40B4-BE49-F238E27FC236}">
              <a16:creationId xmlns:a16="http://schemas.microsoft.com/office/drawing/2014/main" id="{00000000-0008-0000-1300-0000A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1" name="680 CuadroTexto">
          <a:extLst>
            <a:ext uri="{FF2B5EF4-FFF2-40B4-BE49-F238E27FC236}">
              <a16:creationId xmlns:a16="http://schemas.microsoft.com/office/drawing/2014/main" id="{00000000-0008-0000-1300-0000A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2" name="681 CuadroTexto">
          <a:extLst>
            <a:ext uri="{FF2B5EF4-FFF2-40B4-BE49-F238E27FC236}">
              <a16:creationId xmlns:a16="http://schemas.microsoft.com/office/drawing/2014/main" id="{00000000-0008-0000-1300-0000A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3" name="682 CuadroTexto">
          <a:extLst>
            <a:ext uri="{FF2B5EF4-FFF2-40B4-BE49-F238E27FC236}">
              <a16:creationId xmlns:a16="http://schemas.microsoft.com/office/drawing/2014/main" id="{00000000-0008-0000-1300-0000A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4" name="683 CuadroTexto">
          <a:extLst>
            <a:ext uri="{FF2B5EF4-FFF2-40B4-BE49-F238E27FC236}">
              <a16:creationId xmlns:a16="http://schemas.microsoft.com/office/drawing/2014/main" id="{00000000-0008-0000-1300-0000A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5" name="684 CuadroTexto">
          <a:extLst>
            <a:ext uri="{FF2B5EF4-FFF2-40B4-BE49-F238E27FC236}">
              <a16:creationId xmlns:a16="http://schemas.microsoft.com/office/drawing/2014/main" id="{00000000-0008-0000-1300-0000A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6" name="685 CuadroTexto">
          <a:extLst>
            <a:ext uri="{FF2B5EF4-FFF2-40B4-BE49-F238E27FC236}">
              <a16:creationId xmlns:a16="http://schemas.microsoft.com/office/drawing/2014/main" id="{00000000-0008-0000-1300-0000A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7" name="686 CuadroTexto">
          <a:extLst>
            <a:ext uri="{FF2B5EF4-FFF2-40B4-BE49-F238E27FC236}">
              <a16:creationId xmlns:a16="http://schemas.microsoft.com/office/drawing/2014/main" id="{00000000-0008-0000-1300-0000A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8" name="687 CuadroTexto">
          <a:extLst>
            <a:ext uri="{FF2B5EF4-FFF2-40B4-BE49-F238E27FC236}">
              <a16:creationId xmlns:a16="http://schemas.microsoft.com/office/drawing/2014/main" id="{00000000-0008-0000-1300-0000B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89" name="688 CuadroTexto">
          <a:extLst>
            <a:ext uri="{FF2B5EF4-FFF2-40B4-BE49-F238E27FC236}">
              <a16:creationId xmlns:a16="http://schemas.microsoft.com/office/drawing/2014/main" id="{00000000-0008-0000-1300-0000B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0" name="689 CuadroTexto">
          <a:extLst>
            <a:ext uri="{FF2B5EF4-FFF2-40B4-BE49-F238E27FC236}">
              <a16:creationId xmlns:a16="http://schemas.microsoft.com/office/drawing/2014/main" id="{00000000-0008-0000-1300-0000B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1" name="690 CuadroTexto">
          <a:extLst>
            <a:ext uri="{FF2B5EF4-FFF2-40B4-BE49-F238E27FC236}">
              <a16:creationId xmlns:a16="http://schemas.microsoft.com/office/drawing/2014/main" id="{00000000-0008-0000-1300-0000B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2" name="691 CuadroTexto">
          <a:extLst>
            <a:ext uri="{FF2B5EF4-FFF2-40B4-BE49-F238E27FC236}">
              <a16:creationId xmlns:a16="http://schemas.microsoft.com/office/drawing/2014/main" id="{00000000-0008-0000-1300-0000B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3" name="692 CuadroTexto">
          <a:extLst>
            <a:ext uri="{FF2B5EF4-FFF2-40B4-BE49-F238E27FC236}">
              <a16:creationId xmlns:a16="http://schemas.microsoft.com/office/drawing/2014/main" id="{00000000-0008-0000-1300-0000B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4" name="693 CuadroTexto">
          <a:extLst>
            <a:ext uri="{FF2B5EF4-FFF2-40B4-BE49-F238E27FC236}">
              <a16:creationId xmlns:a16="http://schemas.microsoft.com/office/drawing/2014/main" id="{00000000-0008-0000-1300-0000B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5" name="694 CuadroTexto">
          <a:extLst>
            <a:ext uri="{FF2B5EF4-FFF2-40B4-BE49-F238E27FC236}">
              <a16:creationId xmlns:a16="http://schemas.microsoft.com/office/drawing/2014/main" id="{00000000-0008-0000-1300-0000B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6" name="695 CuadroTexto">
          <a:extLst>
            <a:ext uri="{FF2B5EF4-FFF2-40B4-BE49-F238E27FC236}">
              <a16:creationId xmlns:a16="http://schemas.microsoft.com/office/drawing/2014/main" id="{00000000-0008-0000-1300-0000B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7" name="696 CuadroTexto">
          <a:extLst>
            <a:ext uri="{FF2B5EF4-FFF2-40B4-BE49-F238E27FC236}">
              <a16:creationId xmlns:a16="http://schemas.microsoft.com/office/drawing/2014/main" id="{00000000-0008-0000-1300-0000B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8" name="697 CuadroTexto">
          <a:extLst>
            <a:ext uri="{FF2B5EF4-FFF2-40B4-BE49-F238E27FC236}">
              <a16:creationId xmlns:a16="http://schemas.microsoft.com/office/drawing/2014/main" id="{00000000-0008-0000-1300-0000B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699" name="698 CuadroTexto">
          <a:extLst>
            <a:ext uri="{FF2B5EF4-FFF2-40B4-BE49-F238E27FC236}">
              <a16:creationId xmlns:a16="http://schemas.microsoft.com/office/drawing/2014/main" id="{00000000-0008-0000-1300-0000B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0" name="699 CuadroTexto">
          <a:extLst>
            <a:ext uri="{FF2B5EF4-FFF2-40B4-BE49-F238E27FC236}">
              <a16:creationId xmlns:a16="http://schemas.microsoft.com/office/drawing/2014/main" id="{00000000-0008-0000-1300-0000B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1" name="700 CuadroTexto">
          <a:extLst>
            <a:ext uri="{FF2B5EF4-FFF2-40B4-BE49-F238E27FC236}">
              <a16:creationId xmlns:a16="http://schemas.microsoft.com/office/drawing/2014/main" id="{00000000-0008-0000-1300-0000B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2" name="701 CuadroTexto">
          <a:extLst>
            <a:ext uri="{FF2B5EF4-FFF2-40B4-BE49-F238E27FC236}">
              <a16:creationId xmlns:a16="http://schemas.microsoft.com/office/drawing/2014/main" id="{00000000-0008-0000-1300-0000B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3" name="702 CuadroTexto">
          <a:extLst>
            <a:ext uri="{FF2B5EF4-FFF2-40B4-BE49-F238E27FC236}">
              <a16:creationId xmlns:a16="http://schemas.microsoft.com/office/drawing/2014/main" id="{00000000-0008-0000-1300-0000B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4" name="703 CuadroTexto">
          <a:extLst>
            <a:ext uri="{FF2B5EF4-FFF2-40B4-BE49-F238E27FC236}">
              <a16:creationId xmlns:a16="http://schemas.microsoft.com/office/drawing/2014/main" id="{00000000-0008-0000-1300-0000C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5" name="704 CuadroTexto">
          <a:extLst>
            <a:ext uri="{FF2B5EF4-FFF2-40B4-BE49-F238E27FC236}">
              <a16:creationId xmlns:a16="http://schemas.microsoft.com/office/drawing/2014/main" id="{00000000-0008-0000-1300-0000C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6" name="705 CuadroTexto">
          <a:extLst>
            <a:ext uri="{FF2B5EF4-FFF2-40B4-BE49-F238E27FC236}">
              <a16:creationId xmlns:a16="http://schemas.microsoft.com/office/drawing/2014/main" id="{00000000-0008-0000-1300-0000C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7" name="706 CuadroTexto">
          <a:extLst>
            <a:ext uri="{FF2B5EF4-FFF2-40B4-BE49-F238E27FC236}">
              <a16:creationId xmlns:a16="http://schemas.microsoft.com/office/drawing/2014/main" id="{00000000-0008-0000-1300-0000C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8" name="707 CuadroTexto">
          <a:extLst>
            <a:ext uri="{FF2B5EF4-FFF2-40B4-BE49-F238E27FC236}">
              <a16:creationId xmlns:a16="http://schemas.microsoft.com/office/drawing/2014/main" id="{00000000-0008-0000-1300-0000C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09" name="708 CuadroTexto">
          <a:extLst>
            <a:ext uri="{FF2B5EF4-FFF2-40B4-BE49-F238E27FC236}">
              <a16:creationId xmlns:a16="http://schemas.microsoft.com/office/drawing/2014/main" id="{00000000-0008-0000-1300-0000C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0" name="709 CuadroTexto">
          <a:extLst>
            <a:ext uri="{FF2B5EF4-FFF2-40B4-BE49-F238E27FC236}">
              <a16:creationId xmlns:a16="http://schemas.microsoft.com/office/drawing/2014/main" id="{00000000-0008-0000-1300-0000C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1" name="710 CuadroTexto">
          <a:extLst>
            <a:ext uri="{FF2B5EF4-FFF2-40B4-BE49-F238E27FC236}">
              <a16:creationId xmlns:a16="http://schemas.microsoft.com/office/drawing/2014/main" id="{00000000-0008-0000-1300-0000C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2" name="711 CuadroTexto">
          <a:extLst>
            <a:ext uri="{FF2B5EF4-FFF2-40B4-BE49-F238E27FC236}">
              <a16:creationId xmlns:a16="http://schemas.microsoft.com/office/drawing/2014/main" id="{00000000-0008-0000-1300-0000C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3" name="712 CuadroTexto">
          <a:extLst>
            <a:ext uri="{FF2B5EF4-FFF2-40B4-BE49-F238E27FC236}">
              <a16:creationId xmlns:a16="http://schemas.microsoft.com/office/drawing/2014/main" id="{00000000-0008-0000-1300-0000C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4" name="713 CuadroTexto">
          <a:extLst>
            <a:ext uri="{FF2B5EF4-FFF2-40B4-BE49-F238E27FC236}">
              <a16:creationId xmlns:a16="http://schemas.microsoft.com/office/drawing/2014/main" id="{00000000-0008-0000-1300-0000C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5" name="714 CuadroTexto">
          <a:extLst>
            <a:ext uri="{FF2B5EF4-FFF2-40B4-BE49-F238E27FC236}">
              <a16:creationId xmlns:a16="http://schemas.microsoft.com/office/drawing/2014/main" id="{00000000-0008-0000-1300-0000C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6" name="715 CuadroTexto">
          <a:extLst>
            <a:ext uri="{FF2B5EF4-FFF2-40B4-BE49-F238E27FC236}">
              <a16:creationId xmlns:a16="http://schemas.microsoft.com/office/drawing/2014/main" id="{00000000-0008-0000-1300-0000C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7" name="716 CuadroTexto">
          <a:extLst>
            <a:ext uri="{FF2B5EF4-FFF2-40B4-BE49-F238E27FC236}">
              <a16:creationId xmlns:a16="http://schemas.microsoft.com/office/drawing/2014/main" id="{00000000-0008-0000-1300-0000C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8" name="717 CuadroTexto">
          <a:extLst>
            <a:ext uri="{FF2B5EF4-FFF2-40B4-BE49-F238E27FC236}">
              <a16:creationId xmlns:a16="http://schemas.microsoft.com/office/drawing/2014/main" id="{00000000-0008-0000-1300-0000C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19" name="718 CuadroTexto">
          <a:extLst>
            <a:ext uri="{FF2B5EF4-FFF2-40B4-BE49-F238E27FC236}">
              <a16:creationId xmlns:a16="http://schemas.microsoft.com/office/drawing/2014/main" id="{00000000-0008-0000-1300-0000C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0" name="719 CuadroTexto">
          <a:extLst>
            <a:ext uri="{FF2B5EF4-FFF2-40B4-BE49-F238E27FC236}">
              <a16:creationId xmlns:a16="http://schemas.microsoft.com/office/drawing/2014/main" id="{00000000-0008-0000-1300-0000D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1" name="720 CuadroTexto">
          <a:extLst>
            <a:ext uri="{FF2B5EF4-FFF2-40B4-BE49-F238E27FC236}">
              <a16:creationId xmlns:a16="http://schemas.microsoft.com/office/drawing/2014/main" id="{00000000-0008-0000-1300-0000D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2" name="721 CuadroTexto">
          <a:extLst>
            <a:ext uri="{FF2B5EF4-FFF2-40B4-BE49-F238E27FC236}">
              <a16:creationId xmlns:a16="http://schemas.microsoft.com/office/drawing/2014/main" id="{00000000-0008-0000-1300-0000D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3" name="722 CuadroTexto">
          <a:extLst>
            <a:ext uri="{FF2B5EF4-FFF2-40B4-BE49-F238E27FC236}">
              <a16:creationId xmlns:a16="http://schemas.microsoft.com/office/drawing/2014/main" id="{00000000-0008-0000-1300-0000D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4" name="723 CuadroTexto">
          <a:extLst>
            <a:ext uri="{FF2B5EF4-FFF2-40B4-BE49-F238E27FC236}">
              <a16:creationId xmlns:a16="http://schemas.microsoft.com/office/drawing/2014/main" id="{00000000-0008-0000-1300-0000D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5" name="724 CuadroTexto">
          <a:extLst>
            <a:ext uri="{FF2B5EF4-FFF2-40B4-BE49-F238E27FC236}">
              <a16:creationId xmlns:a16="http://schemas.microsoft.com/office/drawing/2014/main" id="{00000000-0008-0000-1300-0000D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6" name="725 CuadroTexto">
          <a:extLst>
            <a:ext uri="{FF2B5EF4-FFF2-40B4-BE49-F238E27FC236}">
              <a16:creationId xmlns:a16="http://schemas.microsoft.com/office/drawing/2014/main" id="{00000000-0008-0000-1300-0000D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7" name="726 CuadroTexto">
          <a:extLst>
            <a:ext uri="{FF2B5EF4-FFF2-40B4-BE49-F238E27FC236}">
              <a16:creationId xmlns:a16="http://schemas.microsoft.com/office/drawing/2014/main" id="{00000000-0008-0000-1300-0000D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8" name="727 CuadroTexto">
          <a:extLst>
            <a:ext uri="{FF2B5EF4-FFF2-40B4-BE49-F238E27FC236}">
              <a16:creationId xmlns:a16="http://schemas.microsoft.com/office/drawing/2014/main" id="{00000000-0008-0000-1300-0000D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29" name="728 CuadroTexto">
          <a:extLst>
            <a:ext uri="{FF2B5EF4-FFF2-40B4-BE49-F238E27FC236}">
              <a16:creationId xmlns:a16="http://schemas.microsoft.com/office/drawing/2014/main" id="{00000000-0008-0000-1300-0000D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0" name="729 CuadroTexto">
          <a:extLst>
            <a:ext uri="{FF2B5EF4-FFF2-40B4-BE49-F238E27FC236}">
              <a16:creationId xmlns:a16="http://schemas.microsoft.com/office/drawing/2014/main" id="{00000000-0008-0000-1300-0000D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1" name="730 CuadroTexto">
          <a:extLst>
            <a:ext uri="{FF2B5EF4-FFF2-40B4-BE49-F238E27FC236}">
              <a16:creationId xmlns:a16="http://schemas.microsoft.com/office/drawing/2014/main" id="{00000000-0008-0000-1300-0000D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2" name="731 CuadroTexto">
          <a:extLst>
            <a:ext uri="{FF2B5EF4-FFF2-40B4-BE49-F238E27FC236}">
              <a16:creationId xmlns:a16="http://schemas.microsoft.com/office/drawing/2014/main" id="{00000000-0008-0000-1300-0000D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3" name="732 CuadroTexto">
          <a:extLst>
            <a:ext uri="{FF2B5EF4-FFF2-40B4-BE49-F238E27FC236}">
              <a16:creationId xmlns:a16="http://schemas.microsoft.com/office/drawing/2014/main" id="{00000000-0008-0000-1300-0000D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4" name="733 CuadroTexto">
          <a:extLst>
            <a:ext uri="{FF2B5EF4-FFF2-40B4-BE49-F238E27FC236}">
              <a16:creationId xmlns:a16="http://schemas.microsoft.com/office/drawing/2014/main" id="{00000000-0008-0000-1300-0000D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5" name="734 CuadroTexto">
          <a:extLst>
            <a:ext uri="{FF2B5EF4-FFF2-40B4-BE49-F238E27FC236}">
              <a16:creationId xmlns:a16="http://schemas.microsoft.com/office/drawing/2014/main" id="{00000000-0008-0000-1300-0000D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6" name="735 CuadroTexto">
          <a:extLst>
            <a:ext uri="{FF2B5EF4-FFF2-40B4-BE49-F238E27FC236}">
              <a16:creationId xmlns:a16="http://schemas.microsoft.com/office/drawing/2014/main" id="{00000000-0008-0000-1300-0000E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7" name="736 CuadroTexto">
          <a:extLst>
            <a:ext uri="{FF2B5EF4-FFF2-40B4-BE49-F238E27FC236}">
              <a16:creationId xmlns:a16="http://schemas.microsoft.com/office/drawing/2014/main" id="{00000000-0008-0000-1300-0000E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8" name="737 CuadroTexto">
          <a:extLst>
            <a:ext uri="{FF2B5EF4-FFF2-40B4-BE49-F238E27FC236}">
              <a16:creationId xmlns:a16="http://schemas.microsoft.com/office/drawing/2014/main" id="{00000000-0008-0000-1300-0000E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39" name="738 CuadroTexto">
          <a:extLst>
            <a:ext uri="{FF2B5EF4-FFF2-40B4-BE49-F238E27FC236}">
              <a16:creationId xmlns:a16="http://schemas.microsoft.com/office/drawing/2014/main" id="{00000000-0008-0000-1300-0000E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0" name="739 CuadroTexto">
          <a:extLst>
            <a:ext uri="{FF2B5EF4-FFF2-40B4-BE49-F238E27FC236}">
              <a16:creationId xmlns:a16="http://schemas.microsoft.com/office/drawing/2014/main" id="{00000000-0008-0000-1300-0000E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1" name="740 CuadroTexto">
          <a:extLst>
            <a:ext uri="{FF2B5EF4-FFF2-40B4-BE49-F238E27FC236}">
              <a16:creationId xmlns:a16="http://schemas.microsoft.com/office/drawing/2014/main" id="{00000000-0008-0000-1300-0000E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2" name="741 CuadroTexto">
          <a:extLst>
            <a:ext uri="{FF2B5EF4-FFF2-40B4-BE49-F238E27FC236}">
              <a16:creationId xmlns:a16="http://schemas.microsoft.com/office/drawing/2014/main" id="{00000000-0008-0000-1300-0000E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3" name="742 CuadroTexto">
          <a:extLst>
            <a:ext uri="{FF2B5EF4-FFF2-40B4-BE49-F238E27FC236}">
              <a16:creationId xmlns:a16="http://schemas.microsoft.com/office/drawing/2014/main" id="{00000000-0008-0000-1300-0000E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4" name="743 CuadroTexto">
          <a:extLst>
            <a:ext uri="{FF2B5EF4-FFF2-40B4-BE49-F238E27FC236}">
              <a16:creationId xmlns:a16="http://schemas.microsoft.com/office/drawing/2014/main" id="{00000000-0008-0000-1300-0000E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5" name="744 CuadroTexto">
          <a:extLst>
            <a:ext uri="{FF2B5EF4-FFF2-40B4-BE49-F238E27FC236}">
              <a16:creationId xmlns:a16="http://schemas.microsoft.com/office/drawing/2014/main" id="{00000000-0008-0000-1300-0000E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6" name="745 CuadroTexto">
          <a:extLst>
            <a:ext uri="{FF2B5EF4-FFF2-40B4-BE49-F238E27FC236}">
              <a16:creationId xmlns:a16="http://schemas.microsoft.com/office/drawing/2014/main" id="{00000000-0008-0000-1300-0000E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7" name="746 CuadroTexto">
          <a:extLst>
            <a:ext uri="{FF2B5EF4-FFF2-40B4-BE49-F238E27FC236}">
              <a16:creationId xmlns:a16="http://schemas.microsoft.com/office/drawing/2014/main" id="{00000000-0008-0000-1300-0000E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8" name="747 CuadroTexto">
          <a:extLst>
            <a:ext uri="{FF2B5EF4-FFF2-40B4-BE49-F238E27FC236}">
              <a16:creationId xmlns:a16="http://schemas.microsoft.com/office/drawing/2014/main" id="{00000000-0008-0000-1300-0000E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49" name="748 CuadroTexto">
          <a:extLst>
            <a:ext uri="{FF2B5EF4-FFF2-40B4-BE49-F238E27FC236}">
              <a16:creationId xmlns:a16="http://schemas.microsoft.com/office/drawing/2014/main" id="{00000000-0008-0000-1300-0000E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0" name="749 CuadroTexto">
          <a:extLst>
            <a:ext uri="{FF2B5EF4-FFF2-40B4-BE49-F238E27FC236}">
              <a16:creationId xmlns:a16="http://schemas.microsoft.com/office/drawing/2014/main" id="{00000000-0008-0000-1300-0000E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1" name="750 CuadroTexto">
          <a:extLst>
            <a:ext uri="{FF2B5EF4-FFF2-40B4-BE49-F238E27FC236}">
              <a16:creationId xmlns:a16="http://schemas.microsoft.com/office/drawing/2014/main" id="{00000000-0008-0000-1300-0000E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2" name="751 CuadroTexto">
          <a:extLst>
            <a:ext uri="{FF2B5EF4-FFF2-40B4-BE49-F238E27FC236}">
              <a16:creationId xmlns:a16="http://schemas.microsoft.com/office/drawing/2014/main" id="{00000000-0008-0000-1300-0000F0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3" name="752 CuadroTexto">
          <a:extLst>
            <a:ext uri="{FF2B5EF4-FFF2-40B4-BE49-F238E27FC236}">
              <a16:creationId xmlns:a16="http://schemas.microsoft.com/office/drawing/2014/main" id="{00000000-0008-0000-1300-0000F1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4" name="753 CuadroTexto">
          <a:extLst>
            <a:ext uri="{FF2B5EF4-FFF2-40B4-BE49-F238E27FC236}">
              <a16:creationId xmlns:a16="http://schemas.microsoft.com/office/drawing/2014/main" id="{00000000-0008-0000-1300-0000F2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5" name="754 CuadroTexto">
          <a:extLst>
            <a:ext uri="{FF2B5EF4-FFF2-40B4-BE49-F238E27FC236}">
              <a16:creationId xmlns:a16="http://schemas.microsoft.com/office/drawing/2014/main" id="{00000000-0008-0000-1300-0000F3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6" name="755 CuadroTexto">
          <a:extLst>
            <a:ext uri="{FF2B5EF4-FFF2-40B4-BE49-F238E27FC236}">
              <a16:creationId xmlns:a16="http://schemas.microsoft.com/office/drawing/2014/main" id="{00000000-0008-0000-1300-0000F4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7" name="756 CuadroTexto">
          <a:extLst>
            <a:ext uri="{FF2B5EF4-FFF2-40B4-BE49-F238E27FC236}">
              <a16:creationId xmlns:a16="http://schemas.microsoft.com/office/drawing/2014/main" id="{00000000-0008-0000-1300-0000F5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8" name="757 CuadroTexto">
          <a:extLst>
            <a:ext uri="{FF2B5EF4-FFF2-40B4-BE49-F238E27FC236}">
              <a16:creationId xmlns:a16="http://schemas.microsoft.com/office/drawing/2014/main" id="{00000000-0008-0000-1300-0000F6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59" name="758 CuadroTexto">
          <a:extLst>
            <a:ext uri="{FF2B5EF4-FFF2-40B4-BE49-F238E27FC236}">
              <a16:creationId xmlns:a16="http://schemas.microsoft.com/office/drawing/2014/main" id="{00000000-0008-0000-1300-0000F7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0" name="759 CuadroTexto">
          <a:extLst>
            <a:ext uri="{FF2B5EF4-FFF2-40B4-BE49-F238E27FC236}">
              <a16:creationId xmlns:a16="http://schemas.microsoft.com/office/drawing/2014/main" id="{00000000-0008-0000-1300-0000F8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1" name="760 CuadroTexto">
          <a:extLst>
            <a:ext uri="{FF2B5EF4-FFF2-40B4-BE49-F238E27FC236}">
              <a16:creationId xmlns:a16="http://schemas.microsoft.com/office/drawing/2014/main" id="{00000000-0008-0000-1300-0000F9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2" name="761 CuadroTexto">
          <a:extLst>
            <a:ext uri="{FF2B5EF4-FFF2-40B4-BE49-F238E27FC236}">
              <a16:creationId xmlns:a16="http://schemas.microsoft.com/office/drawing/2014/main" id="{00000000-0008-0000-1300-0000FA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3" name="762 CuadroTexto">
          <a:extLst>
            <a:ext uri="{FF2B5EF4-FFF2-40B4-BE49-F238E27FC236}">
              <a16:creationId xmlns:a16="http://schemas.microsoft.com/office/drawing/2014/main" id="{00000000-0008-0000-1300-0000FB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4" name="763 CuadroTexto">
          <a:extLst>
            <a:ext uri="{FF2B5EF4-FFF2-40B4-BE49-F238E27FC236}">
              <a16:creationId xmlns:a16="http://schemas.microsoft.com/office/drawing/2014/main" id="{00000000-0008-0000-1300-0000FC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5" name="764 CuadroTexto">
          <a:extLst>
            <a:ext uri="{FF2B5EF4-FFF2-40B4-BE49-F238E27FC236}">
              <a16:creationId xmlns:a16="http://schemas.microsoft.com/office/drawing/2014/main" id="{00000000-0008-0000-1300-0000FD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6" name="765 CuadroTexto">
          <a:extLst>
            <a:ext uri="{FF2B5EF4-FFF2-40B4-BE49-F238E27FC236}">
              <a16:creationId xmlns:a16="http://schemas.microsoft.com/office/drawing/2014/main" id="{00000000-0008-0000-1300-0000FE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7" name="766 CuadroTexto">
          <a:extLst>
            <a:ext uri="{FF2B5EF4-FFF2-40B4-BE49-F238E27FC236}">
              <a16:creationId xmlns:a16="http://schemas.microsoft.com/office/drawing/2014/main" id="{00000000-0008-0000-1300-0000FF02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8" name="767 CuadroTexto">
          <a:extLst>
            <a:ext uri="{FF2B5EF4-FFF2-40B4-BE49-F238E27FC236}">
              <a16:creationId xmlns:a16="http://schemas.microsoft.com/office/drawing/2014/main" id="{00000000-0008-0000-1300-00000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69" name="768 CuadroTexto">
          <a:extLst>
            <a:ext uri="{FF2B5EF4-FFF2-40B4-BE49-F238E27FC236}">
              <a16:creationId xmlns:a16="http://schemas.microsoft.com/office/drawing/2014/main" id="{00000000-0008-0000-1300-00000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0" name="769 CuadroTexto">
          <a:extLst>
            <a:ext uri="{FF2B5EF4-FFF2-40B4-BE49-F238E27FC236}">
              <a16:creationId xmlns:a16="http://schemas.microsoft.com/office/drawing/2014/main" id="{00000000-0008-0000-1300-00000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1" name="770 CuadroTexto">
          <a:extLst>
            <a:ext uri="{FF2B5EF4-FFF2-40B4-BE49-F238E27FC236}">
              <a16:creationId xmlns:a16="http://schemas.microsoft.com/office/drawing/2014/main" id="{00000000-0008-0000-1300-00000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2" name="771 CuadroTexto">
          <a:extLst>
            <a:ext uri="{FF2B5EF4-FFF2-40B4-BE49-F238E27FC236}">
              <a16:creationId xmlns:a16="http://schemas.microsoft.com/office/drawing/2014/main" id="{00000000-0008-0000-1300-00000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3" name="772 CuadroTexto">
          <a:extLst>
            <a:ext uri="{FF2B5EF4-FFF2-40B4-BE49-F238E27FC236}">
              <a16:creationId xmlns:a16="http://schemas.microsoft.com/office/drawing/2014/main" id="{00000000-0008-0000-1300-00000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4" name="773 CuadroTexto">
          <a:extLst>
            <a:ext uri="{FF2B5EF4-FFF2-40B4-BE49-F238E27FC236}">
              <a16:creationId xmlns:a16="http://schemas.microsoft.com/office/drawing/2014/main" id="{00000000-0008-0000-1300-00000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5" name="774 CuadroTexto">
          <a:extLst>
            <a:ext uri="{FF2B5EF4-FFF2-40B4-BE49-F238E27FC236}">
              <a16:creationId xmlns:a16="http://schemas.microsoft.com/office/drawing/2014/main" id="{00000000-0008-0000-1300-00000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6" name="775 CuadroTexto">
          <a:extLst>
            <a:ext uri="{FF2B5EF4-FFF2-40B4-BE49-F238E27FC236}">
              <a16:creationId xmlns:a16="http://schemas.microsoft.com/office/drawing/2014/main" id="{00000000-0008-0000-1300-00000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7" name="776 CuadroTexto">
          <a:extLst>
            <a:ext uri="{FF2B5EF4-FFF2-40B4-BE49-F238E27FC236}">
              <a16:creationId xmlns:a16="http://schemas.microsoft.com/office/drawing/2014/main" id="{00000000-0008-0000-1300-00000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8" name="777 CuadroTexto">
          <a:extLst>
            <a:ext uri="{FF2B5EF4-FFF2-40B4-BE49-F238E27FC236}">
              <a16:creationId xmlns:a16="http://schemas.microsoft.com/office/drawing/2014/main" id="{00000000-0008-0000-1300-00000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79" name="778 CuadroTexto">
          <a:extLst>
            <a:ext uri="{FF2B5EF4-FFF2-40B4-BE49-F238E27FC236}">
              <a16:creationId xmlns:a16="http://schemas.microsoft.com/office/drawing/2014/main" id="{00000000-0008-0000-1300-00000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0" name="779 CuadroTexto">
          <a:extLst>
            <a:ext uri="{FF2B5EF4-FFF2-40B4-BE49-F238E27FC236}">
              <a16:creationId xmlns:a16="http://schemas.microsoft.com/office/drawing/2014/main" id="{00000000-0008-0000-1300-00000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1" name="780 CuadroTexto">
          <a:extLst>
            <a:ext uri="{FF2B5EF4-FFF2-40B4-BE49-F238E27FC236}">
              <a16:creationId xmlns:a16="http://schemas.microsoft.com/office/drawing/2014/main" id="{00000000-0008-0000-1300-00000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2" name="781 CuadroTexto">
          <a:extLst>
            <a:ext uri="{FF2B5EF4-FFF2-40B4-BE49-F238E27FC236}">
              <a16:creationId xmlns:a16="http://schemas.microsoft.com/office/drawing/2014/main" id="{00000000-0008-0000-1300-00000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3" name="782 CuadroTexto">
          <a:extLst>
            <a:ext uri="{FF2B5EF4-FFF2-40B4-BE49-F238E27FC236}">
              <a16:creationId xmlns:a16="http://schemas.microsoft.com/office/drawing/2014/main" id="{00000000-0008-0000-1300-00000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4" name="783 CuadroTexto">
          <a:extLst>
            <a:ext uri="{FF2B5EF4-FFF2-40B4-BE49-F238E27FC236}">
              <a16:creationId xmlns:a16="http://schemas.microsoft.com/office/drawing/2014/main" id="{00000000-0008-0000-1300-00001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5" name="784 CuadroTexto">
          <a:extLst>
            <a:ext uri="{FF2B5EF4-FFF2-40B4-BE49-F238E27FC236}">
              <a16:creationId xmlns:a16="http://schemas.microsoft.com/office/drawing/2014/main" id="{00000000-0008-0000-1300-00001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6" name="785 CuadroTexto">
          <a:extLst>
            <a:ext uri="{FF2B5EF4-FFF2-40B4-BE49-F238E27FC236}">
              <a16:creationId xmlns:a16="http://schemas.microsoft.com/office/drawing/2014/main" id="{00000000-0008-0000-1300-00001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7" name="786 CuadroTexto">
          <a:extLst>
            <a:ext uri="{FF2B5EF4-FFF2-40B4-BE49-F238E27FC236}">
              <a16:creationId xmlns:a16="http://schemas.microsoft.com/office/drawing/2014/main" id="{00000000-0008-0000-1300-00001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8" name="787 CuadroTexto">
          <a:extLst>
            <a:ext uri="{FF2B5EF4-FFF2-40B4-BE49-F238E27FC236}">
              <a16:creationId xmlns:a16="http://schemas.microsoft.com/office/drawing/2014/main" id="{00000000-0008-0000-1300-00001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89" name="788 CuadroTexto">
          <a:extLst>
            <a:ext uri="{FF2B5EF4-FFF2-40B4-BE49-F238E27FC236}">
              <a16:creationId xmlns:a16="http://schemas.microsoft.com/office/drawing/2014/main" id="{00000000-0008-0000-1300-00001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0" name="789 CuadroTexto">
          <a:extLst>
            <a:ext uri="{FF2B5EF4-FFF2-40B4-BE49-F238E27FC236}">
              <a16:creationId xmlns:a16="http://schemas.microsoft.com/office/drawing/2014/main" id="{00000000-0008-0000-1300-00001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1" name="790 CuadroTexto">
          <a:extLst>
            <a:ext uri="{FF2B5EF4-FFF2-40B4-BE49-F238E27FC236}">
              <a16:creationId xmlns:a16="http://schemas.microsoft.com/office/drawing/2014/main" id="{00000000-0008-0000-1300-00001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2" name="791 CuadroTexto">
          <a:extLst>
            <a:ext uri="{FF2B5EF4-FFF2-40B4-BE49-F238E27FC236}">
              <a16:creationId xmlns:a16="http://schemas.microsoft.com/office/drawing/2014/main" id="{00000000-0008-0000-1300-00001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3" name="792 CuadroTexto">
          <a:extLst>
            <a:ext uri="{FF2B5EF4-FFF2-40B4-BE49-F238E27FC236}">
              <a16:creationId xmlns:a16="http://schemas.microsoft.com/office/drawing/2014/main" id="{00000000-0008-0000-1300-00001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4" name="793 CuadroTexto">
          <a:extLst>
            <a:ext uri="{FF2B5EF4-FFF2-40B4-BE49-F238E27FC236}">
              <a16:creationId xmlns:a16="http://schemas.microsoft.com/office/drawing/2014/main" id="{00000000-0008-0000-1300-00001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5" name="794 CuadroTexto">
          <a:extLst>
            <a:ext uri="{FF2B5EF4-FFF2-40B4-BE49-F238E27FC236}">
              <a16:creationId xmlns:a16="http://schemas.microsoft.com/office/drawing/2014/main" id="{00000000-0008-0000-1300-00001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6" name="795 CuadroTexto">
          <a:extLst>
            <a:ext uri="{FF2B5EF4-FFF2-40B4-BE49-F238E27FC236}">
              <a16:creationId xmlns:a16="http://schemas.microsoft.com/office/drawing/2014/main" id="{00000000-0008-0000-1300-00001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7" name="796 CuadroTexto">
          <a:extLst>
            <a:ext uri="{FF2B5EF4-FFF2-40B4-BE49-F238E27FC236}">
              <a16:creationId xmlns:a16="http://schemas.microsoft.com/office/drawing/2014/main" id="{00000000-0008-0000-1300-00001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8" name="797 CuadroTexto">
          <a:extLst>
            <a:ext uri="{FF2B5EF4-FFF2-40B4-BE49-F238E27FC236}">
              <a16:creationId xmlns:a16="http://schemas.microsoft.com/office/drawing/2014/main" id="{00000000-0008-0000-1300-00001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799" name="798 CuadroTexto">
          <a:extLst>
            <a:ext uri="{FF2B5EF4-FFF2-40B4-BE49-F238E27FC236}">
              <a16:creationId xmlns:a16="http://schemas.microsoft.com/office/drawing/2014/main" id="{00000000-0008-0000-1300-00001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0" name="799 CuadroTexto">
          <a:extLst>
            <a:ext uri="{FF2B5EF4-FFF2-40B4-BE49-F238E27FC236}">
              <a16:creationId xmlns:a16="http://schemas.microsoft.com/office/drawing/2014/main" id="{00000000-0008-0000-1300-00002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1" name="800 CuadroTexto">
          <a:extLst>
            <a:ext uri="{FF2B5EF4-FFF2-40B4-BE49-F238E27FC236}">
              <a16:creationId xmlns:a16="http://schemas.microsoft.com/office/drawing/2014/main" id="{00000000-0008-0000-1300-00002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2" name="801 CuadroTexto">
          <a:extLst>
            <a:ext uri="{FF2B5EF4-FFF2-40B4-BE49-F238E27FC236}">
              <a16:creationId xmlns:a16="http://schemas.microsoft.com/office/drawing/2014/main" id="{00000000-0008-0000-1300-00002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3" name="802 CuadroTexto">
          <a:extLst>
            <a:ext uri="{FF2B5EF4-FFF2-40B4-BE49-F238E27FC236}">
              <a16:creationId xmlns:a16="http://schemas.microsoft.com/office/drawing/2014/main" id="{00000000-0008-0000-1300-00002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4" name="803 CuadroTexto">
          <a:extLst>
            <a:ext uri="{FF2B5EF4-FFF2-40B4-BE49-F238E27FC236}">
              <a16:creationId xmlns:a16="http://schemas.microsoft.com/office/drawing/2014/main" id="{00000000-0008-0000-1300-00002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5" name="804 CuadroTexto">
          <a:extLst>
            <a:ext uri="{FF2B5EF4-FFF2-40B4-BE49-F238E27FC236}">
              <a16:creationId xmlns:a16="http://schemas.microsoft.com/office/drawing/2014/main" id="{00000000-0008-0000-1300-00002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6" name="805 CuadroTexto">
          <a:extLst>
            <a:ext uri="{FF2B5EF4-FFF2-40B4-BE49-F238E27FC236}">
              <a16:creationId xmlns:a16="http://schemas.microsoft.com/office/drawing/2014/main" id="{00000000-0008-0000-1300-00002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7" name="806 CuadroTexto">
          <a:extLst>
            <a:ext uri="{FF2B5EF4-FFF2-40B4-BE49-F238E27FC236}">
              <a16:creationId xmlns:a16="http://schemas.microsoft.com/office/drawing/2014/main" id="{00000000-0008-0000-1300-00002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8" name="807 CuadroTexto">
          <a:extLst>
            <a:ext uri="{FF2B5EF4-FFF2-40B4-BE49-F238E27FC236}">
              <a16:creationId xmlns:a16="http://schemas.microsoft.com/office/drawing/2014/main" id="{00000000-0008-0000-1300-00002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09" name="808 CuadroTexto">
          <a:extLst>
            <a:ext uri="{FF2B5EF4-FFF2-40B4-BE49-F238E27FC236}">
              <a16:creationId xmlns:a16="http://schemas.microsoft.com/office/drawing/2014/main" id="{00000000-0008-0000-1300-00002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0" name="809 CuadroTexto">
          <a:extLst>
            <a:ext uri="{FF2B5EF4-FFF2-40B4-BE49-F238E27FC236}">
              <a16:creationId xmlns:a16="http://schemas.microsoft.com/office/drawing/2014/main" id="{00000000-0008-0000-1300-00002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1" name="810 CuadroTexto">
          <a:extLst>
            <a:ext uri="{FF2B5EF4-FFF2-40B4-BE49-F238E27FC236}">
              <a16:creationId xmlns:a16="http://schemas.microsoft.com/office/drawing/2014/main" id="{00000000-0008-0000-1300-00002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2" name="811 CuadroTexto">
          <a:extLst>
            <a:ext uri="{FF2B5EF4-FFF2-40B4-BE49-F238E27FC236}">
              <a16:creationId xmlns:a16="http://schemas.microsoft.com/office/drawing/2014/main" id="{00000000-0008-0000-1300-00002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3" name="812 CuadroTexto">
          <a:extLst>
            <a:ext uri="{FF2B5EF4-FFF2-40B4-BE49-F238E27FC236}">
              <a16:creationId xmlns:a16="http://schemas.microsoft.com/office/drawing/2014/main" id="{00000000-0008-0000-1300-00002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4" name="813 CuadroTexto">
          <a:extLst>
            <a:ext uri="{FF2B5EF4-FFF2-40B4-BE49-F238E27FC236}">
              <a16:creationId xmlns:a16="http://schemas.microsoft.com/office/drawing/2014/main" id="{00000000-0008-0000-1300-00002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5" name="814 CuadroTexto">
          <a:extLst>
            <a:ext uri="{FF2B5EF4-FFF2-40B4-BE49-F238E27FC236}">
              <a16:creationId xmlns:a16="http://schemas.microsoft.com/office/drawing/2014/main" id="{00000000-0008-0000-1300-00002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6" name="815 CuadroTexto">
          <a:extLst>
            <a:ext uri="{FF2B5EF4-FFF2-40B4-BE49-F238E27FC236}">
              <a16:creationId xmlns:a16="http://schemas.microsoft.com/office/drawing/2014/main" id="{00000000-0008-0000-1300-00003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7" name="816 CuadroTexto">
          <a:extLst>
            <a:ext uri="{FF2B5EF4-FFF2-40B4-BE49-F238E27FC236}">
              <a16:creationId xmlns:a16="http://schemas.microsoft.com/office/drawing/2014/main" id="{00000000-0008-0000-1300-00003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8" name="817 CuadroTexto">
          <a:extLst>
            <a:ext uri="{FF2B5EF4-FFF2-40B4-BE49-F238E27FC236}">
              <a16:creationId xmlns:a16="http://schemas.microsoft.com/office/drawing/2014/main" id="{00000000-0008-0000-1300-00003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19" name="818 CuadroTexto">
          <a:extLst>
            <a:ext uri="{FF2B5EF4-FFF2-40B4-BE49-F238E27FC236}">
              <a16:creationId xmlns:a16="http://schemas.microsoft.com/office/drawing/2014/main" id="{00000000-0008-0000-1300-00003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0" name="819 CuadroTexto">
          <a:extLst>
            <a:ext uri="{FF2B5EF4-FFF2-40B4-BE49-F238E27FC236}">
              <a16:creationId xmlns:a16="http://schemas.microsoft.com/office/drawing/2014/main" id="{00000000-0008-0000-1300-00003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1" name="820 CuadroTexto">
          <a:extLst>
            <a:ext uri="{FF2B5EF4-FFF2-40B4-BE49-F238E27FC236}">
              <a16:creationId xmlns:a16="http://schemas.microsoft.com/office/drawing/2014/main" id="{00000000-0008-0000-1300-00003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2" name="821 CuadroTexto">
          <a:extLst>
            <a:ext uri="{FF2B5EF4-FFF2-40B4-BE49-F238E27FC236}">
              <a16:creationId xmlns:a16="http://schemas.microsoft.com/office/drawing/2014/main" id="{00000000-0008-0000-1300-00003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3" name="822 CuadroTexto">
          <a:extLst>
            <a:ext uri="{FF2B5EF4-FFF2-40B4-BE49-F238E27FC236}">
              <a16:creationId xmlns:a16="http://schemas.microsoft.com/office/drawing/2014/main" id="{00000000-0008-0000-1300-00003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4" name="823 CuadroTexto">
          <a:extLst>
            <a:ext uri="{FF2B5EF4-FFF2-40B4-BE49-F238E27FC236}">
              <a16:creationId xmlns:a16="http://schemas.microsoft.com/office/drawing/2014/main" id="{00000000-0008-0000-1300-00003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5" name="824 CuadroTexto">
          <a:extLst>
            <a:ext uri="{FF2B5EF4-FFF2-40B4-BE49-F238E27FC236}">
              <a16:creationId xmlns:a16="http://schemas.microsoft.com/office/drawing/2014/main" id="{00000000-0008-0000-1300-00003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6" name="825 CuadroTexto">
          <a:extLst>
            <a:ext uri="{FF2B5EF4-FFF2-40B4-BE49-F238E27FC236}">
              <a16:creationId xmlns:a16="http://schemas.microsoft.com/office/drawing/2014/main" id="{00000000-0008-0000-1300-00003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7" name="826 CuadroTexto">
          <a:extLst>
            <a:ext uri="{FF2B5EF4-FFF2-40B4-BE49-F238E27FC236}">
              <a16:creationId xmlns:a16="http://schemas.microsoft.com/office/drawing/2014/main" id="{00000000-0008-0000-1300-00003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8" name="827 CuadroTexto">
          <a:extLst>
            <a:ext uri="{FF2B5EF4-FFF2-40B4-BE49-F238E27FC236}">
              <a16:creationId xmlns:a16="http://schemas.microsoft.com/office/drawing/2014/main" id="{00000000-0008-0000-1300-00003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29" name="828 CuadroTexto">
          <a:extLst>
            <a:ext uri="{FF2B5EF4-FFF2-40B4-BE49-F238E27FC236}">
              <a16:creationId xmlns:a16="http://schemas.microsoft.com/office/drawing/2014/main" id="{00000000-0008-0000-1300-00003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0" name="829 CuadroTexto">
          <a:extLst>
            <a:ext uri="{FF2B5EF4-FFF2-40B4-BE49-F238E27FC236}">
              <a16:creationId xmlns:a16="http://schemas.microsoft.com/office/drawing/2014/main" id="{00000000-0008-0000-1300-00003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1" name="830 CuadroTexto">
          <a:extLst>
            <a:ext uri="{FF2B5EF4-FFF2-40B4-BE49-F238E27FC236}">
              <a16:creationId xmlns:a16="http://schemas.microsoft.com/office/drawing/2014/main" id="{00000000-0008-0000-1300-00003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2" name="831 CuadroTexto">
          <a:extLst>
            <a:ext uri="{FF2B5EF4-FFF2-40B4-BE49-F238E27FC236}">
              <a16:creationId xmlns:a16="http://schemas.microsoft.com/office/drawing/2014/main" id="{00000000-0008-0000-1300-00004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3" name="832 CuadroTexto">
          <a:extLst>
            <a:ext uri="{FF2B5EF4-FFF2-40B4-BE49-F238E27FC236}">
              <a16:creationId xmlns:a16="http://schemas.microsoft.com/office/drawing/2014/main" id="{00000000-0008-0000-1300-00004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4" name="833 CuadroTexto">
          <a:extLst>
            <a:ext uri="{FF2B5EF4-FFF2-40B4-BE49-F238E27FC236}">
              <a16:creationId xmlns:a16="http://schemas.microsoft.com/office/drawing/2014/main" id="{00000000-0008-0000-1300-00004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5" name="834 CuadroTexto">
          <a:extLst>
            <a:ext uri="{FF2B5EF4-FFF2-40B4-BE49-F238E27FC236}">
              <a16:creationId xmlns:a16="http://schemas.microsoft.com/office/drawing/2014/main" id="{00000000-0008-0000-1300-00004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6" name="835 CuadroTexto">
          <a:extLst>
            <a:ext uri="{FF2B5EF4-FFF2-40B4-BE49-F238E27FC236}">
              <a16:creationId xmlns:a16="http://schemas.microsoft.com/office/drawing/2014/main" id="{00000000-0008-0000-1300-00004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7" name="836 CuadroTexto">
          <a:extLst>
            <a:ext uri="{FF2B5EF4-FFF2-40B4-BE49-F238E27FC236}">
              <a16:creationId xmlns:a16="http://schemas.microsoft.com/office/drawing/2014/main" id="{00000000-0008-0000-1300-00004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8" name="837 CuadroTexto">
          <a:extLst>
            <a:ext uri="{FF2B5EF4-FFF2-40B4-BE49-F238E27FC236}">
              <a16:creationId xmlns:a16="http://schemas.microsoft.com/office/drawing/2014/main" id="{00000000-0008-0000-1300-00004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39" name="838 CuadroTexto">
          <a:extLst>
            <a:ext uri="{FF2B5EF4-FFF2-40B4-BE49-F238E27FC236}">
              <a16:creationId xmlns:a16="http://schemas.microsoft.com/office/drawing/2014/main" id="{00000000-0008-0000-1300-00004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0" name="839 CuadroTexto">
          <a:extLst>
            <a:ext uri="{FF2B5EF4-FFF2-40B4-BE49-F238E27FC236}">
              <a16:creationId xmlns:a16="http://schemas.microsoft.com/office/drawing/2014/main" id="{00000000-0008-0000-1300-00004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1" name="840 CuadroTexto">
          <a:extLst>
            <a:ext uri="{FF2B5EF4-FFF2-40B4-BE49-F238E27FC236}">
              <a16:creationId xmlns:a16="http://schemas.microsoft.com/office/drawing/2014/main" id="{00000000-0008-0000-1300-00004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2" name="841 CuadroTexto">
          <a:extLst>
            <a:ext uri="{FF2B5EF4-FFF2-40B4-BE49-F238E27FC236}">
              <a16:creationId xmlns:a16="http://schemas.microsoft.com/office/drawing/2014/main" id="{00000000-0008-0000-1300-00004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3" name="842 CuadroTexto">
          <a:extLst>
            <a:ext uri="{FF2B5EF4-FFF2-40B4-BE49-F238E27FC236}">
              <a16:creationId xmlns:a16="http://schemas.microsoft.com/office/drawing/2014/main" id="{00000000-0008-0000-1300-00004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4" name="843 CuadroTexto">
          <a:extLst>
            <a:ext uri="{FF2B5EF4-FFF2-40B4-BE49-F238E27FC236}">
              <a16:creationId xmlns:a16="http://schemas.microsoft.com/office/drawing/2014/main" id="{00000000-0008-0000-1300-00004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5" name="844 CuadroTexto">
          <a:extLst>
            <a:ext uri="{FF2B5EF4-FFF2-40B4-BE49-F238E27FC236}">
              <a16:creationId xmlns:a16="http://schemas.microsoft.com/office/drawing/2014/main" id="{00000000-0008-0000-1300-00004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6" name="845 CuadroTexto">
          <a:extLst>
            <a:ext uri="{FF2B5EF4-FFF2-40B4-BE49-F238E27FC236}">
              <a16:creationId xmlns:a16="http://schemas.microsoft.com/office/drawing/2014/main" id="{00000000-0008-0000-1300-00004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7" name="846 CuadroTexto">
          <a:extLst>
            <a:ext uri="{FF2B5EF4-FFF2-40B4-BE49-F238E27FC236}">
              <a16:creationId xmlns:a16="http://schemas.microsoft.com/office/drawing/2014/main" id="{00000000-0008-0000-1300-00004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8" name="847 CuadroTexto">
          <a:extLst>
            <a:ext uri="{FF2B5EF4-FFF2-40B4-BE49-F238E27FC236}">
              <a16:creationId xmlns:a16="http://schemas.microsoft.com/office/drawing/2014/main" id="{00000000-0008-0000-1300-00005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49" name="848 CuadroTexto">
          <a:extLst>
            <a:ext uri="{FF2B5EF4-FFF2-40B4-BE49-F238E27FC236}">
              <a16:creationId xmlns:a16="http://schemas.microsoft.com/office/drawing/2014/main" id="{00000000-0008-0000-1300-00005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0" name="849 CuadroTexto">
          <a:extLst>
            <a:ext uri="{FF2B5EF4-FFF2-40B4-BE49-F238E27FC236}">
              <a16:creationId xmlns:a16="http://schemas.microsoft.com/office/drawing/2014/main" id="{00000000-0008-0000-1300-00005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1" name="850 CuadroTexto">
          <a:extLst>
            <a:ext uri="{FF2B5EF4-FFF2-40B4-BE49-F238E27FC236}">
              <a16:creationId xmlns:a16="http://schemas.microsoft.com/office/drawing/2014/main" id="{00000000-0008-0000-1300-00005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2" name="851 CuadroTexto">
          <a:extLst>
            <a:ext uri="{FF2B5EF4-FFF2-40B4-BE49-F238E27FC236}">
              <a16:creationId xmlns:a16="http://schemas.microsoft.com/office/drawing/2014/main" id="{00000000-0008-0000-1300-00005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3" name="852 CuadroTexto">
          <a:extLst>
            <a:ext uri="{FF2B5EF4-FFF2-40B4-BE49-F238E27FC236}">
              <a16:creationId xmlns:a16="http://schemas.microsoft.com/office/drawing/2014/main" id="{00000000-0008-0000-1300-00005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4" name="853 CuadroTexto">
          <a:extLst>
            <a:ext uri="{FF2B5EF4-FFF2-40B4-BE49-F238E27FC236}">
              <a16:creationId xmlns:a16="http://schemas.microsoft.com/office/drawing/2014/main" id="{00000000-0008-0000-1300-00005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5" name="854 CuadroTexto">
          <a:extLst>
            <a:ext uri="{FF2B5EF4-FFF2-40B4-BE49-F238E27FC236}">
              <a16:creationId xmlns:a16="http://schemas.microsoft.com/office/drawing/2014/main" id="{00000000-0008-0000-1300-00005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6" name="855 CuadroTexto">
          <a:extLst>
            <a:ext uri="{FF2B5EF4-FFF2-40B4-BE49-F238E27FC236}">
              <a16:creationId xmlns:a16="http://schemas.microsoft.com/office/drawing/2014/main" id="{00000000-0008-0000-1300-00005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7" name="856 CuadroTexto">
          <a:extLst>
            <a:ext uri="{FF2B5EF4-FFF2-40B4-BE49-F238E27FC236}">
              <a16:creationId xmlns:a16="http://schemas.microsoft.com/office/drawing/2014/main" id="{00000000-0008-0000-1300-00005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8" name="857 CuadroTexto">
          <a:extLst>
            <a:ext uri="{FF2B5EF4-FFF2-40B4-BE49-F238E27FC236}">
              <a16:creationId xmlns:a16="http://schemas.microsoft.com/office/drawing/2014/main" id="{00000000-0008-0000-1300-00005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59" name="858 CuadroTexto">
          <a:extLst>
            <a:ext uri="{FF2B5EF4-FFF2-40B4-BE49-F238E27FC236}">
              <a16:creationId xmlns:a16="http://schemas.microsoft.com/office/drawing/2014/main" id="{00000000-0008-0000-1300-00005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0" name="859 CuadroTexto">
          <a:extLst>
            <a:ext uri="{FF2B5EF4-FFF2-40B4-BE49-F238E27FC236}">
              <a16:creationId xmlns:a16="http://schemas.microsoft.com/office/drawing/2014/main" id="{00000000-0008-0000-1300-00005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1" name="860 CuadroTexto">
          <a:extLst>
            <a:ext uri="{FF2B5EF4-FFF2-40B4-BE49-F238E27FC236}">
              <a16:creationId xmlns:a16="http://schemas.microsoft.com/office/drawing/2014/main" id="{00000000-0008-0000-1300-00005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2" name="861 CuadroTexto">
          <a:extLst>
            <a:ext uri="{FF2B5EF4-FFF2-40B4-BE49-F238E27FC236}">
              <a16:creationId xmlns:a16="http://schemas.microsoft.com/office/drawing/2014/main" id="{00000000-0008-0000-1300-00005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3" name="862 CuadroTexto">
          <a:extLst>
            <a:ext uri="{FF2B5EF4-FFF2-40B4-BE49-F238E27FC236}">
              <a16:creationId xmlns:a16="http://schemas.microsoft.com/office/drawing/2014/main" id="{00000000-0008-0000-1300-00005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4" name="863 CuadroTexto">
          <a:extLst>
            <a:ext uri="{FF2B5EF4-FFF2-40B4-BE49-F238E27FC236}">
              <a16:creationId xmlns:a16="http://schemas.microsoft.com/office/drawing/2014/main" id="{00000000-0008-0000-1300-00006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5" name="864 CuadroTexto">
          <a:extLst>
            <a:ext uri="{FF2B5EF4-FFF2-40B4-BE49-F238E27FC236}">
              <a16:creationId xmlns:a16="http://schemas.microsoft.com/office/drawing/2014/main" id="{00000000-0008-0000-1300-00006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6" name="865 CuadroTexto">
          <a:extLst>
            <a:ext uri="{FF2B5EF4-FFF2-40B4-BE49-F238E27FC236}">
              <a16:creationId xmlns:a16="http://schemas.microsoft.com/office/drawing/2014/main" id="{00000000-0008-0000-1300-00006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7" name="866 CuadroTexto">
          <a:extLst>
            <a:ext uri="{FF2B5EF4-FFF2-40B4-BE49-F238E27FC236}">
              <a16:creationId xmlns:a16="http://schemas.microsoft.com/office/drawing/2014/main" id="{00000000-0008-0000-1300-00006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8" name="867 CuadroTexto">
          <a:extLst>
            <a:ext uri="{FF2B5EF4-FFF2-40B4-BE49-F238E27FC236}">
              <a16:creationId xmlns:a16="http://schemas.microsoft.com/office/drawing/2014/main" id="{00000000-0008-0000-1300-00006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69" name="868 CuadroTexto">
          <a:extLst>
            <a:ext uri="{FF2B5EF4-FFF2-40B4-BE49-F238E27FC236}">
              <a16:creationId xmlns:a16="http://schemas.microsoft.com/office/drawing/2014/main" id="{00000000-0008-0000-1300-00006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0" name="869 CuadroTexto">
          <a:extLst>
            <a:ext uri="{FF2B5EF4-FFF2-40B4-BE49-F238E27FC236}">
              <a16:creationId xmlns:a16="http://schemas.microsoft.com/office/drawing/2014/main" id="{00000000-0008-0000-1300-00006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1" name="870 CuadroTexto">
          <a:extLst>
            <a:ext uri="{FF2B5EF4-FFF2-40B4-BE49-F238E27FC236}">
              <a16:creationId xmlns:a16="http://schemas.microsoft.com/office/drawing/2014/main" id="{00000000-0008-0000-1300-00006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2" name="871 CuadroTexto">
          <a:extLst>
            <a:ext uri="{FF2B5EF4-FFF2-40B4-BE49-F238E27FC236}">
              <a16:creationId xmlns:a16="http://schemas.microsoft.com/office/drawing/2014/main" id="{00000000-0008-0000-1300-00006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3" name="872 CuadroTexto">
          <a:extLst>
            <a:ext uri="{FF2B5EF4-FFF2-40B4-BE49-F238E27FC236}">
              <a16:creationId xmlns:a16="http://schemas.microsoft.com/office/drawing/2014/main" id="{00000000-0008-0000-1300-00006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4" name="873 CuadroTexto">
          <a:extLst>
            <a:ext uri="{FF2B5EF4-FFF2-40B4-BE49-F238E27FC236}">
              <a16:creationId xmlns:a16="http://schemas.microsoft.com/office/drawing/2014/main" id="{00000000-0008-0000-1300-00006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5" name="874 CuadroTexto">
          <a:extLst>
            <a:ext uri="{FF2B5EF4-FFF2-40B4-BE49-F238E27FC236}">
              <a16:creationId xmlns:a16="http://schemas.microsoft.com/office/drawing/2014/main" id="{00000000-0008-0000-1300-00006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6" name="875 CuadroTexto">
          <a:extLst>
            <a:ext uri="{FF2B5EF4-FFF2-40B4-BE49-F238E27FC236}">
              <a16:creationId xmlns:a16="http://schemas.microsoft.com/office/drawing/2014/main" id="{00000000-0008-0000-1300-00006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7" name="876 CuadroTexto">
          <a:extLst>
            <a:ext uri="{FF2B5EF4-FFF2-40B4-BE49-F238E27FC236}">
              <a16:creationId xmlns:a16="http://schemas.microsoft.com/office/drawing/2014/main" id="{00000000-0008-0000-1300-00006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8" name="877 CuadroTexto">
          <a:extLst>
            <a:ext uri="{FF2B5EF4-FFF2-40B4-BE49-F238E27FC236}">
              <a16:creationId xmlns:a16="http://schemas.microsoft.com/office/drawing/2014/main" id="{00000000-0008-0000-1300-00006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79" name="878 CuadroTexto">
          <a:extLst>
            <a:ext uri="{FF2B5EF4-FFF2-40B4-BE49-F238E27FC236}">
              <a16:creationId xmlns:a16="http://schemas.microsoft.com/office/drawing/2014/main" id="{00000000-0008-0000-1300-00006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0" name="879 CuadroTexto">
          <a:extLst>
            <a:ext uri="{FF2B5EF4-FFF2-40B4-BE49-F238E27FC236}">
              <a16:creationId xmlns:a16="http://schemas.microsoft.com/office/drawing/2014/main" id="{00000000-0008-0000-1300-00007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1" name="880 CuadroTexto">
          <a:extLst>
            <a:ext uri="{FF2B5EF4-FFF2-40B4-BE49-F238E27FC236}">
              <a16:creationId xmlns:a16="http://schemas.microsoft.com/office/drawing/2014/main" id="{00000000-0008-0000-1300-00007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2" name="881 CuadroTexto">
          <a:extLst>
            <a:ext uri="{FF2B5EF4-FFF2-40B4-BE49-F238E27FC236}">
              <a16:creationId xmlns:a16="http://schemas.microsoft.com/office/drawing/2014/main" id="{00000000-0008-0000-1300-00007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3" name="882 CuadroTexto">
          <a:extLst>
            <a:ext uri="{FF2B5EF4-FFF2-40B4-BE49-F238E27FC236}">
              <a16:creationId xmlns:a16="http://schemas.microsoft.com/office/drawing/2014/main" id="{00000000-0008-0000-1300-00007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4" name="883 CuadroTexto">
          <a:extLst>
            <a:ext uri="{FF2B5EF4-FFF2-40B4-BE49-F238E27FC236}">
              <a16:creationId xmlns:a16="http://schemas.microsoft.com/office/drawing/2014/main" id="{00000000-0008-0000-1300-00007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5" name="884 CuadroTexto">
          <a:extLst>
            <a:ext uri="{FF2B5EF4-FFF2-40B4-BE49-F238E27FC236}">
              <a16:creationId xmlns:a16="http://schemas.microsoft.com/office/drawing/2014/main" id="{00000000-0008-0000-1300-00007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6" name="885 CuadroTexto">
          <a:extLst>
            <a:ext uri="{FF2B5EF4-FFF2-40B4-BE49-F238E27FC236}">
              <a16:creationId xmlns:a16="http://schemas.microsoft.com/office/drawing/2014/main" id="{00000000-0008-0000-1300-00007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7" name="886 CuadroTexto">
          <a:extLst>
            <a:ext uri="{FF2B5EF4-FFF2-40B4-BE49-F238E27FC236}">
              <a16:creationId xmlns:a16="http://schemas.microsoft.com/office/drawing/2014/main" id="{00000000-0008-0000-1300-00007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8" name="887 CuadroTexto">
          <a:extLst>
            <a:ext uri="{FF2B5EF4-FFF2-40B4-BE49-F238E27FC236}">
              <a16:creationId xmlns:a16="http://schemas.microsoft.com/office/drawing/2014/main" id="{00000000-0008-0000-1300-00007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89" name="888 CuadroTexto">
          <a:extLst>
            <a:ext uri="{FF2B5EF4-FFF2-40B4-BE49-F238E27FC236}">
              <a16:creationId xmlns:a16="http://schemas.microsoft.com/office/drawing/2014/main" id="{00000000-0008-0000-1300-00007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0" name="889 CuadroTexto">
          <a:extLst>
            <a:ext uri="{FF2B5EF4-FFF2-40B4-BE49-F238E27FC236}">
              <a16:creationId xmlns:a16="http://schemas.microsoft.com/office/drawing/2014/main" id="{00000000-0008-0000-1300-00007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1" name="890 CuadroTexto">
          <a:extLst>
            <a:ext uri="{FF2B5EF4-FFF2-40B4-BE49-F238E27FC236}">
              <a16:creationId xmlns:a16="http://schemas.microsoft.com/office/drawing/2014/main" id="{00000000-0008-0000-1300-00007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2" name="891 CuadroTexto">
          <a:extLst>
            <a:ext uri="{FF2B5EF4-FFF2-40B4-BE49-F238E27FC236}">
              <a16:creationId xmlns:a16="http://schemas.microsoft.com/office/drawing/2014/main" id="{00000000-0008-0000-1300-00007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3" name="892 CuadroTexto">
          <a:extLst>
            <a:ext uri="{FF2B5EF4-FFF2-40B4-BE49-F238E27FC236}">
              <a16:creationId xmlns:a16="http://schemas.microsoft.com/office/drawing/2014/main" id="{00000000-0008-0000-1300-00007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4" name="893 CuadroTexto">
          <a:extLst>
            <a:ext uri="{FF2B5EF4-FFF2-40B4-BE49-F238E27FC236}">
              <a16:creationId xmlns:a16="http://schemas.microsoft.com/office/drawing/2014/main" id="{00000000-0008-0000-1300-00007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5" name="894 CuadroTexto">
          <a:extLst>
            <a:ext uri="{FF2B5EF4-FFF2-40B4-BE49-F238E27FC236}">
              <a16:creationId xmlns:a16="http://schemas.microsoft.com/office/drawing/2014/main" id="{00000000-0008-0000-1300-00007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6" name="895 CuadroTexto">
          <a:extLst>
            <a:ext uri="{FF2B5EF4-FFF2-40B4-BE49-F238E27FC236}">
              <a16:creationId xmlns:a16="http://schemas.microsoft.com/office/drawing/2014/main" id="{00000000-0008-0000-1300-00008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7" name="896 CuadroTexto">
          <a:extLst>
            <a:ext uri="{FF2B5EF4-FFF2-40B4-BE49-F238E27FC236}">
              <a16:creationId xmlns:a16="http://schemas.microsoft.com/office/drawing/2014/main" id="{00000000-0008-0000-1300-00008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8" name="897 CuadroTexto">
          <a:extLst>
            <a:ext uri="{FF2B5EF4-FFF2-40B4-BE49-F238E27FC236}">
              <a16:creationId xmlns:a16="http://schemas.microsoft.com/office/drawing/2014/main" id="{00000000-0008-0000-1300-00008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899" name="898 CuadroTexto">
          <a:extLst>
            <a:ext uri="{FF2B5EF4-FFF2-40B4-BE49-F238E27FC236}">
              <a16:creationId xmlns:a16="http://schemas.microsoft.com/office/drawing/2014/main" id="{00000000-0008-0000-1300-00008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0" name="899 CuadroTexto">
          <a:extLst>
            <a:ext uri="{FF2B5EF4-FFF2-40B4-BE49-F238E27FC236}">
              <a16:creationId xmlns:a16="http://schemas.microsoft.com/office/drawing/2014/main" id="{00000000-0008-0000-1300-00008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1" name="900 CuadroTexto">
          <a:extLst>
            <a:ext uri="{FF2B5EF4-FFF2-40B4-BE49-F238E27FC236}">
              <a16:creationId xmlns:a16="http://schemas.microsoft.com/office/drawing/2014/main" id="{00000000-0008-0000-1300-00008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2" name="901 CuadroTexto">
          <a:extLst>
            <a:ext uri="{FF2B5EF4-FFF2-40B4-BE49-F238E27FC236}">
              <a16:creationId xmlns:a16="http://schemas.microsoft.com/office/drawing/2014/main" id="{00000000-0008-0000-1300-00008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3" name="902 CuadroTexto">
          <a:extLst>
            <a:ext uri="{FF2B5EF4-FFF2-40B4-BE49-F238E27FC236}">
              <a16:creationId xmlns:a16="http://schemas.microsoft.com/office/drawing/2014/main" id="{00000000-0008-0000-1300-00008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4" name="903 CuadroTexto">
          <a:extLst>
            <a:ext uri="{FF2B5EF4-FFF2-40B4-BE49-F238E27FC236}">
              <a16:creationId xmlns:a16="http://schemas.microsoft.com/office/drawing/2014/main" id="{00000000-0008-0000-1300-00008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5" name="904 CuadroTexto">
          <a:extLst>
            <a:ext uri="{FF2B5EF4-FFF2-40B4-BE49-F238E27FC236}">
              <a16:creationId xmlns:a16="http://schemas.microsoft.com/office/drawing/2014/main" id="{00000000-0008-0000-1300-00008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6" name="905 CuadroTexto">
          <a:extLst>
            <a:ext uri="{FF2B5EF4-FFF2-40B4-BE49-F238E27FC236}">
              <a16:creationId xmlns:a16="http://schemas.microsoft.com/office/drawing/2014/main" id="{00000000-0008-0000-1300-00008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7" name="906 CuadroTexto">
          <a:extLst>
            <a:ext uri="{FF2B5EF4-FFF2-40B4-BE49-F238E27FC236}">
              <a16:creationId xmlns:a16="http://schemas.microsoft.com/office/drawing/2014/main" id="{00000000-0008-0000-1300-00008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8" name="907 CuadroTexto">
          <a:extLst>
            <a:ext uri="{FF2B5EF4-FFF2-40B4-BE49-F238E27FC236}">
              <a16:creationId xmlns:a16="http://schemas.microsoft.com/office/drawing/2014/main" id="{00000000-0008-0000-1300-00008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09" name="908 CuadroTexto">
          <a:extLst>
            <a:ext uri="{FF2B5EF4-FFF2-40B4-BE49-F238E27FC236}">
              <a16:creationId xmlns:a16="http://schemas.microsoft.com/office/drawing/2014/main" id="{00000000-0008-0000-1300-00008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0" name="909 CuadroTexto">
          <a:extLst>
            <a:ext uri="{FF2B5EF4-FFF2-40B4-BE49-F238E27FC236}">
              <a16:creationId xmlns:a16="http://schemas.microsoft.com/office/drawing/2014/main" id="{00000000-0008-0000-1300-00008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1" name="910 CuadroTexto">
          <a:extLst>
            <a:ext uri="{FF2B5EF4-FFF2-40B4-BE49-F238E27FC236}">
              <a16:creationId xmlns:a16="http://schemas.microsoft.com/office/drawing/2014/main" id="{00000000-0008-0000-1300-00008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2" name="911 CuadroTexto">
          <a:extLst>
            <a:ext uri="{FF2B5EF4-FFF2-40B4-BE49-F238E27FC236}">
              <a16:creationId xmlns:a16="http://schemas.microsoft.com/office/drawing/2014/main" id="{00000000-0008-0000-1300-00009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3" name="912 CuadroTexto">
          <a:extLst>
            <a:ext uri="{FF2B5EF4-FFF2-40B4-BE49-F238E27FC236}">
              <a16:creationId xmlns:a16="http://schemas.microsoft.com/office/drawing/2014/main" id="{00000000-0008-0000-1300-00009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4" name="913 CuadroTexto">
          <a:extLst>
            <a:ext uri="{FF2B5EF4-FFF2-40B4-BE49-F238E27FC236}">
              <a16:creationId xmlns:a16="http://schemas.microsoft.com/office/drawing/2014/main" id="{00000000-0008-0000-1300-00009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5" name="914 CuadroTexto">
          <a:extLst>
            <a:ext uri="{FF2B5EF4-FFF2-40B4-BE49-F238E27FC236}">
              <a16:creationId xmlns:a16="http://schemas.microsoft.com/office/drawing/2014/main" id="{00000000-0008-0000-1300-00009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6" name="915 CuadroTexto">
          <a:extLst>
            <a:ext uri="{FF2B5EF4-FFF2-40B4-BE49-F238E27FC236}">
              <a16:creationId xmlns:a16="http://schemas.microsoft.com/office/drawing/2014/main" id="{00000000-0008-0000-1300-00009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7" name="916 CuadroTexto">
          <a:extLst>
            <a:ext uri="{FF2B5EF4-FFF2-40B4-BE49-F238E27FC236}">
              <a16:creationId xmlns:a16="http://schemas.microsoft.com/office/drawing/2014/main" id="{00000000-0008-0000-1300-00009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8" name="917 CuadroTexto">
          <a:extLst>
            <a:ext uri="{FF2B5EF4-FFF2-40B4-BE49-F238E27FC236}">
              <a16:creationId xmlns:a16="http://schemas.microsoft.com/office/drawing/2014/main" id="{00000000-0008-0000-1300-00009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19" name="918 CuadroTexto">
          <a:extLst>
            <a:ext uri="{FF2B5EF4-FFF2-40B4-BE49-F238E27FC236}">
              <a16:creationId xmlns:a16="http://schemas.microsoft.com/office/drawing/2014/main" id="{00000000-0008-0000-1300-00009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0" name="919 CuadroTexto">
          <a:extLst>
            <a:ext uri="{FF2B5EF4-FFF2-40B4-BE49-F238E27FC236}">
              <a16:creationId xmlns:a16="http://schemas.microsoft.com/office/drawing/2014/main" id="{00000000-0008-0000-1300-00009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1" name="920 CuadroTexto">
          <a:extLst>
            <a:ext uri="{FF2B5EF4-FFF2-40B4-BE49-F238E27FC236}">
              <a16:creationId xmlns:a16="http://schemas.microsoft.com/office/drawing/2014/main" id="{00000000-0008-0000-1300-00009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2" name="921 CuadroTexto">
          <a:extLst>
            <a:ext uri="{FF2B5EF4-FFF2-40B4-BE49-F238E27FC236}">
              <a16:creationId xmlns:a16="http://schemas.microsoft.com/office/drawing/2014/main" id="{00000000-0008-0000-1300-00009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3" name="922 CuadroTexto">
          <a:extLst>
            <a:ext uri="{FF2B5EF4-FFF2-40B4-BE49-F238E27FC236}">
              <a16:creationId xmlns:a16="http://schemas.microsoft.com/office/drawing/2014/main" id="{00000000-0008-0000-1300-00009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4" name="923 CuadroTexto">
          <a:extLst>
            <a:ext uri="{FF2B5EF4-FFF2-40B4-BE49-F238E27FC236}">
              <a16:creationId xmlns:a16="http://schemas.microsoft.com/office/drawing/2014/main" id="{00000000-0008-0000-1300-00009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5" name="924 CuadroTexto">
          <a:extLst>
            <a:ext uri="{FF2B5EF4-FFF2-40B4-BE49-F238E27FC236}">
              <a16:creationId xmlns:a16="http://schemas.microsoft.com/office/drawing/2014/main" id="{00000000-0008-0000-1300-00009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6" name="925 CuadroTexto">
          <a:extLst>
            <a:ext uri="{FF2B5EF4-FFF2-40B4-BE49-F238E27FC236}">
              <a16:creationId xmlns:a16="http://schemas.microsoft.com/office/drawing/2014/main" id="{00000000-0008-0000-1300-00009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7" name="926 CuadroTexto">
          <a:extLst>
            <a:ext uri="{FF2B5EF4-FFF2-40B4-BE49-F238E27FC236}">
              <a16:creationId xmlns:a16="http://schemas.microsoft.com/office/drawing/2014/main" id="{00000000-0008-0000-1300-00009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8" name="927 CuadroTexto">
          <a:extLst>
            <a:ext uri="{FF2B5EF4-FFF2-40B4-BE49-F238E27FC236}">
              <a16:creationId xmlns:a16="http://schemas.microsoft.com/office/drawing/2014/main" id="{00000000-0008-0000-1300-0000A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29" name="928 CuadroTexto">
          <a:extLst>
            <a:ext uri="{FF2B5EF4-FFF2-40B4-BE49-F238E27FC236}">
              <a16:creationId xmlns:a16="http://schemas.microsoft.com/office/drawing/2014/main" id="{00000000-0008-0000-1300-0000A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0" name="929 CuadroTexto">
          <a:extLst>
            <a:ext uri="{FF2B5EF4-FFF2-40B4-BE49-F238E27FC236}">
              <a16:creationId xmlns:a16="http://schemas.microsoft.com/office/drawing/2014/main" id="{00000000-0008-0000-1300-0000A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1" name="930 CuadroTexto">
          <a:extLst>
            <a:ext uri="{FF2B5EF4-FFF2-40B4-BE49-F238E27FC236}">
              <a16:creationId xmlns:a16="http://schemas.microsoft.com/office/drawing/2014/main" id="{00000000-0008-0000-1300-0000A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2" name="931 CuadroTexto">
          <a:extLst>
            <a:ext uri="{FF2B5EF4-FFF2-40B4-BE49-F238E27FC236}">
              <a16:creationId xmlns:a16="http://schemas.microsoft.com/office/drawing/2014/main" id="{00000000-0008-0000-1300-0000A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3" name="932 CuadroTexto">
          <a:extLst>
            <a:ext uri="{FF2B5EF4-FFF2-40B4-BE49-F238E27FC236}">
              <a16:creationId xmlns:a16="http://schemas.microsoft.com/office/drawing/2014/main" id="{00000000-0008-0000-1300-0000A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4" name="933 CuadroTexto">
          <a:extLst>
            <a:ext uri="{FF2B5EF4-FFF2-40B4-BE49-F238E27FC236}">
              <a16:creationId xmlns:a16="http://schemas.microsoft.com/office/drawing/2014/main" id="{00000000-0008-0000-1300-0000A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5" name="934 CuadroTexto">
          <a:extLst>
            <a:ext uri="{FF2B5EF4-FFF2-40B4-BE49-F238E27FC236}">
              <a16:creationId xmlns:a16="http://schemas.microsoft.com/office/drawing/2014/main" id="{00000000-0008-0000-1300-0000A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6" name="935 CuadroTexto">
          <a:extLst>
            <a:ext uri="{FF2B5EF4-FFF2-40B4-BE49-F238E27FC236}">
              <a16:creationId xmlns:a16="http://schemas.microsoft.com/office/drawing/2014/main" id="{00000000-0008-0000-1300-0000A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7" name="936 CuadroTexto">
          <a:extLst>
            <a:ext uri="{FF2B5EF4-FFF2-40B4-BE49-F238E27FC236}">
              <a16:creationId xmlns:a16="http://schemas.microsoft.com/office/drawing/2014/main" id="{00000000-0008-0000-1300-0000A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8" name="937 CuadroTexto">
          <a:extLst>
            <a:ext uri="{FF2B5EF4-FFF2-40B4-BE49-F238E27FC236}">
              <a16:creationId xmlns:a16="http://schemas.microsoft.com/office/drawing/2014/main" id="{00000000-0008-0000-1300-0000A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39" name="938 CuadroTexto">
          <a:extLst>
            <a:ext uri="{FF2B5EF4-FFF2-40B4-BE49-F238E27FC236}">
              <a16:creationId xmlns:a16="http://schemas.microsoft.com/office/drawing/2014/main" id="{00000000-0008-0000-1300-0000A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0" name="939 CuadroTexto">
          <a:extLst>
            <a:ext uri="{FF2B5EF4-FFF2-40B4-BE49-F238E27FC236}">
              <a16:creationId xmlns:a16="http://schemas.microsoft.com/office/drawing/2014/main" id="{00000000-0008-0000-1300-0000A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1" name="940 CuadroTexto">
          <a:extLst>
            <a:ext uri="{FF2B5EF4-FFF2-40B4-BE49-F238E27FC236}">
              <a16:creationId xmlns:a16="http://schemas.microsoft.com/office/drawing/2014/main" id="{00000000-0008-0000-1300-0000A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2" name="941 CuadroTexto">
          <a:extLst>
            <a:ext uri="{FF2B5EF4-FFF2-40B4-BE49-F238E27FC236}">
              <a16:creationId xmlns:a16="http://schemas.microsoft.com/office/drawing/2014/main" id="{00000000-0008-0000-1300-0000A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3" name="942 CuadroTexto">
          <a:extLst>
            <a:ext uri="{FF2B5EF4-FFF2-40B4-BE49-F238E27FC236}">
              <a16:creationId xmlns:a16="http://schemas.microsoft.com/office/drawing/2014/main" id="{00000000-0008-0000-1300-0000A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4" name="943 CuadroTexto">
          <a:extLst>
            <a:ext uri="{FF2B5EF4-FFF2-40B4-BE49-F238E27FC236}">
              <a16:creationId xmlns:a16="http://schemas.microsoft.com/office/drawing/2014/main" id="{00000000-0008-0000-1300-0000B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5" name="944 CuadroTexto">
          <a:extLst>
            <a:ext uri="{FF2B5EF4-FFF2-40B4-BE49-F238E27FC236}">
              <a16:creationId xmlns:a16="http://schemas.microsoft.com/office/drawing/2014/main" id="{00000000-0008-0000-1300-0000B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6" name="945 CuadroTexto">
          <a:extLst>
            <a:ext uri="{FF2B5EF4-FFF2-40B4-BE49-F238E27FC236}">
              <a16:creationId xmlns:a16="http://schemas.microsoft.com/office/drawing/2014/main" id="{00000000-0008-0000-1300-0000B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7" name="946 CuadroTexto">
          <a:extLst>
            <a:ext uri="{FF2B5EF4-FFF2-40B4-BE49-F238E27FC236}">
              <a16:creationId xmlns:a16="http://schemas.microsoft.com/office/drawing/2014/main" id="{00000000-0008-0000-1300-0000B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8" name="947 CuadroTexto">
          <a:extLst>
            <a:ext uri="{FF2B5EF4-FFF2-40B4-BE49-F238E27FC236}">
              <a16:creationId xmlns:a16="http://schemas.microsoft.com/office/drawing/2014/main" id="{00000000-0008-0000-1300-0000B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49" name="948 CuadroTexto">
          <a:extLst>
            <a:ext uri="{FF2B5EF4-FFF2-40B4-BE49-F238E27FC236}">
              <a16:creationId xmlns:a16="http://schemas.microsoft.com/office/drawing/2014/main" id="{00000000-0008-0000-1300-0000B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0" name="949 CuadroTexto">
          <a:extLst>
            <a:ext uri="{FF2B5EF4-FFF2-40B4-BE49-F238E27FC236}">
              <a16:creationId xmlns:a16="http://schemas.microsoft.com/office/drawing/2014/main" id="{00000000-0008-0000-1300-0000B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1" name="950 CuadroTexto">
          <a:extLst>
            <a:ext uri="{FF2B5EF4-FFF2-40B4-BE49-F238E27FC236}">
              <a16:creationId xmlns:a16="http://schemas.microsoft.com/office/drawing/2014/main" id="{00000000-0008-0000-1300-0000B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2" name="951 CuadroTexto">
          <a:extLst>
            <a:ext uri="{FF2B5EF4-FFF2-40B4-BE49-F238E27FC236}">
              <a16:creationId xmlns:a16="http://schemas.microsoft.com/office/drawing/2014/main" id="{00000000-0008-0000-1300-0000B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3" name="952 CuadroTexto">
          <a:extLst>
            <a:ext uri="{FF2B5EF4-FFF2-40B4-BE49-F238E27FC236}">
              <a16:creationId xmlns:a16="http://schemas.microsoft.com/office/drawing/2014/main" id="{00000000-0008-0000-1300-0000B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4" name="953 CuadroTexto">
          <a:extLst>
            <a:ext uri="{FF2B5EF4-FFF2-40B4-BE49-F238E27FC236}">
              <a16:creationId xmlns:a16="http://schemas.microsoft.com/office/drawing/2014/main" id="{00000000-0008-0000-1300-0000B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5" name="954 CuadroTexto">
          <a:extLst>
            <a:ext uri="{FF2B5EF4-FFF2-40B4-BE49-F238E27FC236}">
              <a16:creationId xmlns:a16="http://schemas.microsoft.com/office/drawing/2014/main" id="{00000000-0008-0000-1300-0000B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6" name="955 CuadroTexto">
          <a:extLst>
            <a:ext uri="{FF2B5EF4-FFF2-40B4-BE49-F238E27FC236}">
              <a16:creationId xmlns:a16="http://schemas.microsoft.com/office/drawing/2014/main" id="{00000000-0008-0000-1300-0000B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7" name="956 CuadroTexto">
          <a:extLst>
            <a:ext uri="{FF2B5EF4-FFF2-40B4-BE49-F238E27FC236}">
              <a16:creationId xmlns:a16="http://schemas.microsoft.com/office/drawing/2014/main" id="{00000000-0008-0000-1300-0000B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8" name="957 CuadroTexto">
          <a:extLst>
            <a:ext uri="{FF2B5EF4-FFF2-40B4-BE49-F238E27FC236}">
              <a16:creationId xmlns:a16="http://schemas.microsoft.com/office/drawing/2014/main" id="{00000000-0008-0000-1300-0000B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59" name="958 CuadroTexto">
          <a:extLst>
            <a:ext uri="{FF2B5EF4-FFF2-40B4-BE49-F238E27FC236}">
              <a16:creationId xmlns:a16="http://schemas.microsoft.com/office/drawing/2014/main" id="{00000000-0008-0000-1300-0000B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0" name="959 CuadroTexto">
          <a:extLst>
            <a:ext uri="{FF2B5EF4-FFF2-40B4-BE49-F238E27FC236}">
              <a16:creationId xmlns:a16="http://schemas.microsoft.com/office/drawing/2014/main" id="{00000000-0008-0000-1300-0000C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1" name="960 CuadroTexto">
          <a:extLst>
            <a:ext uri="{FF2B5EF4-FFF2-40B4-BE49-F238E27FC236}">
              <a16:creationId xmlns:a16="http://schemas.microsoft.com/office/drawing/2014/main" id="{00000000-0008-0000-1300-0000C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2" name="961 CuadroTexto">
          <a:extLst>
            <a:ext uri="{FF2B5EF4-FFF2-40B4-BE49-F238E27FC236}">
              <a16:creationId xmlns:a16="http://schemas.microsoft.com/office/drawing/2014/main" id="{00000000-0008-0000-1300-0000C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3" name="962 CuadroTexto">
          <a:extLst>
            <a:ext uri="{FF2B5EF4-FFF2-40B4-BE49-F238E27FC236}">
              <a16:creationId xmlns:a16="http://schemas.microsoft.com/office/drawing/2014/main" id="{00000000-0008-0000-1300-0000C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4" name="963 CuadroTexto">
          <a:extLst>
            <a:ext uri="{FF2B5EF4-FFF2-40B4-BE49-F238E27FC236}">
              <a16:creationId xmlns:a16="http://schemas.microsoft.com/office/drawing/2014/main" id="{00000000-0008-0000-1300-0000C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5" name="964 CuadroTexto">
          <a:extLst>
            <a:ext uri="{FF2B5EF4-FFF2-40B4-BE49-F238E27FC236}">
              <a16:creationId xmlns:a16="http://schemas.microsoft.com/office/drawing/2014/main" id="{00000000-0008-0000-1300-0000C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6" name="965 CuadroTexto">
          <a:extLst>
            <a:ext uri="{FF2B5EF4-FFF2-40B4-BE49-F238E27FC236}">
              <a16:creationId xmlns:a16="http://schemas.microsoft.com/office/drawing/2014/main" id="{00000000-0008-0000-1300-0000C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7" name="966 CuadroTexto">
          <a:extLst>
            <a:ext uri="{FF2B5EF4-FFF2-40B4-BE49-F238E27FC236}">
              <a16:creationId xmlns:a16="http://schemas.microsoft.com/office/drawing/2014/main" id="{00000000-0008-0000-1300-0000C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8" name="967 CuadroTexto">
          <a:extLst>
            <a:ext uri="{FF2B5EF4-FFF2-40B4-BE49-F238E27FC236}">
              <a16:creationId xmlns:a16="http://schemas.microsoft.com/office/drawing/2014/main" id="{00000000-0008-0000-1300-0000C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69" name="968 CuadroTexto">
          <a:extLst>
            <a:ext uri="{FF2B5EF4-FFF2-40B4-BE49-F238E27FC236}">
              <a16:creationId xmlns:a16="http://schemas.microsoft.com/office/drawing/2014/main" id="{00000000-0008-0000-1300-0000C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0" name="969 CuadroTexto">
          <a:extLst>
            <a:ext uri="{FF2B5EF4-FFF2-40B4-BE49-F238E27FC236}">
              <a16:creationId xmlns:a16="http://schemas.microsoft.com/office/drawing/2014/main" id="{00000000-0008-0000-1300-0000C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1" name="970 CuadroTexto">
          <a:extLst>
            <a:ext uri="{FF2B5EF4-FFF2-40B4-BE49-F238E27FC236}">
              <a16:creationId xmlns:a16="http://schemas.microsoft.com/office/drawing/2014/main" id="{00000000-0008-0000-1300-0000C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2" name="971 CuadroTexto">
          <a:extLst>
            <a:ext uri="{FF2B5EF4-FFF2-40B4-BE49-F238E27FC236}">
              <a16:creationId xmlns:a16="http://schemas.microsoft.com/office/drawing/2014/main" id="{00000000-0008-0000-1300-0000C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3" name="972 CuadroTexto">
          <a:extLst>
            <a:ext uri="{FF2B5EF4-FFF2-40B4-BE49-F238E27FC236}">
              <a16:creationId xmlns:a16="http://schemas.microsoft.com/office/drawing/2014/main" id="{00000000-0008-0000-1300-0000C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4" name="973 CuadroTexto">
          <a:extLst>
            <a:ext uri="{FF2B5EF4-FFF2-40B4-BE49-F238E27FC236}">
              <a16:creationId xmlns:a16="http://schemas.microsoft.com/office/drawing/2014/main" id="{00000000-0008-0000-1300-0000C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5" name="974 CuadroTexto">
          <a:extLst>
            <a:ext uri="{FF2B5EF4-FFF2-40B4-BE49-F238E27FC236}">
              <a16:creationId xmlns:a16="http://schemas.microsoft.com/office/drawing/2014/main" id="{00000000-0008-0000-1300-0000C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6" name="975 CuadroTexto">
          <a:extLst>
            <a:ext uri="{FF2B5EF4-FFF2-40B4-BE49-F238E27FC236}">
              <a16:creationId xmlns:a16="http://schemas.microsoft.com/office/drawing/2014/main" id="{00000000-0008-0000-1300-0000D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7" name="976 CuadroTexto">
          <a:extLst>
            <a:ext uri="{FF2B5EF4-FFF2-40B4-BE49-F238E27FC236}">
              <a16:creationId xmlns:a16="http://schemas.microsoft.com/office/drawing/2014/main" id="{00000000-0008-0000-1300-0000D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8" name="977 CuadroTexto">
          <a:extLst>
            <a:ext uri="{FF2B5EF4-FFF2-40B4-BE49-F238E27FC236}">
              <a16:creationId xmlns:a16="http://schemas.microsoft.com/office/drawing/2014/main" id="{00000000-0008-0000-1300-0000D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79" name="978 CuadroTexto">
          <a:extLst>
            <a:ext uri="{FF2B5EF4-FFF2-40B4-BE49-F238E27FC236}">
              <a16:creationId xmlns:a16="http://schemas.microsoft.com/office/drawing/2014/main" id="{00000000-0008-0000-1300-0000D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0" name="979 CuadroTexto">
          <a:extLst>
            <a:ext uri="{FF2B5EF4-FFF2-40B4-BE49-F238E27FC236}">
              <a16:creationId xmlns:a16="http://schemas.microsoft.com/office/drawing/2014/main" id="{00000000-0008-0000-1300-0000D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1" name="980 CuadroTexto">
          <a:extLst>
            <a:ext uri="{FF2B5EF4-FFF2-40B4-BE49-F238E27FC236}">
              <a16:creationId xmlns:a16="http://schemas.microsoft.com/office/drawing/2014/main" id="{00000000-0008-0000-1300-0000D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2" name="981 CuadroTexto">
          <a:extLst>
            <a:ext uri="{FF2B5EF4-FFF2-40B4-BE49-F238E27FC236}">
              <a16:creationId xmlns:a16="http://schemas.microsoft.com/office/drawing/2014/main" id="{00000000-0008-0000-1300-0000D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3" name="982 CuadroTexto">
          <a:extLst>
            <a:ext uri="{FF2B5EF4-FFF2-40B4-BE49-F238E27FC236}">
              <a16:creationId xmlns:a16="http://schemas.microsoft.com/office/drawing/2014/main" id="{00000000-0008-0000-1300-0000D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4" name="983 CuadroTexto">
          <a:extLst>
            <a:ext uri="{FF2B5EF4-FFF2-40B4-BE49-F238E27FC236}">
              <a16:creationId xmlns:a16="http://schemas.microsoft.com/office/drawing/2014/main" id="{00000000-0008-0000-1300-0000D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5" name="984 CuadroTexto">
          <a:extLst>
            <a:ext uri="{FF2B5EF4-FFF2-40B4-BE49-F238E27FC236}">
              <a16:creationId xmlns:a16="http://schemas.microsoft.com/office/drawing/2014/main" id="{00000000-0008-0000-1300-0000D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6" name="985 CuadroTexto">
          <a:extLst>
            <a:ext uri="{FF2B5EF4-FFF2-40B4-BE49-F238E27FC236}">
              <a16:creationId xmlns:a16="http://schemas.microsoft.com/office/drawing/2014/main" id="{00000000-0008-0000-1300-0000D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7" name="986 CuadroTexto">
          <a:extLst>
            <a:ext uri="{FF2B5EF4-FFF2-40B4-BE49-F238E27FC236}">
              <a16:creationId xmlns:a16="http://schemas.microsoft.com/office/drawing/2014/main" id="{00000000-0008-0000-1300-0000D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8" name="987 CuadroTexto">
          <a:extLst>
            <a:ext uri="{FF2B5EF4-FFF2-40B4-BE49-F238E27FC236}">
              <a16:creationId xmlns:a16="http://schemas.microsoft.com/office/drawing/2014/main" id="{00000000-0008-0000-1300-0000D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89" name="988 CuadroTexto">
          <a:extLst>
            <a:ext uri="{FF2B5EF4-FFF2-40B4-BE49-F238E27FC236}">
              <a16:creationId xmlns:a16="http://schemas.microsoft.com/office/drawing/2014/main" id="{00000000-0008-0000-1300-0000D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0" name="989 CuadroTexto">
          <a:extLst>
            <a:ext uri="{FF2B5EF4-FFF2-40B4-BE49-F238E27FC236}">
              <a16:creationId xmlns:a16="http://schemas.microsoft.com/office/drawing/2014/main" id="{00000000-0008-0000-1300-0000D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1" name="990 CuadroTexto">
          <a:extLst>
            <a:ext uri="{FF2B5EF4-FFF2-40B4-BE49-F238E27FC236}">
              <a16:creationId xmlns:a16="http://schemas.microsoft.com/office/drawing/2014/main" id="{00000000-0008-0000-1300-0000D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2" name="991 CuadroTexto">
          <a:extLst>
            <a:ext uri="{FF2B5EF4-FFF2-40B4-BE49-F238E27FC236}">
              <a16:creationId xmlns:a16="http://schemas.microsoft.com/office/drawing/2014/main" id="{00000000-0008-0000-1300-0000E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3" name="992 CuadroTexto">
          <a:extLst>
            <a:ext uri="{FF2B5EF4-FFF2-40B4-BE49-F238E27FC236}">
              <a16:creationId xmlns:a16="http://schemas.microsoft.com/office/drawing/2014/main" id="{00000000-0008-0000-1300-0000E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4" name="993 CuadroTexto">
          <a:extLst>
            <a:ext uri="{FF2B5EF4-FFF2-40B4-BE49-F238E27FC236}">
              <a16:creationId xmlns:a16="http://schemas.microsoft.com/office/drawing/2014/main" id="{00000000-0008-0000-1300-0000E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5" name="994 CuadroTexto">
          <a:extLst>
            <a:ext uri="{FF2B5EF4-FFF2-40B4-BE49-F238E27FC236}">
              <a16:creationId xmlns:a16="http://schemas.microsoft.com/office/drawing/2014/main" id="{00000000-0008-0000-1300-0000E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6" name="995 CuadroTexto">
          <a:extLst>
            <a:ext uri="{FF2B5EF4-FFF2-40B4-BE49-F238E27FC236}">
              <a16:creationId xmlns:a16="http://schemas.microsoft.com/office/drawing/2014/main" id="{00000000-0008-0000-1300-0000E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7" name="996 CuadroTexto">
          <a:extLst>
            <a:ext uri="{FF2B5EF4-FFF2-40B4-BE49-F238E27FC236}">
              <a16:creationId xmlns:a16="http://schemas.microsoft.com/office/drawing/2014/main" id="{00000000-0008-0000-1300-0000E5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8" name="997 CuadroTexto">
          <a:extLst>
            <a:ext uri="{FF2B5EF4-FFF2-40B4-BE49-F238E27FC236}">
              <a16:creationId xmlns:a16="http://schemas.microsoft.com/office/drawing/2014/main" id="{00000000-0008-0000-1300-0000E6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999" name="998 CuadroTexto">
          <a:extLst>
            <a:ext uri="{FF2B5EF4-FFF2-40B4-BE49-F238E27FC236}">
              <a16:creationId xmlns:a16="http://schemas.microsoft.com/office/drawing/2014/main" id="{00000000-0008-0000-1300-0000E7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0" name="999 CuadroTexto">
          <a:extLst>
            <a:ext uri="{FF2B5EF4-FFF2-40B4-BE49-F238E27FC236}">
              <a16:creationId xmlns:a16="http://schemas.microsoft.com/office/drawing/2014/main" id="{00000000-0008-0000-1300-0000E8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1" name="1000 CuadroTexto">
          <a:extLst>
            <a:ext uri="{FF2B5EF4-FFF2-40B4-BE49-F238E27FC236}">
              <a16:creationId xmlns:a16="http://schemas.microsoft.com/office/drawing/2014/main" id="{00000000-0008-0000-1300-0000E9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2" name="1001 CuadroTexto">
          <a:extLst>
            <a:ext uri="{FF2B5EF4-FFF2-40B4-BE49-F238E27FC236}">
              <a16:creationId xmlns:a16="http://schemas.microsoft.com/office/drawing/2014/main" id="{00000000-0008-0000-1300-0000EA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3" name="1002 CuadroTexto">
          <a:extLst>
            <a:ext uri="{FF2B5EF4-FFF2-40B4-BE49-F238E27FC236}">
              <a16:creationId xmlns:a16="http://schemas.microsoft.com/office/drawing/2014/main" id="{00000000-0008-0000-1300-0000EB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4" name="1003 CuadroTexto">
          <a:extLst>
            <a:ext uri="{FF2B5EF4-FFF2-40B4-BE49-F238E27FC236}">
              <a16:creationId xmlns:a16="http://schemas.microsoft.com/office/drawing/2014/main" id="{00000000-0008-0000-1300-0000EC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5" name="1004 CuadroTexto">
          <a:extLst>
            <a:ext uri="{FF2B5EF4-FFF2-40B4-BE49-F238E27FC236}">
              <a16:creationId xmlns:a16="http://schemas.microsoft.com/office/drawing/2014/main" id="{00000000-0008-0000-1300-0000ED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6" name="1005 CuadroTexto">
          <a:extLst>
            <a:ext uri="{FF2B5EF4-FFF2-40B4-BE49-F238E27FC236}">
              <a16:creationId xmlns:a16="http://schemas.microsoft.com/office/drawing/2014/main" id="{00000000-0008-0000-1300-0000EE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7" name="1006 CuadroTexto">
          <a:extLst>
            <a:ext uri="{FF2B5EF4-FFF2-40B4-BE49-F238E27FC236}">
              <a16:creationId xmlns:a16="http://schemas.microsoft.com/office/drawing/2014/main" id="{00000000-0008-0000-1300-0000EF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8" name="1007 CuadroTexto">
          <a:extLst>
            <a:ext uri="{FF2B5EF4-FFF2-40B4-BE49-F238E27FC236}">
              <a16:creationId xmlns:a16="http://schemas.microsoft.com/office/drawing/2014/main" id="{00000000-0008-0000-1300-0000F0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09" name="1008 CuadroTexto">
          <a:extLst>
            <a:ext uri="{FF2B5EF4-FFF2-40B4-BE49-F238E27FC236}">
              <a16:creationId xmlns:a16="http://schemas.microsoft.com/office/drawing/2014/main" id="{00000000-0008-0000-1300-0000F1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10" name="1009 CuadroTexto">
          <a:extLst>
            <a:ext uri="{FF2B5EF4-FFF2-40B4-BE49-F238E27FC236}">
              <a16:creationId xmlns:a16="http://schemas.microsoft.com/office/drawing/2014/main" id="{00000000-0008-0000-1300-0000F2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11" name="1010 CuadroTexto">
          <a:extLst>
            <a:ext uri="{FF2B5EF4-FFF2-40B4-BE49-F238E27FC236}">
              <a16:creationId xmlns:a16="http://schemas.microsoft.com/office/drawing/2014/main" id="{00000000-0008-0000-1300-0000F3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7</xdr:col>
      <xdr:colOff>771525</xdr:colOff>
      <xdr:row>70</xdr:row>
      <xdr:rowOff>0</xdr:rowOff>
    </xdr:from>
    <xdr:ext cx="77782" cy="226766"/>
    <xdr:sp macro="" textlink="">
      <xdr:nvSpPr>
        <xdr:cNvPr id="1012" name="1011 CuadroTexto">
          <a:extLst>
            <a:ext uri="{FF2B5EF4-FFF2-40B4-BE49-F238E27FC236}">
              <a16:creationId xmlns:a16="http://schemas.microsoft.com/office/drawing/2014/main" id="{00000000-0008-0000-1300-0000F4030000}"/>
            </a:ext>
          </a:extLst>
        </xdr:cNvPr>
        <xdr:cNvSpPr txBox="1"/>
      </xdr:nvSpPr>
      <xdr:spPr>
        <a:xfrm>
          <a:off x="8362950" y="13211175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1524000</xdr:colOff>
      <xdr:row>7</xdr:row>
      <xdr:rowOff>0</xdr:rowOff>
    </xdr:from>
    <xdr:ext cx="77782" cy="226766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2105025" y="1409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24</xdr:col>
      <xdr:colOff>1524000</xdr:colOff>
      <xdr:row>7</xdr:row>
      <xdr:rowOff>0</xdr:rowOff>
    </xdr:from>
    <xdr:ext cx="77782" cy="226766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2105025" y="1409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24</xdr:col>
      <xdr:colOff>1524000</xdr:colOff>
      <xdr:row>5</xdr:row>
      <xdr:rowOff>0</xdr:rowOff>
    </xdr:from>
    <xdr:ext cx="77782" cy="226766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2105025" y="1409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  <xdr:oneCellAnchor>
    <xdr:from>
      <xdr:col>24</xdr:col>
      <xdr:colOff>1524000</xdr:colOff>
      <xdr:row>5</xdr:row>
      <xdr:rowOff>0</xdr:rowOff>
    </xdr:from>
    <xdr:ext cx="77782" cy="226766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2105025" y="1409700"/>
          <a:ext cx="77782" cy="2267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CO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ORMATO%20IV%20ESTERILES%20V10\Documents%20and%20Settings\jcrodriguezpa\Mis%20documentos\UNIDOSIS%20MANUAL\FORMATOS%20PARA%20DILIGENCIAR%20MED.%20INTRAVENOSOS%20ESTERIL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AGISTRAL%20HSC%20CC%20016\FORMATO%20DILIGENCIAR%20MED%20VO%20MAGISTRALES%20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 PD 003"/>
      <sheetName val="FR PD 010"/>
      <sheetName val="ESTANDAR"/>
      <sheetName val="BASE CALCULO"/>
      <sheetName val="FR PD 001"/>
      <sheetName val="FR CC 003"/>
      <sheetName val="FR PD 011"/>
      <sheetName val="FR CC 004"/>
      <sheetName val="FR CC 010"/>
      <sheetName val="FR CC 016"/>
      <sheetName val="FR PD 015"/>
      <sheetName val="FR CC 019"/>
      <sheetName val="CAMPAÑA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MPAÑA"/>
      <sheetName val="ESTANDAR"/>
      <sheetName val="FORMATO DIL"/>
      <sheetName val="FR PD 001 V1"/>
      <sheetName val="FR PD 011 V3"/>
      <sheetName val="FR CC 016 V2"/>
      <sheetName val="FRPD011 V2"/>
      <sheetName val="Hoja3"/>
      <sheetName val="FR PD 011"/>
      <sheetName val="ETIQ"/>
      <sheetName val="ETIQHSJ"/>
      <sheetName val="ETIQHSC"/>
      <sheetName val="ETIQ (2)"/>
      <sheetName val="ETIQ  ONCO"/>
      <sheetName val="LOTES"/>
      <sheetName val="FR PD 003"/>
      <sheetName val="FR CC 010"/>
      <sheetName val="FR PD 015"/>
      <sheetName val="FR CC 019"/>
      <sheetName val="DATOS ETIQ"/>
      <sheetName val="FORMATO DILIGENCIAR MED VO MAGI"/>
    </sheetNames>
    <definedNames>
      <definedName name="GenerarOrdenDespach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file:///\\Pcunidalm\TSC%20TTP-247%20IMP%205" TargetMode="External"/><Relationship Id="rId1" Type="http://schemas.openxmlformats.org/officeDocument/2006/relationships/hyperlink" Target="file:///\\10.44.1.22\TSC%20IMP%205" TargetMode="External"/><Relationship Id="rId4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file:///\\10.44.1.22\TSC%20IMP%205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file:///\\10.44.1.22\TSC%20IMP%205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5.emf"/><Relationship Id="rId4" Type="http://schemas.openxmlformats.org/officeDocument/2006/relationships/control" Target="../activeX/activeX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7.emf"/><Relationship Id="rId4" Type="http://schemas.openxmlformats.org/officeDocument/2006/relationships/control" Target="../activeX/activeX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>
    <pageSetUpPr fitToPage="1"/>
  </sheetPr>
  <dimension ref="A1:J663"/>
  <sheetViews>
    <sheetView view="pageBreakPreview" zoomScale="145" zoomScaleSheetLayoutView="145" workbookViewId="0">
      <pane ySplit="3" topLeftCell="A4" activePane="bottomLeft" state="frozen"/>
      <selection pane="bottomLeft" activeCell="A9" sqref="A9:B9"/>
    </sheetView>
  </sheetViews>
  <sheetFormatPr defaultColWidth="11.42578125" defaultRowHeight="14.1" customHeight="1"/>
  <cols>
    <col min="1" max="2" width="16.7109375" style="194" customWidth="1"/>
    <col min="3" max="3" width="2.28515625" style="196" customWidth="1"/>
    <col min="4" max="5" width="16.7109375" style="196" customWidth="1"/>
  </cols>
  <sheetData>
    <row r="1" spans="1:10" ht="14.1" customHeight="1">
      <c r="A1" s="613" t="s">
        <v>361</v>
      </c>
      <c r="B1" s="613"/>
      <c r="C1" s="613"/>
      <c r="D1" s="613"/>
      <c r="E1" s="613"/>
      <c r="G1" s="614" t="s">
        <v>402</v>
      </c>
      <c r="H1" s="191"/>
      <c r="I1" s="191"/>
      <c r="J1" s="614" t="s">
        <v>401</v>
      </c>
    </row>
    <row r="2" spans="1:10" ht="14.1" customHeight="1">
      <c r="A2" s="613"/>
      <c r="B2" s="613"/>
      <c r="C2" s="613"/>
      <c r="D2" s="613"/>
      <c r="E2" s="613"/>
      <c r="G2" s="615"/>
      <c r="H2" s="191"/>
      <c r="I2" s="191"/>
      <c r="J2" s="615"/>
    </row>
    <row r="3" spans="1:10" ht="14.1" customHeight="1" thickBot="1">
      <c r="A3" s="613"/>
      <c r="B3" s="613"/>
      <c r="C3" s="613"/>
      <c r="D3" s="613"/>
      <c r="E3" s="613"/>
      <c r="G3" s="616"/>
      <c r="H3" s="191"/>
      <c r="I3" s="191"/>
      <c r="J3" s="616"/>
    </row>
    <row r="4" spans="1:10" ht="14.1" customHeight="1">
      <c r="A4" s="610" t="e">
        <f>'DATOS ETIQ'!B$2&amp;"  "&amp;'DATOS ETIQ'!C$2&amp;"  "&amp;'DATOS ETIQ'!D$2&amp;'DATOS ETIQ'!Q$2</f>
        <v>#N/A</v>
      </c>
      <c r="B4" s="610"/>
      <c r="C4" s="195"/>
      <c r="D4" s="610" t="e">
        <f t="shared" ref="D4:D22" si="0">A4</f>
        <v>#N/A</v>
      </c>
      <c r="E4" s="610"/>
      <c r="G4" s="192"/>
      <c r="H4" s="193"/>
      <c r="I4" s="193"/>
      <c r="J4" s="192"/>
    </row>
    <row r="5" spans="1:10" ht="14.1" customHeight="1" thickBot="1">
      <c r="A5" s="610" t="e">
        <f>IF('DATOS ETIQ'!P$2=1,"Do: "&amp;'DATOS ETIQ'!F$2&amp;"mg   VolDo: "&amp;'DATOS ETIQ'!G$2&amp;"mL","Dilución 1/"&amp;'DATOS ETIQ'!P$2&amp;"  "&amp;'DATOS ETIQ'!E$2&amp;"mg/mL   Do: "&amp;'DATOS ETIQ'!F$2&amp;"mg   VolDo: "&amp;'DATOS ETIQ'!G$2&amp;"mL")</f>
        <v>#N/A</v>
      </c>
      <c r="B5" s="610"/>
      <c r="C5" s="195"/>
      <c r="D5" s="610" t="e">
        <f t="shared" si="0"/>
        <v>#N/A</v>
      </c>
      <c r="E5" s="610"/>
      <c r="G5" s="192"/>
      <c r="H5" s="193"/>
      <c r="I5" s="193"/>
      <c r="J5" s="192">
        <v>1</v>
      </c>
    </row>
    <row r="6" spans="1:10" ht="14.1" customHeight="1">
      <c r="A6" s="182" t="e">
        <f ca="1">'DATOS ETIQ'!H$2</f>
        <v>#N/A</v>
      </c>
      <c r="B6" s="183" t="str">
        <f>"Lt: "&amp;'DATOS ETIQ'!I$2</f>
        <v>Lt: 0</v>
      </c>
      <c r="D6" s="182" t="e">
        <f t="shared" ca="1" si="0"/>
        <v>#N/A</v>
      </c>
      <c r="E6" s="183" t="str">
        <f>B6</f>
        <v>Lt: 0</v>
      </c>
      <c r="G6" s="611" t="e">
        <f>'FR PD 001 V1'!T6</f>
        <v>#N/A</v>
      </c>
      <c r="J6" s="611">
        <v>1</v>
      </c>
    </row>
    <row r="7" spans="1:10" ht="14.1" customHeight="1" thickBot="1">
      <c r="A7" s="610" t="str">
        <f>'DATOS ETIQ'!J$2&amp;"  "&amp;'DATOS ETIQ'!K$2</f>
        <v xml:space="preserve">  0</v>
      </c>
      <c r="B7" s="610"/>
      <c r="C7" s="195"/>
      <c r="D7" s="610" t="str">
        <f t="shared" si="0"/>
        <v xml:space="preserve">  0</v>
      </c>
      <c r="E7" s="610"/>
      <c r="G7" s="612"/>
      <c r="J7" s="612"/>
    </row>
    <row r="8" spans="1:10" ht="14.1" customHeight="1">
      <c r="A8" s="609" t="str">
        <f>"QFP: "&amp;'DATOS ETIQ'!L$2&amp;"   QFV: "&amp;'DATOS ETIQ'!M$2</f>
        <v>QFP: JGARCIA   QFV: ADELTORO</v>
      </c>
      <c r="B8" s="609"/>
      <c r="D8" s="609" t="str">
        <f t="shared" si="0"/>
        <v>QFP: JGARCIA   QFV: ADELTORO</v>
      </c>
      <c r="E8" s="609"/>
      <c r="J8" s="190"/>
    </row>
    <row r="9" spans="1:10" ht="14.1" customHeight="1">
      <c r="A9" s="609" t="str">
        <f>'DATOS ETIQ'!N$2&amp;"   Cama: "&amp;'DATOS ETIQ'!O$2</f>
        <v>C.JPC/SEXTO NTE/SCOOP   Cama: NA</v>
      </c>
      <c r="B9" s="609"/>
      <c r="D9" s="609" t="str">
        <f t="shared" si="0"/>
        <v>C.JPC/SEXTO NTE/SCOOP   Cama: NA</v>
      </c>
      <c r="E9" s="609"/>
      <c r="J9" s="190"/>
    </row>
    <row r="10" spans="1:10" ht="14.1" customHeight="1">
      <c r="A10" s="609" t="s">
        <v>167</v>
      </c>
      <c r="B10" s="609"/>
      <c r="D10" s="609" t="str">
        <f t="shared" si="0"/>
        <v>UNIDOSSIS S.A.S.</v>
      </c>
      <c r="E10" s="609"/>
      <c r="J10" s="190"/>
    </row>
    <row r="11" spans="1:10" ht="14.1" customHeight="1">
      <c r="D11" s="194"/>
      <c r="E11" s="194"/>
      <c r="J11" s="190"/>
    </row>
    <row r="12" spans="1:10" ht="14.1" customHeight="1">
      <c r="A12" s="610" t="e">
        <f t="shared" ref="A12:A18" si="1">A4</f>
        <v>#N/A</v>
      </c>
      <c r="B12" s="610"/>
      <c r="D12" s="610" t="e">
        <f t="shared" ref="D12:D18" si="2">A12</f>
        <v>#N/A</v>
      </c>
      <c r="E12" s="610"/>
      <c r="J12" s="190"/>
    </row>
    <row r="13" spans="1:10" ht="14.1" customHeight="1">
      <c r="A13" s="610" t="e">
        <f t="shared" si="1"/>
        <v>#N/A</v>
      </c>
      <c r="B13" s="610"/>
      <c r="D13" s="610" t="e">
        <f t="shared" si="2"/>
        <v>#N/A</v>
      </c>
      <c r="E13" s="610"/>
      <c r="J13" s="190"/>
    </row>
    <row r="14" spans="1:10" ht="14.1" customHeight="1">
      <c r="A14" s="182" t="e">
        <f t="shared" ca="1" si="1"/>
        <v>#N/A</v>
      </c>
      <c r="B14" s="183" t="str">
        <f>B6</f>
        <v>Lt: 0</v>
      </c>
      <c r="D14" s="182" t="e">
        <f t="shared" ca="1" si="2"/>
        <v>#N/A</v>
      </c>
      <c r="E14" s="183" t="str">
        <f>B14</f>
        <v>Lt: 0</v>
      </c>
      <c r="J14" s="190"/>
    </row>
    <row r="15" spans="1:10" ht="14.1" customHeight="1">
      <c r="A15" s="610" t="str">
        <f t="shared" si="1"/>
        <v xml:space="preserve">  0</v>
      </c>
      <c r="B15" s="610"/>
      <c r="D15" s="610" t="str">
        <f t="shared" si="2"/>
        <v xml:space="preserve">  0</v>
      </c>
      <c r="E15" s="610"/>
      <c r="J15" s="190"/>
    </row>
    <row r="16" spans="1:10" ht="14.1" customHeight="1">
      <c r="A16" s="609" t="str">
        <f t="shared" si="1"/>
        <v>QFP: JGARCIA   QFV: ADELTORO</v>
      </c>
      <c r="B16" s="609"/>
      <c r="D16" s="609" t="str">
        <f t="shared" si="2"/>
        <v>QFP: JGARCIA   QFV: ADELTORO</v>
      </c>
      <c r="E16" s="609"/>
      <c r="J16" s="190"/>
    </row>
    <row r="17" spans="1:10" ht="14.1" customHeight="1">
      <c r="A17" s="609" t="str">
        <f t="shared" si="1"/>
        <v>C.JPC/SEXTO NTE/SCOOP   Cama: NA</v>
      </c>
      <c r="B17" s="609"/>
      <c r="D17" s="609" t="str">
        <f t="shared" si="2"/>
        <v>C.JPC/SEXTO NTE/SCOOP   Cama: NA</v>
      </c>
      <c r="E17" s="609"/>
      <c r="J17" s="190"/>
    </row>
    <row r="18" spans="1:10" ht="14.1" customHeight="1">
      <c r="A18" s="609" t="str">
        <f t="shared" si="1"/>
        <v>UNIDOSSIS S.A.S.</v>
      </c>
      <c r="B18" s="609"/>
      <c r="D18" s="609" t="str">
        <f t="shared" si="2"/>
        <v>UNIDOSSIS S.A.S.</v>
      </c>
      <c r="E18" s="609"/>
      <c r="J18" s="190"/>
    </row>
    <row r="19" spans="1:10" ht="14.1" customHeight="1">
      <c r="A19" s="610" t="e">
        <f>'DATOS ETIQ'!B$3&amp;"  "&amp;'DATOS ETIQ'!C$3&amp;"  "&amp;'DATOS ETIQ'!D$3&amp;'DATOS ETIQ'!Q$3</f>
        <v>#N/A</v>
      </c>
      <c r="B19" s="610"/>
      <c r="C19" s="195"/>
      <c r="D19" s="610" t="e">
        <f t="shared" si="0"/>
        <v>#N/A</v>
      </c>
      <c r="E19" s="610"/>
      <c r="J19" s="190"/>
    </row>
    <row r="20" spans="1:10" ht="14.1" customHeight="1" thickBot="1">
      <c r="A20" s="610" t="e">
        <f>IF('DATOS ETIQ'!P$3=1,"Do: "&amp;'DATOS ETIQ'!F$3&amp;"mg   VolDo: "&amp;'DATOS ETIQ'!G$3&amp;"mL","Dilución 1/"&amp;'DATOS ETIQ'!P$3&amp;"  "&amp;'DATOS ETIQ'!E$3&amp;"mg/mL   Do: "&amp;'DATOS ETIQ'!F$3&amp;"mg   VolDo: "&amp;'DATOS ETIQ'!G$3&amp;"mL")</f>
        <v>#N/A</v>
      </c>
      <c r="B20" s="610"/>
      <c r="C20" s="195"/>
      <c r="D20" s="610" t="e">
        <f t="shared" si="0"/>
        <v>#N/A</v>
      </c>
      <c r="E20" s="610"/>
      <c r="J20" s="190"/>
    </row>
    <row r="21" spans="1:10" ht="14.1" customHeight="1">
      <c r="A21" s="182" t="e">
        <f ca="1">'DATOS ETIQ'!H$3</f>
        <v>#N/A</v>
      </c>
      <c r="B21" s="183" t="str">
        <f>"Lt: "&amp;'DATOS ETIQ'!I$3</f>
        <v xml:space="preserve">Lt: </v>
      </c>
      <c r="D21" s="182" t="e">
        <f t="shared" ca="1" si="0"/>
        <v>#N/A</v>
      </c>
      <c r="E21" s="183" t="str">
        <f>B21</f>
        <v xml:space="preserve">Lt: </v>
      </c>
      <c r="G21" s="611" t="e">
        <f>'FR PD 001 V1'!T7</f>
        <v>#N/A</v>
      </c>
      <c r="J21" s="611">
        <v>2</v>
      </c>
    </row>
    <row r="22" spans="1:10" ht="14.1" customHeight="1" thickBot="1">
      <c r="A22" s="610" t="str">
        <f>'DATOS ETIQ'!J$3&amp;"  "&amp;'DATOS ETIQ'!K$3</f>
        <v xml:space="preserve">  0</v>
      </c>
      <c r="B22" s="610"/>
      <c r="C22" s="195"/>
      <c r="D22" s="610" t="str">
        <f t="shared" si="0"/>
        <v xml:space="preserve">  0</v>
      </c>
      <c r="E22" s="610"/>
      <c r="G22" s="612"/>
      <c r="J22" s="612"/>
    </row>
    <row r="23" spans="1:10" ht="14.1" customHeight="1">
      <c r="A23" s="609" t="str">
        <f>"QFP: "&amp;'DATOS ETIQ'!L$3&amp;"   QFV: "&amp;'DATOS ETIQ'!M$3</f>
        <v>QFP: JGARCIA   QFV: ADELTORO</v>
      </c>
      <c r="B23" s="609"/>
      <c r="D23" s="609" t="str">
        <f>A23</f>
        <v>QFP: JGARCIA   QFV: ADELTORO</v>
      </c>
      <c r="E23" s="609"/>
      <c r="J23" s="190"/>
    </row>
    <row r="24" spans="1:10" ht="14.1" customHeight="1">
      <c r="A24" s="609" t="str">
        <f>'DATOS ETIQ'!N$3&amp;"   Cama: "&amp;'DATOS ETIQ'!O$3</f>
        <v>C.JPC/SEXTO NTE/SCOOP   Cama: NA</v>
      </c>
      <c r="B24" s="609"/>
      <c r="D24" s="609" t="str">
        <f t="shared" ref="D24:D159" si="3">A24</f>
        <v>C.JPC/SEXTO NTE/SCOOP   Cama: NA</v>
      </c>
      <c r="E24" s="609"/>
      <c r="J24" s="190"/>
    </row>
    <row r="25" spans="1:10" ht="14.1" customHeight="1">
      <c r="A25" s="609" t="s">
        <v>167</v>
      </c>
      <c r="B25" s="609"/>
      <c r="D25" s="609" t="str">
        <f t="shared" si="3"/>
        <v>UNIDOSSIS S.A.S.</v>
      </c>
      <c r="E25" s="609"/>
      <c r="J25" s="190"/>
    </row>
    <row r="26" spans="1:10" ht="14.1" customHeight="1">
      <c r="D26" s="194"/>
      <c r="E26" s="194"/>
      <c r="J26" s="190"/>
    </row>
    <row r="27" spans="1:10" ht="14.1" customHeight="1">
      <c r="A27" s="610" t="e">
        <f t="shared" ref="A27:A33" si="4">A19</f>
        <v>#N/A</v>
      </c>
      <c r="B27" s="610"/>
      <c r="D27" s="610" t="e">
        <f t="shared" si="3"/>
        <v>#N/A</v>
      </c>
      <c r="E27" s="610"/>
      <c r="J27" s="190"/>
    </row>
    <row r="28" spans="1:10" ht="14.1" customHeight="1">
      <c r="A28" s="610" t="e">
        <f t="shared" si="4"/>
        <v>#N/A</v>
      </c>
      <c r="B28" s="610"/>
      <c r="D28" s="610" t="e">
        <f t="shared" si="3"/>
        <v>#N/A</v>
      </c>
      <c r="E28" s="610"/>
      <c r="J28" s="190"/>
    </row>
    <row r="29" spans="1:10" ht="14.1" customHeight="1">
      <c r="A29" s="182" t="e">
        <f t="shared" ca="1" si="4"/>
        <v>#N/A</v>
      </c>
      <c r="B29" s="183" t="str">
        <f>B21</f>
        <v xml:space="preserve">Lt: </v>
      </c>
      <c r="D29" s="182" t="e">
        <f t="shared" ca="1" si="3"/>
        <v>#N/A</v>
      </c>
      <c r="E29" s="183" t="str">
        <f>B29</f>
        <v xml:space="preserve">Lt: </v>
      </c>
      <c r="J29" s="190"/>
    </row>
    <row r="30" spans="1:10" ht="14.1" customHeight="1">
      <c r="A30" s="610" t="str">
        <f t="shared" si="4"/>
        <v xml:space="preserve">  0</v>
      </c>
      <c r="B30" s="610"/>
      <c r="D30" s="610" t="str">
        <f t="shared" si="3"/>
        <v xml:space="preserve">  0</v>
      </c>
      <c r="E30" s="610"/>
      <c r="J30" s="190"/>
    </row>
    <row r="31" spans="1:10" ht="14.1" customHeight="1">
      <c r="A31" s="609" t="str">
        <f t="shared" si="4"/>
        <v>QFP: JGARCIA   QFV: ADELTORO</v>
      </c>
      <c r="B31" s="609"/>
      <c r="D31" s="609" t="str">
        <f t="shared" si="3"/>
        <v>QFP: JGARCIA   QFV: ADELTORO</v>
      </c>
      <c r="E31" s="609"/>
      <c r="J31" s="190"/>
    </row>
    <row r="32" spans="1:10" ht="14.1" customHeight="1">
      <c r="A32" s="609" t="str">
        <f t="shared" si="4"/>
        <v>C.JPC/SEXTO NTE/SCOOP   Cama: NA</v>
      </c>
      <c r="B32" s="609"/>
      <c r="D32" s="609" t="str">
        <f t="shared" si="3"/>
        <v>C.JPC/SEXTO NTE/SCOOP   Cama: NA</v>
      </c>
      <c r="E32" s="609"/>
      <c r="J32" s="190"/>
    </row>
    <row r="33" spans="1:10" ht="14.1" customHeight="1">
      <c r="A33" s="609" t="str">
        <f t="shared" si="4"/>
        <v>UNIDOSSIS S.A.S.</v>
      </c>
      <c r="B33" s="609"/>
      <c r="D33" s="609" t="str">
        <f t="shared" si="3"/>
        <v>UNIDOSSIS S.A.S.</v>
      </c>
      <c r="E33" s="609"/>
      <c r="J33" s="190"/>
    </row>
    <row r="34" spans="1:10" ht="14.1" customHeight="1">
      <c r="A34" s="610" t="e">
        <f>'DATOS ETIQ'!B$4&amp;"  "&amp;'DATOS ETIQ'!C$4&amp;"  "&amp;'DATOS ETIQ'!D$4&amp;'DATOS ETIQ'!Q$4</f>
        <v>#N/A</v>
      </c>
      <c r="B34" s="610"/>
      <c r="C34" s="195"/>
      <c r="D34" s="610" t="e">
        <f t="shared" si="3"/>
        <v>#N/A</v>
      </c>
      <c r="E34" s="610"/>
      <c r="J34" s="190"/>
    </row>
    <row r="35" spans="1:10" ht="14.1" customHeight="1" thickBot="1">
      <c r="A35" s="610" t="e">
        <f>IF('DATOS ETIQ'!P$4=1,"Do: "&amp;'DATOS ETIQ'!F$4&amp;"mg   VolDo: "&amp;'DATOS ETIQ'!G$4&amp;"mL","Dilución 1/"&amp;'DATOS ETIQ'!P$4&amp;"  "&amp;'DATOS ETIQ'!E$4&amp;"mg/mL   Do: "&amp;'DATOS ETIQ'!F$4&amp;"mg   VolDo: "&amp;'DATOS ETIQ'!G$4&amp;"mL")</f>
        <v>#N/A</v>
      </c>
      <c r="B35" s="610"/>
      <c r="C35" s="195"/>
      <c r="D35" s="610" t="e">
        <f t="shared" si="3"/>
        <v>#N/A</v>
      </c>
      <c r="E35" s="610"/>
      <c r="J35" s="190"/>
    </row>
    <row r="36" spans="1:10" ht="14.1" customHeight="1">
      <c r="A36" s="182" t="e">
        <f ca="1">'DATOS ETIQ'!H$4</f>
        <v>#N/A</v>
      </c>
      <c r="B36" s="183" t="str">
        <f>"Lt: "&amp;'DATOS ETIQ'!I$4</f>
        <v xml:space="preserve">Lt: </v>
      </c>
      <c r="D36" s="182" t="e">
        <f t="shared" ca="1" si="3"/>
        <v>#N/A</v>
      </c>
      <c r="E36" s="183" t="str">
        <f>B36</f>
        <v xml:space="preserve">Lt: </v>
      </c>
      <c r="G36" s="611" t="e">
        <f>'FR PD 001 V1'!T8</f>
        <v>#N/A</v>
      </c>
      <c r="J36" s="611">
        <v>3</v>
      </c>
    </row>
    <row r="37" spans="1:10" ht="14.1" customHeight="1" thickBot="1">
      <c r="A37" s="610" t="str">
        <f>'DATOS ETIQ'!J$4&amp;"  "&amp;'DATOS ETIQ'!K$4</f>
        <v xml:space="preserve">  0</v>
      </c>
      <c r="B37" s="610"/>
      <c r="C37" s="195"/>
      <c r="D37" s="610" t="str">
        <f t="shared" si="3"/>
        <v xml:space="preserve">  0</v>
      </c>
      <c r="E37" s="610"/>
      <c r="G37" s="612"/>
      <c r="J37" s="612"/>
    </row>
    <row r="38" spans="1:10" ht="14.1" customHeight="1">
      <c r="A38" s="609" t="str">
        <f>"QFP: "&amp;'DATOS ETIQ'!L$4&amp;"   QFV: "&amp;'DATOS ETIQ'!M$4</f>
        <v>QFP: JGARCIA   QFV: ADELTORO</v>
      </c>
      <c r="B38" s="609"/>
      <c r="D38" s="609" t="str">
        <f t="shared" si="3"/>
        <v>QFP: JGARCIA   QFV: ADELTORO</v>
      </c>
      <c r="E38" s="609"/>
      <c r="J38" s="190"/>
    </row>
    <row r="39" spans="1:10" ht="14.1" customHeight="1">
      <c r="A39" s="609" t="str">
        <f>'DATOS ETIQ'!N$4&amp;"   Cama: "&amp;'DATOS ETIQ'!O$4</f>
        <v>C.JPC/SEXTO NTE/SCOOP   Cama: NA</v>
      </c>
      <c r="B39" s="609"/>
      <c r="D39" s="609" t="str">
        <f t="shared" si="3"/>
        <v>C.JPC/SEXTO NTE/SCOOP   Cama: NA</v>
      </c>
      <c r="E39" s="609"/>
      <c r="J39" s="190"/>
    </row>
    <row r="40" spans="1:10" ht="14.1" customHeight="1">
      <c r="A40" s="609" t="s">
        <v>167</v>
      </c>
      <c r="B40" s="609"/>
      <c r="D40" s="609" t="str">
        <f t="shared" si="3"/>
        <v>UNIDOSSIS S.A.S.</v>
      </c>
      <c r="E40" s="609"/>
      <c r="J40" s="190"/>
    </row>
    <row r="41" spans="1:10" ht="14.1" customHeight="1">
      <c r="D41" s="194"/>
      <c r="E41" s="194"/>
      <c r="J41" s="190"/>
    </row>
    <row r="42" spans="1:10" ht="14.1" customHeight="1">
      <c r="A42" s="610" t="e">
        <f t="shared" ref="A42:A48" si="5">A34</f>
        <v>#N/A</v>
      </c>
      <c r="B42" s="610"/>
      <c r="D42" s="610" t="e">
        <f t="shared" si="3"/>
        <v>#N/A</v>
      </c>
      <c r="E42" s="610"/>
      <c r="J42" s="190"/>
    </row>
    <row r="43" spans="1:10" ht="14.1" customHeight="1">
      <c r="A43" s="610" t="e">
        <f t="shared" si="5"/>
        <v>#N/A</v>
      </c>
      <c r="B43" s="610"/>
      <c r="D43" s="610" t="e">
        <f t="shared" si="3"/>
        <v>#N/A</v>
      </c>
      <c r="E43" s="610"/>
      <c r="J43" s="190"/>
    </row>
    <row r="44" spans="1:10" ht="14.1" customHeight="1">
      <c r="A44" s="182" t="e">
        <f t="shared" ca="1" si="5"/>
        <v>#N/A</v>
      </c>
      <c r="B44" s="183" t="str">
        <f>B36</f>
        <v xml:space="preserve">Lt: </v>
      </c>
      <c r="D44" s="182" t="e">
        <f t="shared" ca="1" si="3"/>
        <v>#N/A</v>
      </c>
      <c r="E44" s="183" t="str">
        <f>B44</f>
        <v xml:space="preserve">Lt: </v>
      </c>
      <c r="J44" s="190"/>
    </row>
    <row r="45" spans="1:10" ht="14.1" customHeight="1">
      <c r="A45" s="610" t="str">
        <f t="shared" si="5"/>
        <v xml:space="preserve">  0</v>
      </c>
      <c r="B45" s="610"/>
      <c r="D45" s="610" t="str">
        <f t="shared" si="3"/>
        <v xml:space="preserve">  0</v>
      </c>
      <c r="E45" s="610"/>
      <c r="J45" s="190"/>
    </row>
    <row r="46" spans="1:10" ht="14.1" customHeight="1">
      <c r="A46" s="609" t="str">
        <f t="shared" si="5"/>
        <v>QFP: JGARCIA   QFV: ADELTORO</v>
      </c>
      <c r="B46" s="609"/>
      <c r="D46" s="609" t="str">
        <f t="shared" si="3"/>
        <v>QFP: JGARCIA   QFV: ADELTORO</v>
      </c>
      <c r="E46" s="609"/>
      <c r="J46" s="190"/>
    </row>
    <row r="47" spans="1:10" ht="14.1" customHeight="1">
      <c r="A47" s="609" t="str">
        <f t="shared" si="5"/>
        <v>C.JPC/SEXTO NTE/SCOOP   Cama: NA</v>
      </c>
      <c r="B47" s="609"/>
      <c r="D47" s="609" t="str">
        <f t="shared" si="3"/>
        <v>C.JPC/SEXTO NTE/SCOOP   Cama: NA</v>
      </c>
      <c r="E47" s="609"/>
      <c r="J47" s="190"/>
    </row>
    <row r="48" spans="1:10" ht="14.1" customHeight="1">
      <c r="A48" s="609" t="str">
        <f t="shared" si="5"/>
        <v>UNIDOSSIS S.A.S.</v>
      </c>
      <c r="B48" s="609"/>
      <c r="D48" s="609" t="str">
        <f t="shared" si="3"/>
        <v>UNIDOSSIS S.A.S.</v>
      </c>
      <c r="E48" s="609"/>
      <c r="J48" s="190"/>
    </row>
    <row r="49" spans="1:10" ht="14.1" customHeight="1">
      <c r="A49" s="610" t="e">
        <f>'DATOS ETIQ'!B$5&amp;"  "&amp;'DATOS ETIQ'!C$5&amp;"  "&amp;'DATOS ETIQ'!D$5&amp;'DATOS ETIQ'!Q$5</f>
        <v>#N/A</v>
      </c>
      <c r="B49" s="610"/>
      <c r="C49" s="195"/>
      <c r="D49" s="610" t="e">
        <f t="shared" si="3"/>
        <v>#N/A</v>
      </c>
      <c r="E49" s="610"/>
      <c r="J49" s="190"/>
    </row>
    <row r="50" spans="1:10" ht="14.1" customHeight="1" thickBot="1">
      <c r="A50" s="610" t="e">
        <f>IF('DATOS ETIQ'!P$5=1,"Do: "&amp;'DATOS ETIQ'!F$5&amp;"mg   VolDo: "&amp;'DATOS ETIQ'!G$5&amp;"mL","Dilución 1/"&amp;'DATOS ETIQ'!P$5&amp;"  "&amp;'DATOS ETIQ'!E$5&amp;"mg/mL   Do: "&amp;'DATOS ETIQ'!F$5&amp;"mg   VolDo: "&amp;'DATOS ETIQ'!G$5&amp;"mL")</f>
        <v>#N/A</v>
      </c>
      <c r="B50" s="610"/>
      <c r="C50" s="195"/>
      <c r="D50" s="610" t="e">
        <f t="shared" si="3"/>
        <v>#N/A</v>
      </c>
      <c r="E50" s="610"/>
      <c r="J50" s="190"/>
    </row>
    <row r="51" spans="1:10" ht="14.1" customHeight="1">
      <c r="A51" s="182" t="e">
        <f ca="1">'DATOS ETIQ'!H$5</f>
        <v>#N/A</v>
      </c>
      <c r="B51" s="183" t="str">
        <f>"Lt: "&amp;'DATOS ETIQ'!I$5</f>
        <v xml:space="preserve">Lt: </v>
      </c>
      <c r="D51" s="182" t="e">
        <f t="shared" ca="1" si="3"/>
        <v>#N/A</v>
      </c>
      <c r="E51" s="183" t="str">
        <f>B51</f>
        <v xml:space="preserve">Lt: </v>
      </c>
      <c r="G51" s="611" t="e">
        <f>'FR PD 001 V1'!T9</f>
        <v>#N/A</v>
      </c>
      <c r="J51" s="611">
        <v>4</v>
      </c>
    </row>
    <row r="52" spans="1:10" ht="14.1" customHeight="1" thickBot="1">
      <c r="A52" s="610" t="str">
        <f>'DATOS ETIQ'!J$5&amp;"  "&amp;'DATOS ETIQ'!K$5</f>
        <v xml:space="preserve">  0</v>
      </c>
      <c r="B52" s="610"/>
      <c r="C52" s="195"/>
      <c r="D52" s="610" t="str">
        <f t="shared" si="3"/>
        <v xml:space="preserve">  0</v>
      </c>
      <c r="E52" s="610"/>
      <c r="G52" s="612"/>
      <c r="J52" s="612"/>
    </row>
    <row r="53" spans="1:10" ht="14.1" customHeight="1">
      <c r="A53" s="609" t="str">
        <f>"QFP: "&amp;'DATOS ETIQ'!L$5&amp;"   QFV: "&amp;'DATOS ETIQ'!M$5</f>
        <v>QFP: JGARCIA   QFV: ADELTORO</v>
      </c>
      <c r="B53" s="609"/>
      <c r="D53" s="609" t="str">
        <f t="shared" si="3"/>
        <v>QFP: JGARCIA   QFV: ADELTORO</v>
      </c>
      <c r="E53" s="609"/>
      <c r="J53" s="190"/>
    </row>
    <row r="54" spans="1:10" ht="14.1" customHeight="1">
      <c r="A54" s="609" t="str">
        <f>'DATOS ETIQ'!N$5&amp;"   Cama: "&amp;'DATOS ETIQ'!O$5</f>
        <v>C.JPC/SEXTO NTE/SCOOP   Cama: NA</v>
      </c>
      <c r="B54" s="609"/>
      <c r="D54" s="609" t="str">
        <f t="shared" si="3"/>
        <v>C.JPC/SEXTO NTE/SCOOP   Cama: NA</v>
      </c>
      <c r="E54" s="609"/>
      <c r="J54" s="190"/>
    </row>
    <row r="55" spans="1:10" ht="14.1" customHeight="1">
      <c r="A55" s="609" t="s">
        <v>167</v>
      </c>
      <c r="B55" s="609"/>
      <c r="D55" s="609" t="str">
        <f t="shared" si="3"/>
        <v>UNIDOSSIS S.A.S.</v>
      </c>
      <c r="E55" s="609"/>
      <c r="J55" s="190"/>
    </row>
    <row r="56" spans="1:10" ht="14.1" customHeight="1">
      <c r="D56" s="194"/>
      <c r="E56" s="194"/>
      <c r="J56" s="190"/>
    </row>
    <row r="57" spans="1:10" ht="14.1" customHeight="1">
      <c r="A57" s="610" t="e">
        <f t="shared" ref="A57:A63" si="6">A49</f>
        <v>#N/A</v>
      </c>
      <c r="B57" s="610"/>
      <c r="D57" s="610" t="e">
        <f t="shared" si="3"/>
        <v>#N/A</v>
      </c>
      <c r="E57" s="610"/>
      <c r="J57" s="190"/>
    </row>
    <row r="58" spans="1:10" ht="14.1" customHeight="1">
      <c r="A58" s="610" t="e">
        <f t="shared" si="6"/>
        <v>#N/A</v>
      </c>
      <c r="B58" s="610"/>
      <c r="D58" s="610" t="e">
        <f t="shared" si="3"/>
        <v>#N/A</v>
      </c>
      <c r="E58" s="610"/>
      <c r="J58" s="190"/>
    </row>
    <row r="59" spans="1:10" ht="14.1" customHeight="1">
      <c r="A59" s="182" t="e">
        <f t="shared" ca="1" si="6"/>
        <v>#N/A</v>
      </c>
      <c r="B59" s="183" t="str">
        <f>B51</f>
        <v xml:space="preserve">Lt: </v>
      </c>
      <c r="D59" s="182" t="e">
        <f t="shared" ca="1" si="3"/>
        <v>#N/A</v>
      </c>
      <c r="E59" s="183" t="str">
        <f>B59</f>
        <v xml:space="preserve">Lt: </v>
      </c>
      <c r="J59" s="190"/>
    </row>
    <row r="60" spans="1:10" ht="14.1" customHeight="1">
      <c r="A60" s="610" t="str">
        <f t="shared" si="6"/>
        <v xml:space="preserve">  0</v>
      </c>
      <c r="B60" s="610"/>
      <c r="D60" s="610" t="str">
        <f t="shared" si="3"/>
        <v xml:space="preserve">  0</v>
      </c>
      <c r="E60" s="610"/>
      <c r="J60" s="190"/>
    </row>
    <row r="61" spans="1:10" ht="14.1" customHeight="1">
      <c r="A61" s="609" t="str">
        <f t="shared" si="6"/>
        <v>QFP: JGARCIA   QFV: ADELTORO</v>
      </c>
      <c r="B61" s="609"/>
      <c r="D61" s="609" t="str">
        <f t="shared" si="3"/>
        <v>QFP: JGARCIA   QFV: ADELTORO</v>
      </c>
      <c r="E61" s="609"/>
      <c r="J61" s="190"/>
    </row>
    <row r="62" spans="1:10" ht="14.1" customHeight="1">
      <c r="A62" s="609" t="str">
        <f t="shared" si="6"/>
        <v>C.JPC/SEXTO NTE/SCOOP   Cama: NA</v>
      </c>
      <c r="B62" s="609"/>
      <c r="D62" s="609" t="str">
        <f t="shared" si="3"/>
        <v>C.JPC/SEXTO NTE/SCOOP   Cama: NA</v>
      </c>
      <c r="E62" s="609"/>
      <c r="J62" s="190"/>
    </row>
    <row r="63" spans="1:10" ht="14.1" customHeight="1">
      <c r="A63" s="609" t="str">
        <f t="shared" si="6"/>
        <v>UNIDOSSIS S.A.S.</v>
      </c>
      <c r="B63" s="609"/>
      <c r="D63" s="609" t="str">
        <f t="shared" si="3"/>
        <v>UNIDOSSIS S.A.S.</v>
      </c>
      <c r="E63" s="609"/>
      <c r="J63" s="190"/>
    </row>
    <row r="64" spans="1:10" ht="14.1" customHeight="1">
      <c r="A64" s="610" t="e">
        <f>'DATOS ETIQ'!B$6&amp;"  "&amp;'DATOS ETIQ'!C$6&amp;"  "&amp;'DATOS ETIQ'!D$6&amp;'DATOS ETIQ'!Q$6</f>
        <v>#N/A</v>
      </c>
      <c r="B64" s="610"/>
      <c r="C64" s="195"/>
      <c r="D64" s="610" t="e">
        <f t="shared" si="3"/>
        <v>#N/A</v>
      </c>
      <c r="E64" s="610"/>
      <c r="J64" s="190"/>
    </row>
    <row r="65" spans="1:10" ht="14.1" customHeight="1" thickBot="1">
      <c r="A65" s="610" t="e">
        <f>IF('DATOS ETIQ'!P$6=1,"Do: "&amp;'DATOS ETIQ'!F$6&amp;"mg   VolDo: "&amp;'DATOS ETIQ'!G$6&amp;"mL","Dilución 1/"&amp;'DATOS ETIQ'!P$6&amp;"  "&amp;'DATOS ETIQ'!E$6&amp;"mg/mL   Do: "&amp;'DATOS ETIQ'!F$6&amp;"mg   VolDo: "&amp;'DATOS ETIQ'!G$6&amp;"mL")</f>
        <v>#N/A</v>
      </c>
      <c r="B65" s="610"/>
      <c r="C65" s="195"/>
      <c r="D65" s="610" t="e">
        <f t="shared" si="3"/>
        <v>#N/A</v>
      </c>
      <c r="E65" s="610"/>
      <c r="J65" s="190"/>
    </row>
    <row r="66" spans="1:10" ht="14.1" customHeight="1">
      <c r="A66" s="182" t="e">
        <f ca="1">'DATOS ETIQ'!H$6</f>
        <v>#N/A</v>
      </c>
      <c r="B66" s="183" t="str">
        <f>"Lt: "&amp;'DATOS ETIQ'!I$6</f>
        <v xml:space="preserve">Lt: </v>
      </c>
      <c r="D66" s="182" t="e">
        <f t="shared" ca="1" si="3"/>
        <v>#N/A</v>
      </c>
      <c r="E66" s="183" t="str">
        <f>B66</f>
        <v xml:space="preserve">Lt: </v>
      </c>
      <c r="G66" s="611" t="e">
        <f>'FR PD 001 V1'!T10</f>
        <v>#N/A</v>
      </c>
      <c r="J66" s="611">
        <v>5</v>
      </c>
    </row>
    <row r="67" spans="1:10" ht="14.1" customHeight="1" thickBot="1">
      <c r="A67" s="610" t="str">
        <f>'DATOS ETIQ'!J$6&amp;"  "&amp;'DATOS ETIQ'!K$6</f>
        <v xml:space="preserve">  0</v>
      </c>
      <c r="B67" s="610"/>
      <c r="C67" s="195"/>
      <c r="D67" s="610" t="str">
        <f t="shared" si="3"/>
        <v xml:space="preserve">  0</v>
      </c>
      <c r="E67" s="610"/>
      <c r="G67" s="612"/>
      <c r="J67" s="612"/>
    </row>
    <row r="68" spans="1:10" ht="14.1" customHeight="1">
      <c r="A68" s="609" t="str">
        <f>"QFP: "&amp;'DATOS ETIQ'!L$6&amp;"   QFV: "&amp;'DATOS ETIQ'!M$6</f>
        <v>QFP: JGARCIA   QFV: ADELTORO</v>
      </c>
      <c r="B68" s="609"/>
      <c r="D68" s="609" t="str">
        <f t="shared" si="3"/>
        <v>QFP: JGARCIA   QFV: ADELTORO</v>
      </c>
      <c r="E68" s="609"/>
      <c r="J68" s="190"/>
    </row>
    <row r="69" spans="1:10" ht="14.1" customHeight="1">
      <c r="A69" s="609" t="str">
        <f>'DATOS ETIQ'!N$6&amp;"   Cama: "&amp;'DATOS ETIQ'!O$6</f>
        <v>C.JPC/SEXTO NTE/SCOOP   Cama: NA</v>
      </c>
      <c r="B69" s="609"/>
      <c r="D69" s="609" t="str">
        <f t="shared" si="3"/>
        <v>C.JPC/SEXTO NTE/SCOOP   Cama: NA</v>
      </c>
      <c r="E69" s="609"/>
      <c r="J69" s="190"/>
    </row>
    <row r="70" spans="1:10" ht="14.1" customHeight="1">
      <c r="A70" s="609" t="s">
        <v>167</v>
      </c>
      <c r="B70" s="609"/>
      <c r="D70" s="609" t="str">
        <f t="shared" si="3"/>
        <v>UNIDOSSIS S.A.S.</v>
      </c>
      <c r="E70" s="609"/>
      <c r="J70" s="190"/>
    </row>
    <row r="71" spans="1:10" ht="14.1" customHeight="1">
      <c r="D71" s="194"/>
      <c r="E71" s="194"/>
      <c r="J71" s="190"/>
    </row>
    <row r="72" spans="1:10" ht="14.1" customHeight="1">
      <c r="A72" s="610" t="e">
        <f t="shared" ref="A72:A78" si="7">A64</f>
        <v>#N/A</v>
      </c>
      <c r="B72" s="610"/>
      <c r="D72" s="610" t="e">
        <f t="shared" si="3"/>
        <v>#N/A</v>
      </c>
      <c r="E72" s="610"/>
      <c r="J72" s="190"/>
    </row>
    <row r="73" spans="1:10" ht="14.1" customHeight="1">
      <c r="A73" s="610" t="e">
        <f t="shared" si="7"/>
        <v>#N/A</v>
      </c>
      <c r="B73" s="610"/>
      <c r="D73" s="610" t="e">
        <f t="shared" si="3"/>
        <v>#N/A</v>
      </c>
      <c r="E73" s="610"/>
      <c r="J73" s="190"/>
    </row>
    <row r="74" spans="1:10" ht="14.1" customHeight="1">
      <c r="A74" s="182" t="e">
        <f t="shared" ca="1" si="7"/>
        <v>#N/A</v>
      </c>
      <c r="B74" s="183" t="str">
        <f>B66</f>
        <v xml:space="preserve">Lt: </v>
      </c>
      <c r="D74" s="182" t="e">
        <f t="shared" ca="1" si="3"/>
        <v>#N/A</v>
      </c>
      <c r="E74" s="183" t="str">
        <f>B74</f>
        <v xml:space="preserve">Lt: </v>
      </c>
      <c r="J74" s="190"/>
    </row>
    <row r="75" spans="1:10" ht="14.1" customHeight="1">
      <c r="A75" s="610" t="str">
        <f t="shared" si="7"/>
        <v xml:space="preserve">  0</v>
      </c>
      <c r="B75" s="610"/>
      <c r="D75" s="610" t="str">
        <f t="shared" si="3"/>
        <v xml:space="preserve">  0</v>
      </c>
      <c r="E75" s="610"/>
      <c r="J75" s="190"/>
    </row>
    <row r="76" spans="1:10" ht="14.1" customHeight="1">
      <c r="A76" s="609" t="str">
        <f t="shared" si="7"/>
        <v>QFP: JGARCIA   QFV: ADELTORO</v>
      </c>
      <c r="B76" s="609"/>
      <c r="D76" s="609" t="str">
        <f t="shared" si="3"/>
        <v>QFP: JGARCIA   QFV: ADELTORO</v>
      </c>
      <c r="E76" s="609"/>
      <c r="J76" s="190"/>
    </row>
    <row r="77" spans="1:10" ht="14.1" customHeight="1">
      <c r="A77" s="609" t="str">
        <f t="shared" si="7"/>
        <v>C.JPC/SEXTO NTE/SCOOP   Cama: NA</v>
      </c>
      <c r="B77" s="609"/>
      <c r="D77" s="609" t="str">
        <f t="shared" si="3"/>
        <v>C.JPC/SEXTO NTE/SCOOP   Cama: NA</v>
      </c>
      <c r="E77" s="609"/>
      <c r="J77" s="190"/>
    </row>
    <row r="78" spans="1:10" ht="14.1" customHeight="1">
      <c r="A78" s="609" t="str">
        <f t="shared" si="7"/>
        <v>UNIDOSSIS S.A.S.</v>
      </c>
      <c r="B78" s="609"/>
      <c r="D78" s="609" t="str">
        <f t="shared" si="3"/>
        <v>UNIDOSSIS S.A.S.</v>
      </c>
      <c r="E78" s="609"/>
      <c r="J78" s="190"/>
    </row>
    <row r="79" spans="1:10" ht="14.1" customHeight="1">
      <c r="A79" s="610" t="e">
        <f>'DATOS ETIQ'!B$7&amp;"  "&amp;'DATOS ETIQ'!C$7&amp;"  "&amp;'DATOS ETIQ'!D$7&amp;'DATOS ETIQ'!Q$7</f>
        <v>#N/A</v>
      </c>
      <c r="B79" s="610"/>
      <c r="C79" s="195"/>
      <c r="D79" s="610" t="e">
        <f t="shared" si="3"/>
        <v>#N/A</v>
      </c>
      <c r="E79" s="610"/>
      <c r="J79" s="190"/>
    </row>
    <row r="80" spans="1:10" ht="14.1" customHeight="1" thickBot="1">
      <c r="A80" s="610" t="e">
        <f>IF('DATOS ETIQ'!P$7=1,"Do: "&amp;'DATOS ETIQ'!F$7&amp;"mg   VolDo: "&amp;'DATOS ETIQ'!G$7&amp;"mL","Dilución 1/"&amp;'DATOS ETIQ'!P$7&amp;"  "&amp;'DATOS ETIQ'!E$7&amp;"mg/mL   Do: "&amp;'DATOS ETIQ'!F$7&amp;"mg   VolDo: "&amp;'DATOS ETIQ'!G$7&amp;"mL")</f>
        <v>#N/A</v>
      </c>
      <c r="B80" s="610"/>
      <c r="C80" s="195"/>
      <c r="D80" s="610" t="e">
        <f t="shared" si="3"/>
        <v>#N/A</v>
      </c>
      <c r="E80" s="610"/>
      <c r="J80" s="190"/>
    </row>
    <row r="81" spans="1:10" ht="14.1" customHeight="1">
      <c r="A81" s="182" t="e">
        <f ca="1">'DATOS ETIQ'!H$7</f>
        <v>#N/A</v>
      </c>
      <c r="B81" s="183" t="str">
        <f>"Lt: "&amp;'DATOS ETIQ'!I$7</f>
        <v xml:space="preserve">Lt: </v>
      </c>
      <c r="D81" s="182" t="e">
        <f t="shared" ca="1" si="3"/>
        <v>#N/A</v>
      </c>
      <c r="E81" s="183" t="str">
        <f>B81</f>
        <v xml:space="preserve">Lt: </v>
      </c>
      <c r="G81" s="611" t="e">
        <f>'FR PD 001 V1'!T11</f>
        <v>#N/A</v>
      </c>
      <c r="J81" s="611">
        <v>6</v>
      </c>
    </row>
    <row r="82" spans="1:10" ht="14.1" customHeight="1" thickBot="1">
      <c r="A82" s="610" t="str">
        <f>'DATOS ETIQ'!J$7&amp;"  "&amp;'DATOS ETIQ'!K$7</f>
        <v xml:space="preserve">  0</v>
      </c>
      <c r="B82" s="610"/>
      <c r="C82" s="195"/>
      <c r="D82" s="610" t="str">
        <f t="shared" si="3"/>
        <v xml:space="preserve">  0</v>
      </c>
      <c r="E82" s="610"/>
      <c r="G82" s="612"/>
      <c r="J82" s="612"/>
    </row>
    <row r="83" spans="1:10" ht="14.1" customHeight="1">
      <c r="A83" s="609" t="str">
        <f>"QFP: "&amp;'DATOS ETIQ'!L$7&amp;"   QFV: "&amp;'DATOS ETIQ'!M$7</f>
        <v>QFP: JGARCIA   QFV: ADELTORO</v>
      </c>
      <c r="B83" s="609"/>
      <c r="D83" s="609" t="str">
        <f t="shared" si="3"/>
        <v>QFP: JGARCIA   QFV: ADELTORO</v>
      </c>
      <c r="E83" s="609"/>
      <c r="J83" s="190"/>
    </row>
    <row r="84" spans="1:10" ht="14.1" customHeight="1">
      <c r="A84" s="609" t="str">
        <f>'DATOS ETIQ'!N$7&amp;"   Cama: "&amp;'DATOS ETIQ'!O$7</f>
        <v>C.JPC/SEXTO NTE/SCOOP   Cama: NA</v>
      </c>
      <c r="B84" s="609"/>
      <c r="D84" s="609" t="str">
        <f t="shared" si="3"/>
        <v>C.JPC/SEXTO NTE/SCOOP   Cama: NA</v>
      </c>
      <c r="E84" s="609"/>
      <c r="J84" s="190"/>
    </row>
    <row r="85" spans="1:10" ht="14.1" customHeight="1">
      <c r="A85" s="609" t="s">
        <v>167</v>
      </c>
      <c r="B85" s="609"/>
      <c r="D85" s="609" t="str">
        <f t="shared" si="3"/>
        <v>UNIDOSSIS S.A.S.</v>
      </c>
      <c r="E85" s="609"/>
      <c r="J85" s="190"/>
    </row>
    <row r="86" spans="1:10" ht="14.1" customHeight="1">
      <c r="D86" s="194"/>
      <c r="E86" s="194"/>
      <c r="J86" s="190"/>
    </row>
    <row r="87" spans="1:10" ht="14.1" customHeight="1">
      <c r="A87" s="610" t="e">
        <f t="shared" ref="A87:A93" si="8">A79</f>
        <v>#N/A</v>
      </c>
      <c r="B87" s="610"/>
      <c r="D87" s="610" t="e">
        <f t="shared" si="3"/>
        <v>#N/A</v>
      </c>
      <c r="E87" s="610"/>
      <c r="J87" s="190"/>
    </row>
    <row r="88" spans="1:10" ht="14.1" customHeight="1">
      <c r="A88" s="610" t="e">
        <f t="shared" si="8"/>
        <v>#N/A</v>
      </c>
      <c r="B88" s="610"/>
      <c r="D88" s="610" t="e">
        <f t="shared" si="3"/>
        <v>#N/A</v>
      </c>
      <c r="E88" s="610"/>
      <c r="J88" s="190"/>
    </row>
    <row r="89" spans="1:10" ht="14.1" customHeight="1">
      <c r="A89" s="182" t="e">
        <f t="shared" ca="1" si="8"/>
        <v>#N/A</v>
      </c>
      <c r="B89" s="183" t="str">
        <f>B81</f>
        <v xml:space="preserve">Lt: </v>
      </c>
      <c r="D89" s="182" t="e">
        <f t="shared" ca="1" si="3"/>
        <v>#N/A</v>
      </c>
      <c r="E89" s="183" t="str">
        <f>B89</f>
        <v xml:space="preserve">Lt: </v>
      </c>
      <c r="J89" s="190"/>
    </row>
    <row r="90" spans="1:10" ht="14.1" customHeight="1">
      <c r="A90" s="610" t="str">
        <f t="shared" si="8"/>
        <v xml:space="preserve">  0</v>
      </c>
      <c r="B90" s="610"/>
      <c r="D90" s="610" t="str">
        <f t="shared" si="3"/>
        <v xml:space="preserve">  0</v>
      </c>
      <c r="E90" s="610"/>
      <c r="J90" s="190"/>
    </row>
    <row r="91" spans="1:10" ht="14.1" customHeight="1">
      <c r="A91" s="609" t="str">
        <f t="shared" si="8"/>
        <v>QFP: JGARCIA   QFV: ADELTORO</v>
      </c>
      <c r="B91" s="609"/>
      <c r="D91" s="609" t="str">
        <f t="shared" si="3"/>
        <v>QFP: JGARCIA   QFV: ADELTORO</v>
      </c>
      <c r="E91" s="609"/>
      <c r="J91" s="190"/>
    </row>
    <row r="92" spans="1:10" ht="14.1" customHeight="1">
      <c r="A92" s="609" t="str">
        <f t="shared" si="8"/>
        <v>C.JPC/SEXTO NTE/SCOOP   Cama: NA</v>
      </c>
      <c r="B92" s="609"/>
      <c r="D92" s="609" t="str">
        <f t="shared" si="3"/>
        <v>C.JPC/SEXTO NTE/SCOOP   Cama: NA</v>
      </c>
      <c r="E92" s="609"/>
      <c r="J92" s="190"/>
    </row>
    <row r="93" spans="1:10" ht="14.1" customHeight="1">
      <c r="A93" s="609" t="str">
        <f t="shared" si="8"/>
        <v>UNIDOSSIS S.A.S.</v>
      </c>
      <c r="B93" s="609"/>
      <c r="D93" s="609" t="str">
        <f t="shared" si="3"/>
        <v>UNIDOSSIS S.A.S.</v>
      </c>
      <c r="E93" s="609"/>
      <c r="J93" s="190"/>
    </row>
    <row r="94" spans="1:10" ht="14.1" customHeight="1">
      <c r="A94" s="610" t="e">
        <f>'DATOS ETIQ'!B$8&amp;"  "&amp;'DATOS ETIQ'!C$8&amp;"  "&amp;'DATOS ETIQ'!D$8&amp;'DATOS ETIQ'!Q$8</f>
        <v>#N/A</v>
      </c>
      <c r="B94" s="610"/>
      <c r="C94" s="195"/>
      <c r="D94" s="610" t="e">
        <f t="shared" si="3"/>
        <v>#N/A</v>
      </c>
      <c r="E94" s="610"/>
      <c r="J94" s="190"/>
    </row>
    <row r="95" spans="1:10" ht="14.1" customHeight="1" thickBot="1">
      <c r="A95" s="610" t="e">
        <f>IF('DATOS ETIQ'!P$8=1,"Do: "&amp;'DATOS ETIQ'!F$8&amp;"mg   VolDo: "&amp;'DATOS ETIQ'!G$8&amp;"mL","Dilución 1/"&amp;'DATOS ETIQ'!P$8&amp;"  "&amp;'DATOS ETIQ'!E$8&amp;"mg/mL   Do: "&amp;'DATOS ETIQ'!F$8&amp;"mg   VolDo: "&amp;'DATOS ETIQ'!G$8&amp;"mL")</f>
        <v>#N/A</v>
      </c>
      <c r="B95" s="610"/>
      <c r="C95" s="195"/>
      <c r="D95" s="610" t="e">
        <f t="shared" si="3"/>
        <v>#N/A</v>
      </c>
      <c r="E95" s="610"/>
      <c r="J95" s="190"/>
    </row>
    <row r="96" spans="1:10" ht="14.1" customHeight="1">
      <c r="A96" s="182" t="e">
        <f ca="1">'DATOS ETIQ'!H$8</f>
        <v>#N/A</v>
      </c>
      <c r="B96" s="183" t="str">
        <f>"Lt: "&amp;'DATOS ETIQ'!I$8</f>
        <v xml:space="preserve">Lt: </v>
      </c>
      <c r="D96" s="182" t="e">
        <f t="shared" ca="1" si="3"/>
        <v>#N/A</v>
      </c>
      <c r="E96" s="183" t="str">
        <f>B96</f>
        <v xml:space="preserve">Lt: </v>
      </c>
      <c r="G96" s="611" t="e">
        <f>'FR PD 001 V1'!T12</f>
        <v>#N/A</v>
      </c>
      <c r="J96" s="611">
        <v>7</v>
      </c>
    </row>
    <row r="97" spans="1:10" ht="14.1" customHeight="1" thickBot="1">
      <c r="A97" s="610" t="str">
        <f>'DATOS ETIQ'!J$8&amp;"  "&amp;'DATOS ETIQ'!K$8</f>
        <v xml:space="preserve">  0</v>
      </c>
      <c r="B97" s="610"/>
      <c r="C97" s="195"/>
      <c r="D97" s="610" t="str">
        <f t="shared" si="3"/>
        <v xml:space="preserve">  0</v>
      </c>
      <c r="E97" s="610"/>
      <c r="G97" s="612"/>
      <c r="J97" s="612"/>
    </row>
    <row r="98" spans="1:10" ht="14.1" customHeight="1">
      <c r="A98" s="609" t="str">
        <f>"QFP: "&amp;'DATOS ETIQ'!L$8&amp;"   QFV: "&amp;'DATOS ETIQ'!M$8</f>
        <v>QFP: JGARCIA   QFV: ADELTORO</v>
      </c>
      <c r="B98" s="609"/>
      <c r="D98" s="609" t="str">
        <f t="shared" si="3"/>
        <v>QFP: JGARCIA   QFV: ADELTORO</v>
      </c>
      <c r="E98" s="609"/>
      <c r="J98" s="190"/>
    </row>
    <row r="99" spans="1:10" ht="14.1" customHeight="1">
      <c r="A99" s="609" t="str">
        <f>'DATOS ETIQ'!N$8&amp;"   Cama: "&amp;'DATOS ETIQ'!O$8</f>
        <v>C.JPC/SEXTO NTE/SCOOP   Cama: NA</v>
      </c>
      <c r="B99" s="609"/>
      <c r="D99" s="609" t="str">
        <f t="shared" si="3"/>
        <v>C.JPC/SEXTO NTE/SCOOP   Cama: NA</v>
      </c>
      <c r="E99" s="609"/>
      <c r="J99" s="190"/>
    </row>
    <row r="100" spans="1:10" ht="14.1" customHeight="1">
      <c r="A100" s="609" t="s">
        <v>167</v>
      </c>
      <c r="B100" s="609"/>
      <c r="D100" s="609" t="str">
        <f t="shared" si="3"/>
        <v>UNIDOSSIS S.A.S.</v>
      </c>
      <c r="E100" s="609"/>
      <c r="J100" s="190"/>
    </row>
    <row r="101" spans="1:10" ht="14.1" customHeight="1">
      <c r="D101" s="194"/>
      <c r="E101" s="194"/>
      <c r="J101" s="190"/>
    </row>
    <row r="102" spans="1:10" ht="14.1" customHeight="1">
      <c r="A102" s="610" t="e">
        <f t="shared" ref="A102:A108" si="9">A94</f>
        <v>#N/A</v>
      </c>
      <c r="B102" s="610"/>
      <c r="D102" s="610" t="e">
        <f t="shared" si="3"/>
        <v>#N/A</v>
      </c>
      <c r="E102" s="610"/>
      <c r="J102" s="190"/>
    </row>
    <row r="103" spans="1:10" ht="14.1" customHeight="1">
      <c r="A103" s="610" t="e">
        <f t="shared" si="9"/>
        <v>#N/A</v>
      </c>
      <c r="B103" s="610"/>
      <c r="D103" s="610" t="e">
        <f t="shared" si="3"/>
        <v>#N/A</v>
      </c>
      <c r="E103" s="610"/>
      <c r="J103" s="190"/>
    </row>
    <row r="104" spans="1:10" ht="14.1" customHeight="1">
      <c r="A104" s="182" t="e">
        <f t="shared" ca="1" si="9"/>
        <v>#N/A</v>
      </c>
      <c r="B104" s="183" t="str">
        <f>B96</f>
        <v xml:space="preserve">Lt: </v>
      </c>
      <c r="D104" s="182" t="e">
        <f t="shared" ca="1" si="3"/>
        <v>#N/A</v>
      </c>
      <c r="E104" s="183" t="str">
        <f>B104</f>
        <v xml:space="preserve">Lt: </v>
      </c>
      <c r="J104" s="190"/>
    </row>
    <row r="105" spans="1:10" ht="14.1" customHeight="1">
      <c r="A105" s="610" t="str">
        <f t="shared" si="9"/>
        <v xml:space="preserve">  0</v>
      </c>
      <c r="B105" s="610"/>
      <c r="D105" s="610" t="str">
        <f t="shared" si="3"/>
        <v xml:space="preserve">  0</v>
      </c>
      <c r="E105" s="610"/>
      <c r="J105" s="190"/>
    </row>
    <row r="106" spans="1:10" ht="14.1" customHeight="1">
      <c r="A106" s="609" t="str">
        <f t="shared" si="9"/>
        <v>QFP: JGARCIA   QFV: ADELTORO</v>
      </c>
      <c r="B106" s="609"/>
      <c r="D106" s="609" t="str">
        <f t="shared" si="3"/>
        <v>QFP: JGARCIA   QFV: ADELTORO</v>
      </c>
      <c r="E106" s="609"/>
      <c r="J106" s="190"/>
    </row>
    <row r="107" spans="1:10" ht="14.1" customHeight="1">
      <c r="A107" s="609" t="str">
        <f t="shared" si="9"/>
        <v>C.JPC/SEXTO NTE/SCOOP   Cama: NA</v>
      </c>
      <c r="B107" s="609"/>
      <c r="D107" s="609" t="str">
        <f t="shared" si="3"/>
        <v>C.JPC/SEXTO NTE/SCOOP   Cama: NA</v>
      </c>
      <c r="E107" s="609"/>
      <c r="J107" s="190"/>
    </row>
    <row r="108" spans="1:10" ht="14.1" customHeight="1">
      <c r="A108" s="609" t="str">
        <f t="shared" si="9"/>
        <v>UNIDOSSIS S.A.S.</v>
      </c>
      <c r="B108" s="609"/>
      <c r="D108" s="609" t="str">
        <f t="shared" si="3"/>
        <v>UNIDOSSIS S.A.S.</v>
      </c>
      <c r="E108" s="609"/>
      <c r="J108" s="190"/>
    </row>
    <row r="109" spans="1:10" ht="14.1" customHeight="1">
      <c r="A109" s="610" t="e">
        <f>'DATOS ETIQ'!B$9&amp;"  "&amp;'DATOS ETIQ'!C$9&amp;"  "&amp;'DATOS ETIQ'!D$9&amp;'DATOS ETIQ'!Q$9</f>
        <v>#N/A</v>
      </c>
      <c r="B109" s="610"/>
      <c r="C109" s="195"/>
      <c r="D109" s="610" t="e">
        <f t="shared" si="3"/>
        <v>#N/A</v>
      </c>
      <c r="E109" s="610"/>
      <c r="J109" s="190"/>
    </row>
    <row r="110" spans="1:10" ht="14.1" customHeight="1" thickBot="1">
      <c r="A110" s="610" t="e">
        <f>IF('DATOS ETIQ'!P$9=1,"Do: "&amp;'DATOS ETIQ'!F$9&amp;"mg   VolDo: "&amp;'DATOS ETIQ'!G$9&amp;"mL","Dilución 1/"&amp;'DATOS ETIQ'!P$9&amp;"  "&amp;'DATOS ETIQ'!E$9&amp;"mg/mL   Do: "&amp;'DATOS ETIQ'!F$9&amp;"mg   VolDo: "&amp;'DATOS ETIQ'!G$9&amp;"mL")</f>
        <v>#N/A</v>
      </c>
      <c r="B110" s="610"/>
      <c r="C110" s="195"/>
      <c r="D110" s="610" t="e">
        <f t="shared" si="3"/>
        <v>#N/A</v>
      </c>
      <c r="E110" s="610"/>
      <c r="J110" s="190"/>
    </row>
    <row r="111" spans="1:10" ht="14.1" customHeight="1">
      <c r="A111" s="182" t="e">
        <f ca="1">'DATOS ETIQ'!H$9</f>
        <v>#N/A</v>
      </c>
      <c r="B111" s="183" t="str">
        <f>"Lt: "&amp;'DATOS ETIQ'!I$9</f>
        <v xml:space="preserve">Lt: </v>
      </c>
      <c r="D111" s="182" t="e">
        <f t="shared" ca="1" si="3"/>
        <v>#N/A</v>
      </c>
      <c r="E111" s="183" t="str">
        <f>B111</f>
        <v xml:space="preserve">Lt: </v>
      </c>
      <c r="G111" s="611" t="e">
        <f>'FR PD 001 V1'!T13</f>
        <v>#N/A</v>
      </c>
      <c r="J111" s="611">
        <v>8</v>
      </c>
    </row>
    <row r="112" spans="1:10" ht="14.1" customHeight="1" thickBot="1">
      <c r="A112" s="610" t="str">
        <f>'DATOS ETIQ'!J$9&amp;"  "&amp;'DATOS ETIQ'!K$9</f>
        <v xml:space="preserve">  0</v>
      </c>
      <c r="B112" s="610"/>
      <c r="C112" s="195"/>
      <c r="D112" s="610" t="str">
        <f t="shared" si="3"/>
        <v xml:space="preserve">  0</v>
      </c>
      <c r="E112" s="610"/>
      <c r="G112" s="612"/>
      <c r="J112" s="612"/>
    </row>
    <row r="113" spans="1:10" ht="14.1" customHeight="1">
      <c r="A113" s="609" t="str">
        <f>"QFP: "&amp;'DATOS ETIQ'!L$9&amp;"   QFV: "&amp;'DATOS ETIQ'!M$9</f>
        <v>QFP: JGARCIA   QFV: ADELTORO</v>
      </c>
      <c r="B113" s="609"/>
      <c r="D113" s="609" t="str">
        <f t="shared" si="3"/>
        <v>QFP: JGARCIA   QFV: ADELTORO</v>
      </c>
      <c r="E113" s="609"/>
      <c r="J113" s="190"/>
    </row>
    <row r="114" spans="1:10" ht="14.1" customHeight="1">
      <c r="A114" s="609" t="str">
        <f>'DATOS ETIQ'!N$9&amp;"   Cama: "&amp;'DATOS ETIQ'!O$9</f>
        <v>C.JPC/SEXTO NTE/SCOOP   Cama: NA</v>
      </c>
      <c r="B114" s="609"/>
      <c r="D114" s="609" t="str">
        <f t="shared" si="3"/>
        <v>C.JPC/SEXTO NTE/SCOOP   Cama: NA</v>
      </c>
      <c r="E114" s="609"/>
      <c r="J114" s="190"/>
    </row>
    <row r="115" spans="1:10" ht="14.1" customHeight="1">
      <c r="A115" s="609" t="s">
        <v>167</v>
      </c>
      <c r="B115" s="609"/>
      <c r="D115" s="609" t="str">
        <f t="shared" si="3"/>
        <v>UNIDOSSIS S.A.S.</v>
      </c>
      <c r="E115" s="609"/>
      <c r="J115" s="190"/>
    </row>
    <row r="116" spans="1:10" ht="14.1" customHeight="1">
      <c r="D116" s="194"/>
      <c r="E116" s="194"/>
      <c r="J116" s="190"/>
    </row>
    <row r="117" spans="1:10" ht="14.1" customHeight="1">
      <c r="A117" s="610" t="e">
        <f t="shared" ref="A117:A123" si="10">A109</f>
        <v>#N/A</v>
      </c>
      <c r="B117" s="610"/>
      <c r="D117" s="610" t="e">
        <f t="shared" si="3"/>
        <v>#N/A</v>
      </c>
      <c r="E117" s="610"/>
      <c r="J117" s="190"/>
    </row>
    <row r="118" spans="1:10" ht="14.1" customHeight="1">
      <c r="A118" s="610" t="e">
        <f t="shared" si="10"/>
        <v>#N/A</v>
      </c>
      <c r="B118" s="610"/>
      <c r="D118" s="610" t="e">
        <f t="shared" si="3"/>
        <v>#N/A</v>
      </c>
      <c r="E118" s="610"/>
      <c r="J118" s="190"/>
    </row>
    <row r="119" spans="1:10" ht="14.1" customHeight="1">
      <c r="A119" s="182" t="e">
        <f t="shared" ca="1" si="10"/>
        <v>#N/A</v>
      </c>
      <c r="B119" s="183" t="str">
        <f>B111</f>
        <v xml:space="preserve">Lt: </v>
      </c>
      <c r="D119" s="182" t="e">
        <f t="shared" ca="1" si="3"/>
        <v>#N/A</v>
      </c>
      <c r="E119" s="183" t="str">
        <f>B119</f>
        <v xml:space="preserve">Lt: </v>
      </c>
      <c r="J119" s="190"/>
    </row>
    <row r="120" spans="1:10" ht="14.1" customHeight="1">
      <c r="A120" s="610" t="str">
        <f t="shared" si="10"/>
        <v xml:space="preserve">  0</v>
      </c>
      <c r="B120" s="610"/>
      <c r="D120" s="610" t="str">
        <f t="shared" si="3"/>
        <v xml:space="preserve">  0</v>
      </c>
      <c r="E120" s="610"/>
      <c r="J120" s="190"/>
    </row>
    <row r="121" spans="1:10" ht="14.1" customHeight="1">
      <c r="A121" s="609" t="str">
        <f t="shared" si="10"/>
        <v>QFP: JGARCIA   QFV: ADELTORO</v>
      </c>
      <c r="B121" s="609"/>
      <c r="D121" s="609" t="str">
        <f t="shared" si="3"/>
        <v>QFP: JGARCIA   QFV: ADELTORO</v>
      </c>
      <c r="E121" s="609"/>
      <c r="J121" s="190"/>
    </row>
    <row r="122" spans="1:10" ht="14.1" customHeight="1">
      <c r="A122" s="609" t="str">
        <f t="shared" si="10"/>
        <v>C.JPC/SEXTO NTE/SCOOP   Cama: NA</v>
      </c>
      <c r="B122" s="609"/>
      <c r="D122" s="609" t="str">
        <f t="shared" si="3"/>
        <v>C.JPC/SEXTO NTE/SCOOP   Cama: NA</v>
      </c>
      <c r="E122" s="609"/>
      <c r="J122" s="190"/>
    </row>
    <row r="123" spans="1:10" ht="14.1" customHeight="1">
      <c r="A123" s="609" t="str">
        <f t="shared" si="10"/>
        <v>UNIDOSSIS S.A.S.</v>
      </c>
      <c r="B123" s="609"/>
      <c r="D123" s="609" t="str">
        <f t="shared" si="3"/>
        <v>UNIDOSSIS S.A.S.</v>
      </c>
      <c r="E123" s="609"/>
      <c r="J123" s="190"/>
    </row>
    <row r="124" spans="1:10" ht="14.1" customHeight="1">
      <c r="A124" s="610" t="e">
        <f>'DATOS ETIQ'!B$10&amp;"  "&amp;'DATOS ETIQ'!C$10&amp;"  "&amp;'DATOS ETIQ'!D$10&amp;'DATOS ETIQ'!Q$10</f>
        <v>#N/A</v>
      </c>
      <c r="B124" s="610"/>
      <c r="C124" s="195"/>
      <c r="D124" s="610" t="e">
        <f t="shared" si="3"/>
        <v>#N/A</v>
      </c>
      <c r="E124" s="610"/>
      <c r="J124" s="190"/>
    </row>
    <row r="125" spans="1:10" ht="14.1" customHeight="1" thickBot="1">
      <c r="A125" s="610" t="e">
        <f>IF('DATOS ETIQ'!P$10=1,"Do: "&amp;'DATOS ETIQ'!F$10&amp;"mg   VolDo: "&amp;'DATOS ETIQ'!G$10&amp;"mL","Dilución 1/"&amp;'DATOS ETIQ'!P$10&amp;"  "&amp;'DATOS ETIQ'!E$10&amp;"mg/mL   Do: "&amp;'DATOS ETIQ'!F$10&amp;"mg   VolDo: "&amp;'DATOS ETIQ'!G$10&amp;"mL")</f>
        <v>#N/A</v>
      </c>
      <c r="B125" s="610"/>
      <c r="C125" s="195"/>
      <c r="D125" s="610" t="e">
        <f t="shared" si="3"/>
        <v>#N/A</v>
      </c>
      <c r="E125" s="610"/>
      <c r="J125" s="190"/>
    </row>
    <row r="126" spans="1:10" ht="14.1" customHeight="1">
      <c r="A126" s="182" t="e">
        <f ca="1">'DATOS ETIQ'!H$10</f>
        <v>#N/A</v>
      </c>
      <c r="B126" s="183" t="str">
        <f>"Lt: "&amp;'DATOS ETIQ'!I$10</f>
        <v xml:space="preserve">Lt: </v>
      </c>
      <c r="D126" s="182" t="e">
        <f t="shared" ca="1" si="3"/>
        <v>#N/A</v>
      </c>
      <c r="E126" s="183" t="str">
        <f>B126</f>
        <v xml:space="preserve">Lt: </v>
      </c>
      <c r="G126" s="611" t="e">
        <f>'FR PD 001 V1'!T14</f>
        <v>#N/A</v>
      </c>
      <c r="J126" s="611">
        <v>9</v>
      </c>
    </row>
    <row r="127" spans="1:10" ht="14.1" customHeight="1" thickBot="1">
      <c r="A127" s="610" t="str">
        <f>'DATOS ETIQ'!J$10&amp;"  "&amp;'DATOS ETIQ'!K$10</f>
        <v xml:space="preserve">  0</v>
      </c>
      <c r="B127" s="610"/>
      <c r="C127" s="195"/>
      <c r="D127" s="610" t="str">
        <f t="shared" si="3"/>
        <v xml:space="preserve">  0</v>
      </c>
      <c r="E127" s="610"/>
      <c r="G127" s="612"/>
      <c r="J127" s="612"/>
    </row>
    <row r="128" spans="1:10" ht="14.1" customHeight="1">
      <c r="A128" s="609" t="str">
        <f>"QFP: "&amp;'DATOS ETIQ'!L$10&amp;"   QFV: "&amp;'DATOS ETIQ'!M$10</f>
        <v>QFP: JGARCIA   QFV: ADELTORO</v>
      </c>
      <c r="B128" s="609"/>
      <c r="D128" s="609" t="str">
        <f t="shared" si="3"/>
        <v>QFP: JGARCIA   QFV: ADELTORO</v>
      </c>
      <c r="E128" s="609"/>
      <c r="J128" s="190"/>
    </row>
    <row r="129" spans="1:10" ht="14.1" customHeight="1">
      <c r="A129" s="609" t="str">
        <f>'DATOS ETIQ'!N$10&amp;"   Cama: "&amp;'DATOS ETIQ'!O$10</f>
        <v>C.JPC/SEXTO NTE/SCOOP   Cama: NA</v>
      </c>
      <c r="B129" s="609"/>
      <c r="D129" s="609" t="str">
        <f t="shared" si="3"/>
        <v>C.JPC/SEXTO NTE/SCOOP   Cama: NA</v>
      </c>
      <c r="E129" s="609"/>
      <c r="J129" s="190"/>
    </row>
    <row r="130" spans="1:10" ht="14.1" customHeight="1">
      <c r="A130" s="609" t="s">
        <v>167</v>
      </c>
      <c r="B130" s="609"/>
      <c r="D130" s="609" t="str">
        <f t="shared" si="3"/>
        <v>UNIDOSSIS S.A.S.</v>
      </c>
      <c r="E130" s="609"/>
      <c r="J130" s="190"/>
    </row>
    <row r="131" spans="1:10" ht="14.1" customHeight="1">
      <c r="D131" s="194"/>
      <c r="E131" s="194"/>
      <c r="J131" s="190"/>
    </row>
    <row r="132" spans="1:10" ht="14.1" customHeight="1">
      <c r="A132" s="610" t="e">
        <f t="shared" ref="A132:A138" si="11">A124</f>
        <v>#N/A</v>
      </c>
      <c r="B132" s="610"/>
      <c r="D132" s="610" t="e">
        <f t="shared" si="3"/>
        <v>#N/A</v>
      </c>
      <c r="E132" s="610"/>
      <c r="J132" s="190"/>
    </row>
    <row r="133" spans="1:10" ht="14.1" customHeight="1">
      <c r="A133" s="610" t="e">
        <f t="shared" si="11"/>
        <v>#N/A</v>
      </c>
      <c r="B133" s="610"/>
      <c r="D133" s="610" t="e">
        <f t="shared" si="3"/>
        <v>#N/A</v>
      </c>
      <c r="E133" s="610"/>
      <c r="J133" s="190"/>
    </row>
    <row r="134" spans="1:10" ht="14.1" customHeight="1">
      <c r="A134" s="182" t="e">
        <f t="shared" ca="1" si="11"/>
        <v>#N/A</v>
      </c>
      <c r="B134" s="183" t="str">
        <f>B126</f>
        <v xml:space="preserve">Lt: </v>
      </c>
      <c r="D134" s="182" t="e">
        <f t="shared" ca="1" si="3"/>
        <v>#N/A</v>
      </c>
      <c r="E134" s="183" t="str">
        <f>B134</f>
        <v xml:space="preserve">Lt: </v>
      </c>
      <c r="J134" s="190"/>
    </row>
    <row r="135" spans="1:10" ht="14.1" customHeight="1">
      <c r="A135" s="610" t="str">
        <f t="shared" si="11"/>
        <v xml:space="preserve">  0</v>
      </c>
      <c r="B135" s="610"/>
      <c r="D135" s="610" t="str">
        <f t="shared" si="3"/>
        <v xml:space="preserve">  0</v>
      </c>
      <c r="E135" s="610"/>
      <c r="J135" s="190"/>
    </row>
    <row r="136" spans="1:10" ht="14.1" customHeight="1">
      <c r="A136" s="609" t="str">
        <f t="shared" si="11"/>
        <v>QFP: JGARCIA   QFV: ADELTORO</v>
      </c>
      <c r="B136" s="609"/>
      <c r="D136" s="609" t="str">
        <f t="shared" si="3"/>
        <v>QFP: JGARCIA   QFV: ADELTORO</v>
      </c>
      <c r="E136" s="609"/>
      <c r="J136" s="190"/>
    </row>
    <row r="137" spans="1:10" ht="14.1" customHeight="1">
      <c r="A137" s="609" t="str">
        <f t="shared" si="11"/>
        <v>C.JPC/SEXTO NTE/SCOOP   Cama: NA</v>
      </c>
      <c r="B137" s="609"/>
      <c r="D137" s="609" t="str">
        <f t="shared" si="3"/>
        <v>C.JPC/SEXTO NTE/SCOOP   Cama: NA</v>
      </c>
      <c r="E137" s="609"/>
      <c r="J137" s="190"/>
    </row>
    <row r="138" spans="1:10" ht="14.1" customHeight="1">
      <c r="A138" s="609" t="str">
        <f t="shared" si="11"/>
        <v>UNIDOSSIS S.A.S.</v>
      </c>
      <c r="B138" s="609"/>
      <c r="D138" s="609" t="str">
        <f t="shared" si="3"/>
        <v>UNIDOSSIS S.A.S.</v>
      </c>
      <c r="E138" s="609"/>
      <c r="J138" s="190"/>
    </row>
    <row r="139" spans="1:10" ht="14.1" customHeight="1">
      <c r="A139" s="610" t="e">
        <f>'DATOS ETIQ'!B$11&amp;"  "&amp;'DATOS ETIQ'!C$11&amp;"  "&amp;'DATOS ETIQ'!D$11&amp;'DATOS ETIQ'!Q$11</f>
        <v>#N/A</v>
      </c>
      <c r="B139" s="610"/>
      <c r="C139" s="195"/>
      <c r="D139" s="610" t="e">
        <f t="shared" si="3"/>
        <v>#N/A</v>
      </c>
      <c r="E139" s="610"/>
      <c r="J139" s="190"/>
    </row>
    <row r="140" spans="1:10" ht="14.1" customHeight="1" thickBot="1">
      <c r="A140" s="610" t="e">
        <f>IF('DATOS ETIQ'!P$11=1,"Do: "&amp;'DATOS ETIQ'!F$11&amp;"mg   VolDo: "&amp;'DATOS ETIQ'!G$11&amp;"mL","Dilución 1/"&amp;'DATOS ETIQ'!P$11&amp;"  "&amp;'DATOS ETIQ'!E$11&amp;"mg/mL   Do: "&amp;'DATOS ETIQ'!F$11&amp;"mg   VolDo: "&amp;'DATOS ETIQ'!G$11&amp;"mL")</f>
        <v>#N/A</v>
      </c>
      <c r="B140" s="610"/>
      <c r="C140" s="195"/>
      <c r="D140" s="610" t="e">
        <f t="shared" si="3"/>
        <v>#N/A</v>
      </c>
      <c r="E140" s="610"/>
      <c r="J140" s="190"/>
    </row>
    <row r="141" spans="1:10" ht="14.1" customHeight="1">
      <c r="A141" s="182" t="e">
        <f ca="1">'DATOS ETIQ'!H$11</f>
        <v>#N/A</v>
      </c>
      <c r="B141" s="183" t="str">
        <f>"Lt: "&amp;'DATOS ETIQ'!I$11</f>
        <v xml:space="preserve">Lt: </v>
      </c>
      <c r="D141" s="182" t="e">
        <f t="shared" ca="1" si="3"/>
        <v>#N/A</v>
      </c>
      <c r="E141" s="183" t="str">
        <f>B141</f>
        <v xml:space="preserve">Lt: </v>
      </c>
      <c r="G141" s="611" t="e">
        <f>'FR PD 001 V1'!T15</f>
        <v>#N/A</v>
      </c>
      <c r="J141" s="611">
        <v>10</v>
      </c>
    </row>
    <row r="142" spans="1:10" ht="14.1" customHeight="1" thickBot="1">
      <c r="A142" s="610" t="str">
        <f>'DATOS ETIQ'!J$11&amp;"  "&amp;'DATOS ETIQ'!K$11</f>
        <v xml:space="preserve">  0</v>
      </c>
      <c r="B142" s="610"/>
      <c r="C142" s="195"/>
      <c r="D142" s="610" t="str">
        <f t="shared" si="3"/>
        <v xml:space="preserve">  0</v>
      </c>
      <c r="E142" s="610"/>
      <c r="G142" s="612"/>
      <c r="J142" s="612"/>
    </row>
    <row r="143" spans="1:10" ht="14.1" customHeight="1">
      <c r="A143" s="609" t="str">
        <f>"QFP: "&amp;'DATOS ETIQ'!L$11&amp;"   QFV: "&amp;'DATOS ETIQ'!M$11</f>
        <v>QFP: JGARCIA   QFV: ADELTORO</v>
      </c>
      <c r="B143" s="609"/>
      <c r="D143" s="609" t="str">
        <f t="shared" si="3"/>
        <v>QFP: JGARCIA   QFV: ADELTORO</v>
      </c>
      <c r="E143" s="609"/>
      <c r="J143" s="190"/>
    </row>
    <row r="144" spans="1:10" ht="14.1" customHeight="1">
      <c r="A144" s="609" t="str">
        <f>'DATOS ETIQ'!N$11&amp;"   Cama: "&amp;'DATOS ETIQ'!O$11</f>
        <v>C.JPC/SEXTO NTE/SCOOP   Cama: NA</v>
      </c>
      <c r="B144" s="609"/>
      <c r="D144" s="609" t="str">
        <f t="shared" si="3"/>
        <v>C.JPC/SEXTO NTE/SCOOP   Cama: NA</v>
      </c>
      <c r="E144" s="609"/>
      <c r="J144" s="190"/>
    </row>
    <row r="145" spans="1:10" ht="14.1" customHeight="1">
      <c r="A145" s="609" t="s">
        <v>167</v>
      </c>
      <c r="B145" s="609"/>
      <c r="D145" s="609" t="str">
        <f t="shared" si="3"/>
        <v>UNIDOSSIS S.A.S.</v>
      </c>
      <c r="E145" s="609"/>
      <c r="J145" s="190"/>
    </row>
    <row r="146" spans="1:10" ht="14.1" customHeight="1">
      <c r="D146" s="194"/>
      <c r="E146" s="194"/>
      <c r="J146" s="190"/>
    </row>
    <row r="147" spans="1:10" ht="14.1" customHeight="1">
      <c r="A147" s="610" t="e">
        <f t="shared" ref="A147:A153" si="12">A139</f>
        <v>#N/A</v>
      </c>
      <c r="B147" s="610"/>
      <c r="D147" s="610" t="e">
        <f t="shared" si="3"/>
        <v>#N/A</v>
      </c>
      <c r="E147" s="610"/>
      <c r="J147" s="190"/>
    </row>
    <row r="148" spans="1:10" ht="14.1" customHeight="1">
      <c r="A148" s="610" t="e">
        <f t="shared" si="12"/>
        <v>#N/A</v>
      </c>
      <c r="B148" s="610"/>
      <c r="D148" s="610" t="e">
        <f t="shared" si="3"/>
        <v>#N/A</v>
      </c>
      <c r="E148" s="610"/>
      <c r="J148" s="190"/>
    </row>
    <row r="149" spans="1:10" ht="14.1" customHeight="1">
      <c r="A149" s="182" t="e">
        <f t="shared" ca="1" si="12"/>
        <v>#N/A</v>
      </c>
      <c r="B149" s="183" t="str">
        <f>B141</f>
        <v xml:space="preserve">Lt: </v>
      </c>
      <c r="D149" s="182" t="e">
        <f t="shared" ca="1" si="3"/>
        <v>#N/A</v>
      </c>
      <c r="E149" s="183" t="str">
        <f>B149</f>
        <v xml:space="preserve">Lt: </v>
      </c>
      <c r="J149" s="190"/>
    </row>
    <row r="150" spans="1:10" ht="14.1" customHeight="1">
      <c r="A150" s="610" t="str">
        <f t="shared" si="12"/>
        <v xml:space="preserve">  0</v>
      </c>
      <c r="B150" s="610"/>
      <c r="D150" s="610" t="str">
        <f t="shared" si="3"/>
        <v xml:space="preserve">  0</v>
      </c>
      <c r="E150" s="610"/>
      <c r="J150" s="190"/>
    </row>
    <row r="151" spans="1:10" ht="14.1" customHeight="1">
      <c r="A151" s="609" t="str">
        <f t="shared" si="12"/>
        <v>QFP: JGARCIA   QFV: ADELTORO</v>
      </c>
      <c r="B151" s="609"/>
      <c r="D151" s="609" t="str">
        <f t="shared" si="3"/>
        <v>QFP: JGARCIA   QFV: ADELTORO</v>
      </c>
      <c r="E151" s="609"/>
      <c r="J151" s="190"/>
    </row>
    <row r="152" spans="1:10" ht="14.1" customHeight="1">
      <c r="A152" s="609" t="str">
        <f t="shared" si="12"/>
        <v>C.JPC/SEXTO NTE/SCOOP   Cama: NA</v>
      </c>
      <c r="B152" s="609"/>
      <c r="D152" s="609" t="str">
        <f t="shared" si="3"/>
        <v>C.JPC/SEXTO NTE/SCOOP   Cama: NA</v>
      </c>
      <c r="E152" s="609"/>
      <c r="J152" s="190"/>
    </row>
    <row r="153" spans="1:10" ht="14.1" customHeight="1">
      <c r="A153" s="609" t="str">
        <f t="shared" si="12"/>
        <v>UNIDOSSIS S.A.S.</v>
      </c>
      <c r="B153" s="609"/>
      <c r="D153" s="609" t="str">
        <f t="shared" si="3"/>
        <v>UNIDOSSIS S.A.S.</v>
      </c>
      <c r="E153" s="609"/>
      <c r="J153" s="190"/>
    </row>
    <row r="154" spans="1:10" ht="14.1" customHeight="1">
      <c r="A154" s="610" t="e">
        <f>'DATOS ETIQ'!B$12&amp;"  "&amp;'DATOS ETIQ'!C$12&amp;"  "&amp;'DATOS ETIQ'!D$12&amp;'DATOS ETIQ'!Q$12</f>
        <v>#N/A</v>
      </c>
      <c r="B154" s="610"/>
      <c r="C154" s="195"/>
      <c r="D154" s="610" t="e">
        <f t="shared" si="3"/>
        <v>#N/A</v>
      </c>
      <c r="E154" s="610"/>
      <c r="J154" s="190"/>
    </row>
    <row r="155" spans="1:10" ht="14.1" customHeight="1" thickBot="1">
      <c r="A155" s="610" t="e">
        <f>IF('DATOS ETIQ'!P$12=1,"Do: "&amp;'DATOS ETIQ'!F$12&amp;"mg   VolDo: "&amp;'DATOS ETIQ'!G$12&amp;"mL","Dilución 1/"&amp;'DATOS ETIQ'!P$12&amp;"  "&amp;'DATOS ETIQ'!E$12&amp;"mg/mL   Do: "&amp;'DATOS ETIQ'!F$12&amp;"mg   VolDo: "&amp;'DATOS ETIQ'!G$12&amp;"mL")</f>
        <v>#N/A</v>
      </c>
      <c r="B155" s="610"/>
      <c r="C155" s="195"/>
      <c r="D155" s="610" t="e">
        <f t="shared" si="3"/>
        <v>#N/A</v>
      </c>
      <c r="E155" s="610"/>
      <c r="J155" s="190"/>
    </row>
    <row r="156" spans="1:10" ht="14.1" customHeight="1">
      <c r="A156" s="182" t="e">
        <f ca="1">'DATOS ETIQ'!H$12</f>
        <v>#N/A</v>
      </c>
      <c r="B156" s="183" t="str">
        <f>"Lt: "&amp;'DATOS ETIQ'!I$12</f>
        <v xml:space="preserve">Lt: </v>
      </c>
      <c r="D156" s="182" t="e">
        <f t="shared" ca="1" si="3"/>
        <v>#N/A</v>
      </c>
      <c r="E156" s="183" t="str">
        <f>B156</f>
        <v xml:space="preserve">Lt: </v>
      </c>
      <c r="G156" s="611" t="e">
        <f>'FR PD 001 V1'!T16</f>
        <v>#N/A</v>
      </c>
      <c r="J156" s="611">
        <v>11</v>
      </c>
    </row>
    <row r="157" spans="1:10" ht="14.1" customHeight="1" thickBot="1">
      <c r="A157" s="610" t="str">
        <f>'DATOS ETIQ'!J$12&amp;"  "&amp;'DATOS ETIQ'!K$12</f>
        <v xml:space="preserve">  0</v>
      </c>
      <c r="B157" s="610"/>
      <c r="C157" s="195"/>
      <c r="D157" s="610" t="str">
        <f t="shared" si="3"/>
        <v xml:space="preserve">  0</v>
      </c>
      <c r="E157" s="610"/>
      <c r="G157" s="612"/>
      <c r="J157" s="612"/>
    </row>
    <row r="158" spans="1:10" ht="14.1" customHeight="1">
      <c r="A158" s="609" t="str">
        <f>"QFP: "&amp;'DATOS ETIQ'!L$12&amp;"   QFV: "&amp;'DATOS ETIQ'!M$12</f>
        <v>QFP: JGARCIA   QFV: ADELTORO</v>
      </c>
      <c r="B158" s="609"/>
      <c r="D158" s="609" t="str">
        <f t="shared" si="3"/>
        <v>QFP: JGARCIA   QFV: ADELTORO</v>
      </c>
      <c r="E158" s="609"/>
      <c r="J158" s="190"/>
    </row>
    <row r="159" spans="1:10" ht="14.1" customHeight="1">
      <c r="A159" s="609" t="str">
        <f>'DATOS ETIQ'!N$12&amp;"   Cama: "&amp;'DATOS ETIQ'!O$12</f>
        <v>C.JPC/SEXTO NTE/SCOOP   Cama: NA</v>
      </c>
      <c r="B159" s="609"/>
      <c r="D159" s="609" t="str">
        <f t="shared" si="3"/>
        <v>C.JPC/SEXTO NTE/SCOOP   Cama: NA</v>
      </c>
      <c r="E159" s="609"/>
      <c r="J159" s="190"/>
    </row>
    <row r="160" spans="1:10" ht="14.1" customHeight="1">
      <c r="A160" s="609" t="s">
        <v>167</v>
      </c>
      <c r="B160" s="609"/>
      <c r="D160" s="609" t="str">
        <f t="shared" ref="D160:D295" si="13">A160</f>
        <v>UNIDOSSIS S.A.S.</v>
      </c>
      <c r="E160" s="609"/>
      <c r="J160" s="190"/>
    </row>
    <row r="161" spans="1:10" ht="14.1" customHeight="1">
      <c r="D161" s="194"/>
      <c r="E161" s="194"/>
      <c r="J161" s="190"/>
    </row>
    <row r="162" spans="1:10" ht="14.1" customHeight="1">
      <c r="A162" s="610" t="e">
        <f t="shared" ref="A162:A168" si="14">A154</f>
        <v>#N/A</v>
      </c>
      <c r="B162" s="610"/>
      <c r="D162" s="610" t="e">
        <f t="shared" si="13"/>
        <v>#N/A</v>
      </c>
      <c r="E162" s="610"/>
      <c r="J162" s="190"/>
    </row>
    <row r="163" spans="1:10" ht="14.1" customHeight="1">
      <c r="A163" s="610" t="e">
        <f t="shared" si="14"/>
        <v>#N/A</v>
      </c>
      <c r="B163" s="610"/>
      <c r="D163" s="610" t="e">
        <f t="shared" si="13"/>
        <v>#N/A</v>
      </c>
      <c r="E163" s="610"/>
      <c r="J163" s="190"/>
    </row>
    <row r="164" spans="1:10" ht="14.1" customHeight="1">
      <c r="A164" s="182" t="e">
        <f t="shared" ca="1" si="14"/>
        <v>#N/A</v>
      </c>
      <c r="B164" s="183" t="str">
        <f>B156</f>
        <v xml:space="preserve">Lt: </v>
      </c>
      <c r="D164" s="182" t="e">
        <f t="shared" ca="1" si="13"/>
        <v>#N/A</v>
      </c>
      <c r="E164" s="183" t="str">
        <f>B164</f>
        <v xml:space="preserve">Lt: </v>
      </c>
      <c r="J164" s="190"/>
    </row>
    <row r="165" spans="1:10" ht="14.1" customHeight="1">
      <c r="A165" s="610" t="str">
        <f t="shared" si="14"/>
        <v xml:space="preserve">  0</v>
      </c>
      <c r="B165" s="610"/>
      <c r="D165" s="610" t="str">
        <f t="shared" si="13"/>
        <v xml:space="preserve">  0</v>
      </c>
      <c r="E165" s="610"/>
      <c r="J165" s="190"/>
    </row>
    <row r="166" spans="1:10" ht="14.1" customHeight="1">
      <c r="A166" s="609" t="str">
        <f t="shared" si="14"/>
        <v>QFP: JGARCIA   QFV: ADELTORO</v>
      </c>
      <c r="B166" s="609"/>
      <c r="D166" s="609" t="str">
        <f t="shared" si="13"/>
        <v>QFP: JGARCIA   QFV: ADELTORO</v>
      </c>
      <c r="E166" s="609"/>
      <c r="J166" s="190"/>
    </row>
    <row r="167" spans="1:10" ht="14.1" customHeight="1">
      <c r="A167" s="609" t="str">
        <f t="shared" si="14"/>
        <v>C.JPC/SEXTO NTE/SCOOP   Cama: NA</v>
      </c>
      <c r="B167" s="609"/>
      <c r="D167" s="609" t="str">
        <f t="shared" si="13"/>
        <v>C.JPC/SEXTO NTE/SCOOP   Cama: NA</v>
      </c>
      <c r="E167" s="609"/>
      <c r="J167" s="190"/>
    </row>
    <row r="168" spans="1:10" ht="14.1" customHeight="1">
      <c r="A168" s="609" t="str">
        <f t="shared" si="14"/>
        <v>UNIDOSSIS S.A.S.</v>
      </c>
      <c r="B168" s="609"/>
      <c r="D168" s="609" t="str">
        <f t="shared" si="13"/>
        <v>UNIDOSSIS S.A.S.</v>
      </c>
      <c r="E168" s="609"/>
      <c r="J168" s="190"/>
    </row>
    <row r="169" spans="1:10" ht="14.1" customHeight="1">
      <c r="A169" s="610" t="e">
        <f>'DATOS ETIQ'!B$13&amp;"  "&amp;'DATOS ETIQ'!C$13&amp;"  "&amp;'DATOS ETIQ'!D$13&amp;'DATOS ETIQ'!Q$13</f>
        <v>#N/A</v>
      </c>
      <c r="B169" s="610"/>
      <c r="C169" s="195"/>
      <c r="D169" s="610" t="e">
        <f t="shared" si="13"/>
        <v>#N/A</v>
      </c>
      <c r="E169" s="610"/>
      <c r="J169" s="190"/>
    </row>
    <row r="170" spans="1:10" ht="14.1" customHeight="1" thickBot="1">
      <c r="A170" s="610" t="e">
        <f>IF('DATOS ETIQ'!P$13=1,"Do: "&amp;'DATOS ETIQ'!F$13&amp;"mg   VolDo: "&amp;'DATOS ETIQ'!G$13&amp;"mL","Dilución 1/"&amp;'DATOS ETIQ'!P$13&amp;"  "&amp;'DATOS ETIQ'!E$13&amp;"mg/mL   Do: "&amp;'DATOS ETIQ'!F$13&amp;"mg   VolDo: "&amp;'DATOS ETIQ'!G$13&amp;"mL")</f>
        <v>#N/A</v>
      </c>
      <c r="B170" s="610"/>
      <c r="C170" s="195"/>
      <c r="D170" s="610" t="e">
        <f t="shared" si="13"/>
        <v>#N/A</v>
      </c>
      <c r="E170" s="610"/>
      <c r="J170" s="190"/>
    </row>
    <row r="171" spans="1:10" ht="14.1" customHeight="1">
      <c r="A171" s="182" t="e">
        <f ca="1">'DATOS ETIQ'!H$13</f>
        <v>#N/A</v>
      </c>
      <c r="B171" s="183" t="str">
        <f>"Lt: "&amp;'DATOS ETIQ'!I$13</f>
        <v xml:space="preserve">Lt: </v>
      </c>
      <c r="D171" s="182" t="e">
        <f t="shared" ca="1" si="13"/>
        <v>#N/A</v>
      </c>
      <c r="E171" s="183" t="str">
        <f>B171</f>
        <v xml:space="preserve">Lt: </v>
      </c>
      <c r="G171" s="611" t="e">
        <f>'FR PD 001 V1'!T17</f>
        <v>#N/A</v>
      </c>
      <c r="J171" s="611">
        <v>12</v>
      </c>
    </row>
    <row r="172" spans="1:10" ht="14.1" customHeight="1" thickBot="1">
      <c r="A172" s="610" t="str">
        <f>'DATOS ETIQ'!J$13&amp;"  "&amp;'DATOS ETIQ'!K$13</f>
        <v xml:space="preserve">  0</v>
      </c>
      <c r="B172" s="610"/>
      <c r="C172" s="195"/>
      <c r="D172" s="610" t="str">
        <f t="shared" si="13"/>
        <v xml:space="preserve">  0</v>
      </c>
      <c r="E172" s="610"/>
      <c r="G172" s="612"/>
      <c r="J172" s="612"/>
    </row>
    <row r="173" spans="1:10" ht="14.1" customHeight="1">
      <c r="A173" s="609" t="str">
        <f>"QFP: "&amp;'DATOS ETIQ'!L$13&amp;"   QFV: "&amp;'DATOS ETIQ'!M$13</f>
        <v>QFP: JGARCIA   QFV: ADELTORO</v>
      </c>
      <c r="B173" s="609"/>
      <c r="D173" s="609" t="str">
        <f t="shared" si="13"/>
        <v>QFP: JGARCIA   QFV: ADELTORO</v>
      </c>
      <c r="E173" s="609"/>
      <c r="J173" s="190"/>
    </row>
    <row r="174" spans="1:10" ht="14.1" customHeight="1">
      <c r="A174" s="609" t="str">
        <f>'DATOS ETIQ'!N$13&amp;"   Cama: "&amp;'DATOS ETIQ'!O$13</f>
        <v>C.JPC/SEXTO NTE/SCOOP   Cama: NA</v>
      </c>
      <c r="B174" s="609"/>
      <c r="D174" s="609" t="str">
        <f t="shared" si="13"/>
        <v>C.JPC/SEXTO NTE/SCOOP   Cama: NA</v>
      </c>
      <c r="E174" s="609"/>
      <c r="J174" s="190"/>
    </row>
    <row r="175" spans="1:10" ht="14.1" customHeight="1">
      <c r="A175" s="609" t="s">
        <v>167</v>
      </c>
      <c r="B175" s="609"/>
      <c r="D175" s="609" t="str">
        <f t="shared" si="13"/>
        <v>UNIDOSSIS S.A.S.</v>
      </c>
      <c r="E175" s="609"/>
      <c r="J175" s="190"/>
    </row>
    <row r="176" spans="1:10" ht="14.1" customHeight="1">
      <c r="D176" s="194"/>
      <c r="E176" s="194"/>
      <c r="J176" s="190"/>
    </row>
    <row r="177" spans="1:10" ht="14.1" customHeight="1">
      <c r="A177" s="610" t="e">
        <f t="shared" ref="A177:A183" si="15">A169</f>
        <v>#N/A</v>
      </c>
      <c r="B177" s="610"/>
      <c r="D177" s="610" t="e">
        <f t="shared" si="13"/>
        <v>#N/A</v>
      </c>
      <c r="E177" s="610"/>
      <c r="J177" s="190"/>
    </row>
    <row r="178" spans="1:10" ht="14.1" customHeight="1">
      <c r="A178" s="610" t="e">
        <f t="shared" si="15"/>
        <v>#N/A</v>
      </c>
      <c r="B178" s="610"/>
      <c r="D178" s="610" t="e">
        <f t="shared" si="13"/>
        <v>#N/A</v>
      </c>
      <c r="E178" s="610"/>
      <c r="J178" s="190"/>
    </row>
    <row r="179" spans="1:10" ht="14.1" customHeight="1">
      <c r="A179" s="182" t="e">
        <f t="shared" ca="1" si="15"/>
        <v>#N/A</v>
      </c>
      <c r="B179" s="183" t="str">
        <f>B171</f>
        <v xml:space="preserve">Lt: </v>
      </c>
      <c r="D179" s="182" t="e">
        <f t="shared" ca="1" si="13"/>
        <v>#N/A</v>
      </c>
      <c r="E179" s="183" t="str">
        <f>B179</f>
        <v xml:space="preserve">Lt: </v>
      </c>
      <c r="J179" s="190"/>
    </row>
    <row r="180" spans="1:10" ht="14.1" customHeight="1">
      <c r="A180" s="610" t="str">
        <f t="shared" si="15"/>
        <v xml:space="preserve">  0</v>
      </c>
      <c r="B180" s="610"/>
      <c r="D180" s="610" t="str">
        <f t="shared" si="13"/>
        <v xml:space="preserve">  0</v>
      </c>
      <c r="E180" s="610"/>
      <c r="J180" s="190"/>
    </row>
    <row r="181" spans="1:10" ht="14.1" customHeight="1">
      <c r="A181" s="609" t="str">
        <f t="shared" si="15"/>
        <v>QFP: JGARCIA   QFV: ADELTORO</v>
      </c>
      <c r="B181" s="609"/>
      <c r="D181" s="609" t="str">
        <f t="shared" si="13"/>
        <v>QFP: JGARCIA   QFV: ADELTORO</v>
      </c>
      <c r="E181" s="609"/>
      <c r="J181" s="190"/>
    </row>
    <row r="182" spans="1:10" ht="14.1" customHeight="1">
      <c r="A182" s="609" t="str">
        <f t="shared" si="15"/>
        <v>C.JPC/SEXTO NTE/SCOOP   Cama: NA</v>
      </c>
      <c r="B182" s="609"/>
      <c r="D182" s="609" t="str">
        <f t="shared" si="13"/>
        <v>C.JPC/SEXTO NTE/SCOOP   Cama: NA</v>
      </c>
      <c r="E182" s="609"/>
      <c r="J182" s="190"/>
    </row>
    <row r="183" spans="1:10" ht="14.1" customHeight="1">
      <c r="A183" s="609" t="str">
        <f t="shared" si="15"/>
        <v>UNIDOSSIS S.A.S.</v>
      </c>
      <c r="B183" s="609"/>
      <c r="D183" s="609" t="str">
        <f t="shared" si="13"/>
        <v>UNIDOSSIS S.A.S.</v>
      </c>
      <c r="E183" s="609"/>
      <c r="J183" s="190"/>
    </row>
    <row r="184" spans="1:10" ht="14.1" customHeight="1">
      <c r="A184" s="610" t="e">
        <f>'DATOS ETIQ'!B$14&amp;"  "&amp;'DATOS ETIQ'!C$14&amp;"  "&amp;'DATOS ETIQ'!D$14&amp;'DATOS ETIQ'!Q$14</f>
        <v>#N/A</v>
      </c>
      <c r="B184" s="610"/>
      <c r="C184" s="195"/>
      <c r="D184" s="610" t="e">
        <f t="shared" si="13"/>
        <v>#N/A</v>
      </c>
      <c r="E184" s="610"/>
      <c r="J184" s="190"/>
    </row>
    <row r="185" spans="1:10" ht="14.1" customHeight="1" thickBot="1">
      <c r="A185" s="610" t="e">
        <f>IF('DATOS ETIQ'!P$14=1,"Do: "&amp;'DATOS ETIQ'!F$14&amp;"mg   VolDo: "&amp;'DATOS ETIQ'!G$14&amp;"mL","Dilución 1/"&amp;'DATOS ETIQ'!P$14&amp;"  "&amp;'DATOS ETIQ'!E$14&amp;"mg/mL   Do: "&amp;'DATOS ETIQ'!F$14&amp;"mg   VolDo: "&amp;'DATOS ETIQ'!G$14&amp;"mL")</f>
        <v>#N/A</v>
      </c>
      <c r="B185" s="610"/>
      <c r="C185" s="195"/>
      <c r="D185" s="610" t="e">
        <f t="shared" si="13"/>
        <v>#N/A</v>
      </c>
      <c r="E185" s="610"/>
      <c r="J185" s="190"/>
    </row>
    <row r="186" spans="1:10" ht="14.1" customHeight="1">
      <c r="A186" s="182" t="e">
        <f ca="1">'DATOS ETIQ'!H$14</f>
        <v>#N/A</v>
      </c>
      <c r="B186" s="183" t="str">
        <f>"Lt: "&amp;'DATOS ETIQ'!I$14</f>
        <v xml:space="preserve">Lt: </v>
      </c>
      <c r="D186" s="182" t="e">
        <f t="shared" ca="1" si="13"/>
        <v>#N/A</v>
      </c>
      <c r="E186" s="183" t="str">
        <f>B186</f>
        <v xml:space="preserve">Lt: </v>
      </c>
      <c r="G186" s="611" t="e">
        <f>'FR PD 001 V1'!T18</f>
        <v>#N/A</v>
      </c>
      <c r="J186" s="611">
        <v>13</v>
      </c>
    </row>
    <row r="187" spans="1:10" ht="14.1" customHeight="1" thickBot="1">
      <c r="A187" s="610" t="str">
        <f>'DATOS ETIQ'!J$14&amp;"  "&amp;'DATOS ETIQ'!K$14</f>
        <v xml:space="preserve">  0</v>
      </c>
      <c r="B187" s="610"/>
      <c r="C187" s="195"/>
      <c r="D187" s="610" t="str">
        <f t="shared" si="13"/>
        <v xml:space="preserve">  0</v>
      </c>
      <c r="E187" s="610"/>
      <c r="G187" s="612"/>
      <c r="J187" s="612"/>
    </row>
    <row r="188" spans="1:10" ht="14.1" customHeight="1">
      <c r="A188" s="609" t="str">
        <f>"QFP: "&amp;'DATOS ETIQ'!L$14&amp;"   QFV: "&amp;'DATOS ETIQ'!M$14</f>
        <v>QFP: JGARCIA   QFV: ADELTORO</v>
      </c>
      <c r="B188" s="609"/>
      <c r="D188" s="609" t="str">
        <f t="shared" si="13"/>
        <v>QFP: JGARCIA   QFV: ADELTORO</v>
      </c>
      <c r="E188" s="609"/>
      <c r="J188" s="190"/>
    </row>
    <row r="189" spans="1:10" ht="14.1" customHeight="1">
      <c r="A189" s="609" t="str">
        <f>'DATOS ETIQ'!N$14&amp;"   Cama: "&amp;'DATOS ETIQ'!O$14</f>
        <v>C.JPC/SEXTO NTE/SCOOP   Cama: NA</v>
      </c>
      <c r="B189" s="609"/>
      <c r="D189" s="609" t="str">
        <f t="shared" si="13"/>
        <v>C.JPC/SEXTO NTE/SCOOP   Cama: NA</v>
      </c>
      <c r="E189" s="609"/>
      <c r="J189" s="190"/>
    </row>
    <row r="190" spans="1:10" ht="14.1" customHeight="1">
      <c r="A190" s="609" t="s">
        <v>167</v>
      </c>
      <c r="B190" s="609"/>
      <c r="D190" s="609" t="str">
        <f t="shared" si="13"/>
        <v>UNIDOSSIS S.A.S.</v>
      </c>
      <c r="E190" s="609"/>
      <c r="J190" s="190"/>
    </row>
    <row r="191" spans="1:10" ht="14.1" customHeight="1">
      <c r="D191" s="194"/>
      <c r="E191" s="194"/>
      <c r="J191" s="190"/>
    </row>
    <row r="192" spans="1:10" ht="14.1" customHeight="1">
      <c r="A192" s="610" t="e">
        <f t="shared" ref="A192:A198" si="16">A184</f>
        <v>#N/A</v>
      </c>
      <c r="B192" s="610"/>
      <c r="D192" s="610" t="e">
        <f t="shared" si="13"/>
        <v>#N/A</v>
      </c>
      <c r="E192" s="610"/>
      <c r="J192" s="190"/>
    </row>
    <row r="193" spans="1:10" ht="14.1" customHeight="1">
      <c r="A193" s="610" t="e">
        <f t="shared" si="16"/>
        <v>#N/A</v>
      </c>
      <c r="B193" s="610"/>
      <c r="D193" s="610" t="e">
        <f t="shared" si="13"/>
        <v>#N/A</v>
      </c>
      <c r="E193" s="610"/>
      <c r="J193" s="190"/>
    </row>
    <row r="194" spans="1:10" ht="14.1" customHeight="1">
      <c r="A194" s="182" t="e">
        <f t="shared" ca="1" si="16"/>
        <v>#N/A</v>
      </c>
      <c r="B194" s="183" t="str">
        <f>B186</f>
        <v xml:space="preserve">Lt: </v>
      </c>
      <c r="D194" s="182" t="e">
        <f t="shared" ca="1" si="13"/>
        <v>#N/A</v>
      </c>
      <c r="E194" s="183" t="str">
        <f>B194</f>
        <v xml:space="preserve">Lt: </v>
      </c>
      <c r="J194" s="190"/>
    </row>
    <row r="195" spans="1:10" ht="14.1" customHeight="1">
      <c r="A195" s="610" t="str">
        <f t="shared" si="16"/>
        <v xml:space="preserve">  0</v>
      </c>
      <c r="B195" s="610"/>
      <c r="D195" s="610" t="str">
        <f t="shared" si="13"/>
        <v xml:space="preserve">  0</v>
      </c>
      <c r="E195" s="610"/>
      <c r="J195" s="190"/>
    </row>
    <row r="196" spans="1:10" ht="14.1" customHeight="1">
      <c r="A196" s="609" t="str">
        <f t="shared" si="16"/>
        <v>QFP: JGARCIA   QFV: ADELTORO</v>
      </c>
      <c r="B196" s="609"/>
      <c r="D196" s="609" t="str">
        <f t="shared" si="13"/>
        <v>QFP: JGARCIA   QFV: ADELTORO</v>
      </c>
      <c r="E196" s="609"/>
      <c r="J196" s="190"/>
    </row>
    <row r="197" spans="1:10" ht="14.1" customHeight="1">
      <c r="A197" s="609" t="str">
        <f t="shared" si="16"/>
        <v>C.JPC/SEXTO NTE/SCOOP   Cama: NA</v>
      </c>
      <c r="B197" s="609"/>
      <c r="D197" s="609" t="str">
        <f t="shared" si="13"/>
        <v>C.JPC/SEXTO NTE/SCOOP   Cama: NA</v>
      </c>
      <c r="E197" s="609"/>
      <c r="J197" s="190"/>
    </row>
    <row r="198" spans="1:10" ht="14.1" customHeight="1">
      <c r="A198" s="609" t="str">
        <f t="shared" si="16"/>
        <v>UNIDOSSIS S.A.S.</v>
      </c>
      <c r="B198" s="609"/>
      <c r="D198" s="609" t="str">
        <f t="shared" si="13"/>
        <v>UNIDOSSIS S.A.S.</v>
      </c>
      <c r="E198" s="609"/>
      <c r="J198" s="190"/>
    </row>
    <row r="199" spans="1:10" ht="14.1" customHeight="1">
      <c r="A199" s="610" t="e">
        <f>'DATOS ETIQ'!B$15&amp;"  "&amp;'DATOS ETIQ'!C$15&amp;"  "&amp;'DATOS ETIQ'!D$15&amp;'DATOS ETIQ'!Q$15</f>
        <v>#N/A</v>
      </c>
      <c r="B199" s="610"/>
      <c r="C199" s="195"/>
      <c r="D199" s="610" t="e">
        <f t="shared" si="13"/>
        <v>#N/A</v>
      </c>
      <c r="E199" s="610"/>
      <c r="J199" s="190"/>
    </row>
    <row r="200" spans="1:10" ht="14.1" customHeight="1" thickBot="1">
      <c r="A200" s="610" t="e">
        <f>IF('DATOS ETIQ'!P$15=1,"Do: "&amp;'DATOS ETIQ'!F$15&amp;"mg   VolDo: "&amp;'DATOS ETIQ'!G$15&amp;"mL","Dilución 1/"&amp;'DATOS ETIQ'!P$15&amp;"  "&amp;'DATOS ETIQ'!E$15&amp;"mg/mL   Do: "&amp;'DATOS ETIQ'!F$15&amp;"mg   VolDo: "&amp;'DATOS ETIQ'!G$15&amp;"mL")</f>
        <v>#N/A</v>
      </c>
      <c r="B200" s="610"/>
      <c r="C200" s="195"/>
      <c r="D200" s="610" t="e">
        <f t="shared" si="13"/>
        <v>#N/A</v>
      </c>
      <c r="E200" s="610"/>
      <c r="J200" s="190"/>
    </row>
    <row r="201" spans="1:10" ht="14.1" customHeight="1">
      <c r="A201" s="182" t="e">
        <f ca="1">'DATOS ETIQ'!H$15</f>
        <v>#N/A</v>
      </c>
      <c r="B201" s="183" t="str">
        <f>"Lt: "&amp;'DATOS ETIQ'!I$15</f>
        <v xml:space="preserve">Lt: </v>
      </c>
      <c r="D201" s="182" t="e">
        <f t="shared" ca="1" si="13"/>
        <v>#N/A</v>
      </c>
      <c r="E201" s="183" t="str">
        <f>B201</f>
        <v xml:space="preserve">Lt: </v>
      </c>
      <c r="G201" s="611" t="e">
        <f>'FR PD 001 V1'!T19</f>
        <v>#N/A</v>
      </c>
      <c r="J201" s="611">
        <v>14</v>
      </c>
    </row>
    <row r="202" spans="1:10" ht="14.1" customHeight="1" thickBot="1">
      <c r="A202" s="610" t="str">
        <f>'DATOS ETIQ'!J$15&amp;"  "&amp;'DATOS ETIQ'!K$15</f>
        <v xml:space="preserve">  0</v>
      </c>
      <c r="B202" s="610"/>
      <c r="C202" s="195"/>
      <c r="D202" s="610" t="str">
        <f t="shared" si="13"/>
        <v xml:space="preserve">  0</v>
      </c>
      <c r="E202" s="610"/>
      <c r="G202" s="612"/>
      <c r="J202" s="612"/>
    </row>
    <row r="203" spans="1:10" ht="14.1" customHeight="1">
      <c r="A203" s="609" t="str">
        <f>"QFP: "&amp;'DATOS ETIQ'!L$15&amp;"   QFV: "&amp;'DATOS ETIQ'!M$15</f>
        <v>QFP: JGARCIA   QFV: ADELTORO</v>
      </c>
      <c r="B203" s="609"/>
      <c r="D203" s="609" t="str">
        <f t="shared" si="13"/>
        <v>QFP: JGARCIA   QFV: ADELTORO</v>
      </c>
      <c r="E203" s="609"/>
      <c r="J203" s="190"/>
    </row>
    <row r="204" spans="1:10" ht="14.1" customHeight="1">
      <c r="A204" s="609" t="str">
        <f>'DATOS ETIQ'!N$15&amp;"   Cama: "&amp;'DATOS ETIQ'!O$15</f>
        <v>C.JPC/SEXTO NTE/SCOOP   Cama: NA</v>
      </c>
      <c r="B204" s="609"/>
      <c r="D204" s="609" t="str">
        <f t="shared" si="13"/>
        <v>C.JPC/SEXTO NTE/SCOOP   Cama: NA</v>
      </c>
      <c r="E204" s="609"/>
      <c r="J204" s="190"/>
    </row>
    <row r="205" spans="1:10" ht="14.1" customHeight="1">
      <c r="A205" s="609" t="s">
        <v>167</v>
      </c>
      <c r="B205" s="609"/>
      <c r="D205" s="609" t="str">
        <f t="shared" si="13"/>
        <v>UNIDOSSIS S.A.S.</v>
      </c>
      <c r="E205" s="609"/>
      <c r="J205" s="190"/>
    </row>
    <row r="206" spans="1:10" ht="14.1" customHeight="1">
      <c r="D206" s="194"/>
      <c r="E206" s="194"/>
      <c r="J206" s="190"/>
    </row>
    <row r="207" spans="1:10" ht="14.1" customHeight="1">
      <c r="A207" s="610" t="e">
        <f t="shared" ref="A207:A213" si="17">A199</f>
        <v>#N/A</v>
      </c>
      <c r="B207" s="610"/>
      <c r="D207" s="610" t="e">
        <f t="shared" si="13"/>
        <v>#N/A</v>
      </c>
      <c r="E207" s="610"/>
      <c r="J207" s="190"/>
    </row>
    <row r="208" spans="1:10" ht="14.1" customHeight="1">
      <c r="A208" s="610" t="e">
        <f t="shared" si="17"/>
        <v>#N/A</v>
      </c>
      <c r="B208" s="610"/>
      <c r="D208" s="610" t="e">
        <f t="shared" si="13"/>
        <v>#N/A</v>
      </c>
      <c r="E208" s="610"/>
      <c r="J208" s="190"/>
    </row>
    <row r="209" spans="1:10" ht="14.1" customHeight="1">
      <c r="A209" s="182" t="e">
        <f t="shared" ca="1" si="17"/>
        <v>#N/A</v>
      </c>
      <c r="B209" s="183" t="str">
        <f>B201</f>
        <v xml:space="preserve">Lt: </v>
      </c>
      <c r="D209" s="182" t="e">
        <f t="shared" ca="1" si="13"/>
        <v>#N/A</v>
      </c>
      <c r="E209" s="183" t="str">
        <f>B209</f>
        <v xml:space="preserve">Lt: </v>
      </c>
      <c r="J209" s="190"/>
    </row>
    <row r="210" spans="1:10" ht="14.1" customHeight="1">
      <c r="A210" s="610" t="str">
        <f t="shared" si="17"/>
        <v xml:space="preserve">  0</v>
      </c>
      <c r="B210" s="610"/>
      <c r="D210" s="610" t="str">
        <f t="shared" si="13"/>
        <v xml:space="preserve">  0</v>
      </c>
      <c r="E210" s="610"/>
      <c r="J210" s="190"/>
    </row>
    <row r="211" spans="1:10" ht="14.1" customHeight="1">
      <c r="A211" s="609" t="str">
        <f t="shared" si="17"/>
        <v>QFP: JGARCIA   QFV: ADELTORO</v>
      </c>
      <c r="B211" s="609"/>
      <c r="D211" s="609" t="str">
        <f t="shared" si="13"/>
        <v>QFP: JGARCIA   QFV: ADELTORO</v>
      </c>
      <c r="E211" s="609"/>
      <c r="J211" s="190"/>
    </row>
    <row r="212" spans="1:10" ht="14.1" customHeight="1">
      <c r="A212" s="609" t="str">
        <f t="shared" si="17"/>
        <v>C.JPC/SEXTO NTE/SCOOP   Cama: NA</v>
      </c>
      <c r="B212" s="609"/>
      <c r="D212" s="609" t="str">
        <f t="shared" si="13"/>
        <v>C.JPC/SEXTO NTE/SCOOP   Cama: NA</v>
      </c>
      <c r="E212" s="609"/>
      <c r="J212" s="190"/>
    </row>
    <row r="213" spans="1:10" ht="14.1" customHeight="1">
      <c r="A213" s="609" t="str">
        <f t="shared" si="17"/>
        <v>UNIDOSSIS S.A.S.</v>
      </c>
      <c r="B213" s="609"/>
      <c r="D213" s="609" t="str">
        <f t="shared" si="13"/>
        <v>UNIDOSSIS S.A.S.</v>
      </c>
      <c r="E213" s="609"/>
      <c r="J213" s="190"/>
    </row>
    <row r="214" spans="1:10" ht="14.1" customHeight="1">
      <c r="A214" s="610" t="e">
        <f>'DATOS ETIQ'!B$16&amp;"  "&amp;'DATOS ETIQ'!C$16&amp;"  "&amp;'DATOS ETIQ'!D$16&amp;'DATOS ETIQ'!Q$16</f>
        <v>#N/A</v>
      </c>
      <c r="B214" s="610"/>
      <c r="C214" s="195"/>
      <c r="D214" s="610" t="e">
        <f t="shared" si="13"/>
        <v>#N/A</v>
      </c>
      <c r="E214" s="610"/>
      <c r="J214" s="190"/>
    </row>
    <row r="215" spans="1:10" ht="14.1" customHeight="1" thickBot="1">
      <c r="A215" s="610" t="e">
        <f>IF('DATOS ETIQ'!P$16=1,"Do: "&amp;'DATOS ETIQ'!F$16&amp;"mg   VolDo: "&amp;'DATOS ETIQ'!G$16&amp;"mL","Dilución 1/"&amp;'DATOS ETIQ'!P$16&amp;"  "&amp;'DATOS ETIQ'!E$16&amp;"mg/mL   Do: "&amp;'DATOS ETIQ'!F$16&amp;"mg   VolDo: "&amp;'DATOS ETIQ'!G$16&amp;"mL")</f>
        <v>#N/A</v>
      </c>
      <c r="B215" s="610"/>
      <c r="C215" s="195"/>
      <c r="D215" s="610" t="e">
        <f t="shared" si="13"/>
        <v>#N/A</v>
      </c>
      <c r="E215" s="610"/>
      <c r="J215" s="190"/>
    </row>
    <row r="216" spans="1:10" ht="14.1" customHeight="1">
      <c r="A216" s="182" t="e">
        <f ca="1">'DATOS ETIQ'!H$16</f>
        <v>#N/A</v>
      </c>
      <c r="B216" s="183" t="str">
        <f>"Lt: "&amp;'DATOS ETIQ'!I$16</f>
        <v xml:space="preserve">Lt: </v>
      </c>
      <c r="D216" s="182" t="e">
        <f t="shared" ca="1" si="13"/>
        <v>#N/A</v>
      </c>
      <c r="E216" s="183" t="str">
        <f>B216</f>
        <v xml:space="preserve">Lt: </v>
      </c>
      <c r="G216" s="611" t="e">
        <f>'FR PD 001 V1'!T20</f>
        <v>#N/A</v>
      </c>
      <c r="J216" s="611">
        <v>15</v>
      </c>
    </row>
    <row r="217" spans="1:10" ht="14.1" customHeight="1" thickBot="1">
      <c r="A217" s="610" t="str">
        <f>'DATOS ETIQ'!J$16&amp;"  "&amp;'DATOS ETIQ'!K$16</f>
        <v xml:space="preserve">  0</v>
      </c>
      <c r="B217" s="610"/>
      <c r="C217" s="195"/>
      <c r="D217" s="610" t="str">
        <f t="shared" si="13"/>
        <v xml:space="preserve">  0</v>
      </c>
      <c r="E217" s="610"/>
      <c r="G217" s="612"/>
      <c r="J217" s="612"/>
    </row>
    <row r="218" spans="1:10" ht="14.1" customHeight="1">
      <c r="A218" s="609" t="str">
        <f>"QFP: "&amp;'DATOS ETIQ'!L$16&amp;"   QFV: "&amp;'DATOS ETIQ'!M$16</f>
        <v>QFP: JGARCIA   QFV: ADELTORO</v>
      </c>
      <c r="B218" s="609"/>
      <c r="D218" s="609" t="str">
        <f t="shared" si="13"/>
        <v>QFP: JGARCIA   QFV: ADELTORO</v>
      </c>
      <c r="E218" s="609"/>
      <c r="J218" s="190"/>
    </row>
    <row r="219" spans="1:10" ht="14.1" customHeight="1">
      <c r="A219" s="609" t="str">
        <f>'DATOS ETIQ'!N$16&amp;"   Cama: "&amp;'DATOS ETIQ'!O$16</f>
        <v>C.JPC/SEXTO NTE/SCOOP   Cama: NA</v>
      </c>
      <c r="B219" s="609"/>
      <c r="D219" s="609" t="str">
        <f t="shared" si="13"/>
        <v>C.JPC/SEXTO NTE/SCOOP   Cama: NA</v>
      </c>
      <c r="E219" s="609"/>
      <c r="J219" s="190"/>
    </row>
    <row r="220" spans="1:10" ht="14.1" customHeight="1">
      <c r="A220" s="609" t="s">
        <v>167</v>
      </c>
      <c r="B220" s="609"/>
      <c r="D220" s="609" t="str">
        <f t="shared" si="13"/>
        <v>UNIDOSSIS S.A.S.</v>
      </c>
      <c r="E220" s="609"/>
      <c r="J220" s="190"/>
    </row>
    <row r="221" spans="1:10" ht="14.1" customHeight="1">
      <c r="D221" s="194"/>
      <c r="E221" s="194"/>
      <c r="J221" s="190"/>
    </row>
    <row r="222" spans="1:10" ht="14.1" customHeight="1">
      <c r="A222" s="610" t="e">
        <f t="shared" ref="A222:A228" si="18">A214</f>
        <v>#N/A</v>
      </c>
      <c r="B222" s="610"/>
      <c r="D222" s="610" t="e">
        <f t="shared" si="13"/>
        <v>#N/A</v>
      </c>
      <c r="E222" s="610"/>
      <c r="J222" s="190"/>
    </row>
    <row r="223" spans="1:10" ht="14.1" customHeight="1">
      <c r="A223" s="610" t="e">
        <f t="shared" si="18"/>
        <v>#N/A</v>
      </c>
      <c r="B223" s="610"/>
      <c r="D223" s="610" t="e">
        <f t="shared" si="13"/>
        <v>#N/A</v>
      </c>
      <c r="E223" s="610"/>
      <c r="J223" s="190"/>
    </row>
    <row r="224" spans="1:10" ht="14.1" customHeight="1">
      <c r="A224" s="182" t="e">
        <f t="shared" ca="1" si="18"/>
        <v>#N/A</v>
      </c>
      <c r="B224" s="183" t="str">
        <f>B216</f>
        <v xml:space="preserve">Lt: </v>
      </c>
      <c r="D224" s="182" t="e">
        <f t="shared" ca="1" si="13"/>
        <v>#N/A</v>
      </c>
      <c r="E224" s="183" t="str">
        <f>B224</f>
        <v xml:space="preserve">Lt: </v>
      </c>
      <c r="J224" s="190"/>
    </row>
    <row r="225" spans="1:10" ht="14.1" customHeight="1">
      <c r="A225" s="610" t="str">
        <f t="shared" si="18"/>
        <v xml:space="preserve">  0</v>
      </c>
      <c r="B225" s="610"/>
      <c r="D225" s="610" t="str">
        <f t="shared" si="13"/>
        <v xml:space="preserve">  0</v>
      </c>
      <c r="E225" s="610"/>
      <c r="J225" s="190"/>
    </row>
    <row r="226" spans="1:10" ht="14.1" customHeight="1">
      <c r="A226" s="609" t="str">
        <f t="shared" si="18"/>
        <v>QFP: JGARCIA   QFV: ADELTORO</v>
      </c>
      <c r="B226" s="609"/>
      <c r="D226" s="609" t="str">
        <f t="shared" si="13"/>
        <v>QFP: JGARCIA   QFV: ADELTORO</v>
      </c>
      <c r="E226" s="609"/>
      <c r="J226" s="190"/>
    </row>
    <row r="227" spans="1:10" ht="14.1" customHeight="1">
      <c r="A227" s="609" t="str">
        <f t="shared" si="18"/>
        <v>C.JPC/SEXTO NTE/SCOOP   Cama: NA</v>
      </c>
      <c r="B227" s="609"/>
      <c r="D227" s="609" t="str">
        <f t="shared" si="13"/>
        <v>C.JPC/SEXTO NTE/SCOOP   Cama: NA</v>
      </c>
      <c r="E227" s="609"/>
      <c r="J227" s="190"/>
    </row>
    <row r="228" spans="1:10" ht="14.1" customHeight="1">
      <c r="A228" s="609" t="str">
        <f t="shared" si="18"/>
        <v>UNIDOSSIS S.A.S.</v>
      </c>
      <c r="B228" s="609"/>
      <c r="D228" s="609" t="str">
        <f t="shared" si="13"/>
        <v>UNIDOSSIS S.A.S.</v>
      </c>
      <c r="E228" s="609"/>
      <c r="J228" s="190"/>
    </row>
    <row r="229" spans="1:10" ht="14.1" customHeight="1">
      <c r="A229" s="610" t="e">
        <f>'DATOS ETIQ'!B$17&amp;"  "&amp;'DATOS ETIQ'!C$17&amp;"  "&amp;'DATOS ETIQ'!D$17&amp;'DATOS ETIQ'!Q$17</f>
        <v>#N/A</v>
      </c>
      <c r="B229" s="610"/>
      <c r="C229" s="195"/>
      <c r="D229" s="610" t="e">
        <f t="shared" si="13"/>
        <v>#N/A</v>
      </c>
      <c r="E229" s="610"/>
      <c r="J229" s="190"/>
    </row>
    <row r="230" spans="1:10" ht="14.1" customHeight="1" thickBot="1">
      <c r="A230" s="610" t="e">
        <f>IF('DATOS ETIQ'!P$17=1,"Do: "&amp;'DATOS ETIQ'!F$17&amp;"mg   VolDo: "&amp;'DATOS ETIQ'!G$17&amp;"mL","Dilución 1/"&amp;'DATOS ETIQ'!P$17&amp;"  "&amp;'DATOS ETIQ'!E$17&amp;"mg/mL   Do: "&amp;'DATOS ETIQ'!F$17&amp;"mg   VolDo: "&amp;'DATOS ETIQ'!G$17&amp;"mL")</f>
        <v>#N/A</v>
      </c>
      <c r="B230" s="610"/>
      <c r="C230" s="195"/>
      <c r="D230" s="610" t="e">
        <f t="shared" si="13"/>
        <v>#N/A</v>
      </c>
      <c r="E230" s="610"/>
      <c r="J230" s="190"/>
    </row>
    <row r="231" spans="1:10" ht="14.1" customHeight="1">
      <c r="A231" s="182" t="e">
        <f ca="1">'DATOS ETIQ'!H$17</f>
        <v>#N/A</v>
      </c>
      <c r="B231" s="183" t="str">
        <f>"Lt: "&amp;'DATOS ETIQ'!I$17</f>
        <v xml:space="preserve">Lt: </v>
      </c>
      <c r="D231" s="182" t="e">
        <f t="shared" ca="1" si="13"/>
        <v>#N/A</v>
      </c>
      <c r="E231" s="183" t="str">
        <f>B231</f>
        <v xml:space="preserve">Lt: </v>
      </c>
      <c r="G231" s="611" t="e">
        <f>'FR PD 001 V1'!T21</f>
        <v>#N/A</v>
      </c>
      <c r="J231" s="611">
        <v>16</v>
      </c>
    </row>
    <row r="232" spans="1:10" ht="14.1" customHeight="1" thickBot="1">
      <c r="A232" s="610" t="str">
        <f>'DATOS ETIQ'!J$17&amp;"  "&amp;'DATOS ETIQ'!K$17</f>
        <v xml:space="preserve">  0</v>
      </c>
      <c r="B232" s="610"/>
      <c r="C232" s="195"/>
      <c r="D232" s="610" t="str">
        <f t="shared" si="13"/>
        <v xml:space="preserve">  0</v>
      </c>
      <c r="E232" s="610"/>
      <c r="G232" s="612"/>
      <c r="J232" s="612"/>
    </row>
    <row r="233" spans="1:10" ht="14.1" customHeight="1">
      <c r="A233" s="609" t="str">
        <f>"QFP: "&amp;'DATOS ETIQ'!L$17&amp;"   QFV: "&amp;'DATOS ETIQ'!M$17</f>
        <v>QFP: JGARCIA   QFV: ADELTORO</v>
      </c>
      <c r="B233" s="609"/>
      <c r="D233" s="609" t="str">
        <f t="shared" si="13"/>
        <v>QFP: JGARCIA   QFV: ADELTORO</v>
      </c>
      <c r="E233" s="609"/>
      <c r="J233" s="190"/>
    </row>
    <row r="234" spans="1:10" ht="14.1" customHeight="1">
      <c r="A234" s="609" t="str">
        <f>'DATOS ETIQ'!N$17&amp;"   Cama: "&amp;'DATOS ETIQ'!O$17</f>
        <v>C.JPC/SEXTO NTE/SCOOP   Cama: NA</v>
      </c>
      <c r="B234" s="609"/>
      <c r="D234" s="609" t="str">
        <f t="shared" si="13"/>
        <v>C.JPC/SEXTO NTE/SCOOP   Cama: NA</v>
      </c>
      <c r="E234" s="609"/>
      <c r="J234" s="190"/>
    </row>
    <row r="235" spans="1:10" ht="14.1" customHeight="1">
      <c r="A235" s="609" t="s">
        <v>167</v>
      </c>
      <c r="B235" s="609"/>
      <c r="D235" s="609" t="str">
        <f t="shared" si="13"/>
        <v>UNIDOSSIS S.A.S.</v>
      </c>
      <c r="E235" s="609"/>
      <c r="J235" s="190"/>
    </row>
    <row r="236" spans="1:10" ht="14.1" customHeight="1">
      <c r="D236" s="194"/>
      <c r="E236" s="194"/>
      <c r="J236" s="190"/>
    </row>
    <row r="237" spans="1:10" ht="14.1" customHeight="1">
      <c r="A237" s="610" t="e">
        <f t="shared" ref="A237:A243" si="19">A229</f>
        <v>#N/A</v>
      </c>
      <c r="B237" s="610"/>
      <c r="D237" s="610" t="e">
        <f t="shared" si="13"/>
        <v>#N/A</v>
      </c>
      <c r="E237" s="610"/>
      <c r="J237" s="190"/>
    </row>
    <row r="238" spans="1:10" ht="14.1" customHeight="1">
      <c r="A238" s="610" t="e">
        <f t="shared" si="19"/>
        <v>#N/A</v>
      </c>
      <c r="B238" s="610"/>
      <c r="D238" s="610" t="e">
        <f t="shared" si="13"/>
        <v>#N/A</v>
      </c>
      <c r="E238" s="610"/>
      <c r="J238" s="190"/>
    </row>
    <row r="239" spans="1:10" ht="14.1" customHeight="1">
      <c r="A239" s="182" t="e">
        <f t="shared" ca="1" si="19"/>
        <v>#N/A</v>
      </c>
      <c r="B239" s="183" t="str">
        <f>B231</f>
        <v xml:space="preserve">Lt: </v>
      </c>
      <c r="D239" s="182" t="e">
        <f t="shared" ca="1" si="13"/>
        <v>#N/A</v>
      </c>
      <c r="E239" s="183" t="str">
        <f>B239</f>
        <v xml:space="preserve">Lt: </v>
      </c>
      <c r="J239" s="190"/>
    </row>
    <row r="240" spans="1:10" ht="14.1" customHeight="1">
      <c r="A240" s="610" t="str">
        <f t="shared" si="19"/>
        <v xml:space="preserve">  0</v>
      </c>
      <c r="B240" s="610"/>
      <c r="D240" s="610" t="str">
        <f t="shared" si="13"/>
        <v xml:space="preserve">  0</v>
      </c>
      <c r="E240" s="610"/>
      <c r="J240" s="190"/>
    </row>
    <row r="241" spans="1:10" ht="14.1" customHeight="1">
      <c r="A241" s="609" t="str">
        <f t="shared" si="19"/>
        <v>QFP: JGARCIA   QFV: ADELTORO</v>
      </c>
      <c r="B241" s="609"/>
      <c r="D241" s="609" t="str">
        <f t="shared" si="13"/>
        <v>QFP: JGARCIA   QFV: ADELTORO</v>
      </c>
      <c r="E241" s="609"/>
      <c r="J241" s="190"/>
    </row>
    <row r="242" spans="1:10" ht="14.1" customHeight="1">
      <c r="A242" s="609" t="str">
        <f t="shared" si="19"/>
        <v>C.JPC/SEXTO NTE/SCOOP   Cama: NA</v>
      </c>
      <c r="B242" s="609"/>
      <c r="D242" s="609" t="str">
        <f t="shared" si="13"/>
        <v>C.JPC/SEXTO NTE/SCOOP   Cama: NA</v>
      </c>
      <c r="E242" s="609"/>
      <c r="J242" s="190"/>
    </row>
    <row r="243" spans="1:10" ht="14.1" customHeight="1">
      <c r="A243" s="609" t="str">
        <f t="shared" si="19"/>
        <v>UNIDOSSIS S.A.S.</v>
      </c>
      <c r="B243" s="609"/>
      <c r="D243" s="609" t="str">
        <f t="shared" si="13"/>
        <v>UNIDOSSIS S.A.S.</v>
      </c>
      <c r="E243" s="609"/>
      <c r="J243" s="190"/>
    </row>
    <row r="244" spans="1:10" ht="14.1" customHeight="1">
      <c r="A244" s="610" t="e">
        <f>'DATOS ETIQ'!B$18&amp;"  "&amp;'DATOS ETIQ'!C$18&amp;"  "&amp;'DATOS ETIQ'!D$18&amp;'DATOS ETIQ'!Q$18</f>
        <v>#N/A</v>
      </c>
      <c r="B244" s="610"/>
      <c r="C244" s="195"/>
      <c r="D244" s="610" t="e">
        <f t="shared" si="13"/>
        <v>#N/A</v>
      </c>
      <c r="E244" s="610"/>
      <c r="J244" s="190"/>
    </row>
    <row r="245" spans="1:10" ht="14.1" customHeight="1" thickBot="1">
      <c r="A245" s="610" t="e">
        <f>IF('DATOS ETIQ'!P$18=1,"Do: "&amp;'DATOS ETIQ'!F$18&amp;"mg   VolDo: "&amp;'DATOS ETIQ'!G$18&amp;"mL","Dilución 1/"&amp;'DATOS ETIQ'!P$18&amp;"  "&amp;'DATOS ETIQ'!E$18&amp;"mg/mL   Do: "&amp;'DATOS ETIQ'!F$18&amp;"mg   VolDo: "&amp;'DATOS ETIQ'!G$18&amp;"mL")</f>
        <v>#N/A</v>
      </c>
      <c r="B245" s="610"/>
      <c r="C245" s="195"/>
      <c r="D245" s="610" t="e">
        <f t="shared" si="13"/>
        <v>#N/A</v>
      </c>
      <c r="E245" s="610"/>
      <c r="J245" s="190"/>
    </row>
    <row r="246" spans="1:10" ht="14.1" customHeight="1">
      <c r="A246" s="182" t="e">
        <f ca="1">'DATOS ETIQ'!H$18</f>
        <v>#N/A</v>
      </c>
      <c r="B246" s="183" t="str">
        <f>"Lt: "&amp;'DATOS ETIQ'!I$18</f>
        <v xml:space="preserve">Lt: </v>
      </c>
      <c r="D246" s="182" t="e">
        <f t="shared" ca="1" si="13"/>
        <v>#N/A</v>
      </c>
      <c r="E246" s="183" t="str">
        <f>B246</f>
        <v xml:space="preserve">Lt: </v>
      </c>
      <c r="G246" s="611" t="e">
        <f>'FR PD 001 V1'!T22</f>
        <v>#N/A</v>
      </c>
      <c r="J246" s="611">
        <v>17</v>
      </c>
    </row>
    <row r="247" spans="1:10" ht="14.1" customHeight="1" thickBot="1">
      <c r="A247" s="610" t="str">
        <f>'DATOS ETIQ'!J$18&amp;"  "&amp;'DATOS ETIQ'!K$18</f>
        <v xml:space="preserve">  0</v>
      </c>
      <c r="B247" s="610"/>
      <c r="C247" s="195"/>
      <c r="D247" s="610" t="str">
        <f t="shared" si="13"/>
        <v xml:space="preserve">  0</v>
      </c>
      <c r="E247" s="610"/>
      <c r="G247" s="612"/>
      <c r="J247" s="612"/>
    </row>
    <row r="248" spans="1:10" ht="14.1" customHeight="1">
      <c r="A248" s="609" t="str">
        <f>"QFP: "&amp;'DATOS ETIQ'!L$18&amp;"   QFV: "&amp;'DATOS ETIQ'!M$18</f>
        <v>QFP: JGARCIA   QFV: ADELTORO</v>
      </c>
      <c r="B248" s="609"/>
      <c r="D248" s="609" t="str">
        <f t="shared" si="13"/>
        <v>QFP: JGARCIA   QFV: ADELTORO</v>
      </c>
      <c r="E248" s="609"/>
      <c r="J248" s="190"/>
    </row>
    <row r="249" spans="1:10" ht="14.1" customHeight="1">
      <c r="A249" s="609" t="str">
        <f>'DATOS ETIQ'!N$18&amp;"   Cama: "&amp;'DATOS ETIQ'!O$18</f>
        <v>C.JPC/SEXTO NTE/SCOOP   Cama: NA</v>
      </c>
      <c r="B249" s="609"/>
      <c r="D249" s="609" t="str">
        <f t="shared" si="13"/>
        <v>C.JPC/SEXTO NTE/SCOOP   Cama: NA</v>
      </c>
      <c r="E249" s="609"/>
      <c r="J249" s="190"/>
    </row>
    <row r="250" spans="1:10" ht="14.1" customHeight="1">
      <c r="A250" s="609" t="s">
        <v>167</v>
      </c>
      <c r="B250" s="609"/>
      <c r="D250" s="609" t="str">
        <f t="shared" si="13"/>
        <v>UNIDOSSIS S.A.S.</v>
      </c>
      <c r="E250" s="609"/>
      <c r="J250" s="190"/>
    </row>
    <row r="251" spans="1:10" ht="14.1" customHeight="1">
      <c r="D251" s="194"/>
      <c r="E251" s="194"/>
      <c r="J251" s="190"/>
    </row>
    <row r="252" spans="1:10" ht="14.1" customHeight="1">
      <c r="A252" s="610" t="e">
        <f t="shared" ref="A252:A258" si="20">A244</f>
        <v>#N/A</v>
      </c>
      <c r="B252" s="610"/>
      <c r="D252" s="610" t="e">
        <f t="shared" si="13"/>
        <v>#N/A</v>
      </c>
      <c r="E252" s="610"/>
      <c r="J252" s="190"/>
    </row>
    <row r="253" spans="1:10" ht="14.1" customHeight="1">
      <c r="A253" s="610" t="e">
        <f t="shared" si="20"/>
        <v>#N/A</v>
      </c>
      <c r="B253" s="610"/>
      <c r="D253" s="610" t="e">
        <f t="shared" si="13"/>
        <v>#N/A</v>
      </c>
      <c r="E253" s="610"/>
      <c r="J253" s="190"/>
    </row>
    <row r="254" spans="1:10" ht="14.1" customHeight="1">
      <c r="A254" s="182" t="e">
        <f t="shared" ca="1" si="20"/>
        <v>#N/A</v>
      </c>
      <c r="B254" s="183" t="str">
        <f>B246</f>
        <v xml:space="preserve">Lt: </v>
      </c>
      <c r="D254" s="182" t="e">
        <f t="shared" ca="1" si="13"/>
        <v>#N/A</v>
      </c>
      <c r="E254" s="183" t="str">
        <f>B254</f>
        <v xml:space="preserve">Lt: </v>
      </c>
      <c r="J254" s="190"/>
    </row>
    <row r="255" spans="1:10" ht="14.1" customHeight="1">
      <c r="A255" s="610" t="str">
        <f t="shared" si="20"/>
        <v xml:space="preserve">  0</v>
      </c>
      <c r="B255" s="610"/>
      <c r="D255" s="610" t="str">
        <f t="shared" si="13"/>
        <v xml:space="preserve">  0</v>
      </c>
      <c r="E255" s="610"/>
      <c r="J255" s="190"/>
    </row>
    <row r="256" spans="1:10" ht="14.1" customHeight="1">
      <c r="A256" s="609" t="str">
        <f t="shared" si="20"/>
        <v>QFP: JGARCIA   QFV: ADELTORO</v>
      </c>
      <c r="B256" s="609"/>
      <c r="D256" s="609" t="str">
        <f t="shared" si="13"/>
        <v>QFP: JGARCIA   QFV: ADELTORO</v>
      </c>
      <c r="E256" s="609"/>
      <c r="J256" s="190"/>
    </row>
    <row r="257" spans="1:10" ht="14.1" customHeight="1">
      <c r="A257" s="609" t="str">
        <f t="shared" si="20"/>
        <v>C.JPC/SEXTO NTE/SCOOP   Cama: NA</v>
      </c>
      <c r="B257" s="609"/>
      <c r="D257" s="609" t="str">
        <f t="shared" si="13"/>
        <v>C.JPC/SEXTO NTE/SCOOP   Cama: NA</v>
      </c>
      <c r="E257" s="609"/>
      <c r="J257" s="190"/>
    </row>
    <row r="258" spans="1:10" ht="14.1" customHeight="1">
      <c r="A258" s="609" t="str">
        <f t="shared" si="20"/>
        <v>UNIDOSSIS S.A.S.</v>
      </c>
      <c r="B258" s="609"/>
      <c r="D258" s="609" t="str">
        <f t="shared" si="13"/>
        <v>UNIDOSSIS S.A.S.</v>
      </c>
      <c r="E258" s="609"/>
      <c r="J258" s="190"/>
    </row>
    <row r="259" spans="1:10" ht="14.1" customHeight="1">
      <c r="A259" s="610" t="e">
        <f>'DATOS ETIQ'!B$19&amp;"  "&amp;'DATOS ETIQ'!C$19&amp;"  "&amp;'DATOS ETIQ'!D$19&amp;'DATOS ETIQ'!Q$19</f>
        <v>#N/A</v>
      </c>
      <c r="B259" s="610"/>
      <c r="C259" s="195"/>
      <c r="D259" s="610" t="e">
        <f t="shared" si="13"/>
        <v>#N/A</v>
      </c>
      <c r="E259" s="610"/>
      <c r="J259" s="190"/>
    </row>
    <row r="260" spans="1:10" ht="14.1" customHeight="1" thickBot="1">
      <c r="A260" s="610" t="e">
        <f>IF('DATOS ETIQ'!P$19=1,"Do: "&amp;'DATOS ETIQ'!F$19&amp;"mg   VolDo: "&amp;'DATOS ETIQ'!G$19&amp;"mL","Dilución 1/"&amp;'DATOS ETIQ'!P$19&amp;"  "&amp;'DATOS ETIQ'!E$19&amp;"mg/mL   Do: "&amp;'DATOS ETIQ'!F$19&amp;"mg   VolDo: "&amp;'DATOS ETIQ'!G$19&amp;"mL")</f>
        <v>#N/A</v>
      </c>
      <c r="B260" s="610"/>
      <c r="C260" s="195"/>
      <c r="D260" s="610" t="e">
        <f t="shared" si="13"/>
        <v>#N/A</v>
      </c>
      <c r="E260" s="610"/>
      <c r="J260" s="190"/>
    </row>
    <row r="261" spans="1:10" ht="14.1" customHeight="1">
      <c r="A261" s="182" t="e">
        <f ca="1">'DATOS ETIQ'!H$19</f>
        <v>#N/A</v>
      </c>
      <c r="B261" s="183" t="str">
        <f>"Lt: "&amp;'DATOS ETIQ'!I$19</f>
        <v xml:space="preserve">Lt: </v>
      </c>
      <c r="D261" s="182" t="e">
        <f t="shared" ca="1" si="13"/>
        <v>#N/A</v>
      </c>
      <c r="E261" s="183" t="str">
        <f>B261</f>
        <v xml:space="preserve">Lt: </v>
      </c>
      <c r="G261" s="611" t="e">
        <f>'FR PD 001 V1'!T23</f>
        <v>#N/A</v>
      </c>
      <c r="J261" s="611">
        <v>18</v>
      </c>
    </row>
    <row r="262" spans="1:10" ht="14.1" customHeight="1" thickBot="1">
      <c r="A262" s="610" t="str">
        <f>'DATOS ETIQ'!J$19&amp;"  "&amp;'DATOS ETIQ'!K$19</f>
        <v xml:space="preserve">  0</v>
      </c>
      <c r="B262" s="610"/>
      <c r="C262" s="195"/>
      <c r="D262" s="610" t="str">
        <f t="shared" si="13"/>
        <v xml:space="preserve">  0</v>
      </c>
      <c r="E262" s="610"/>
      <c r="G262" s="612"/>
      <c r="J262" s="612"/>
    </row>
    <row r="263" spans="1:10" ht="14.1" customHeight="1">
      <c r="A263" s="609" t="str">
        <f>"QFP: "&amp;'DATOS ETIQ'!L$19&amp;"   QFV: "&amp;'DATOS ETIQ'!M$19</f>
        <v>QFP: JGARCIA   QFV: ADELTORO</v>
      </c>
      <c r="B263" s="609"/>
      <c r="D263" s="609" t="str">
        <f t="shared" si="13"/>
        <v>QFP: JGARCIA   QFV: ADELTORO</v>
      </c>
      <c r="E263" s="609"/>
      <c r="J263" s="190"/>
    </row>
    <row r="264" spans="1:10" ht="14.1" customHeight="1">
      <c r="A264" s="609" t="str">
        <f>'DATOS ETIQ'!N$19&amp;"   Cama: "&amp;'DATOS ETIQ'!O$19</f>
        <v>C.JPC/SEXTO NTE/SCOOP   Cama: NA</v>
      </c>
      <c r="B264" s="609"/>
      <c r="D264" s="609" t="str">
        <f t="shared" si="13"/>
        <v>C.JPC/SEXTO NTE/SCOOP   Cama: NA</v>
      </c>
      <c r="E264" s="609"/>
      <c r="J264" s="190"/>
    </row>
    <row r="265" spans="1:10" ht="14.1" customHeight="1">
      <c r="A265" s="609" t="s">
        <v>167</v>
      </c>
      <c r="B265" s="609"/>
      <c r="D265" s="609" t="str">
        <f t="shared" si="13"/>
        <v>UNIDOSSIS S.A.S.</v>
      </c>
      <c r="E265" s="609"/>
      <c r="J265" s="190"/>
    </row>
    <row r="266" spans="1:10" ht="14.1" customHeight="1">
      <c r="D266" s="194"/>
      <c r="E266" s="194"/>
      <c r="J266" s="190"/>
    </row>
    <row r="267" spans="1:10" ht="14.1" customHeight="1">
      <c r="A267" s="610" t="e">
        <f t="shared" ref="A267:A273" si="21">A259</f>
        <v>#N/A</v>
      </c>
      <c r="B267" s="610"/>
      <c r="D267" s="610" t="e">
        <f t="shared" si="13"/>
        <v>#N/A</v>
      </c>
      <c r="E267" s="610"/>
      <c r="J267" s="190"/>
    </row>
    <row r="268" spans="1:10" ht="14.1" customHeight="1">
      <c r="A268" s="610" t="e">
        <f t="shared" si="21"/>
        <v>#N/A</v>
      </c>
      <c r="B268" s="610"/>
      <c r="D268" s="610" t="e">
        <f t="shared" si="13"/>
        <v>#N/A</v>
      </c>
      <c r="E268" s="610"/>
      <c r="J268" s="190"/>
    </row>
    <row r="269" spans="1:10" ht="14.1" customHeight="1">
      <c r="A269" s="182" t="e">
        <f t="shared" ca="1" si="21"/>
        <v>#N/A</v>
      </c>
      <c r="B269" s="183" t="str">
        <f>B261</f>
        <v xml:space="preserve">Lt: </v>
      </c>
      <c r="D269" s="182" t="e">
        <f t="shared" ca="1" si="13"/>
        <v>#N/A</v>
      </c>
      <c r="E269" s="183" t="str">
        <f>B269</f>
        <v xml:space="preserve">Lt: </v>
      </c>
      <c r="J269" s="190"/>
    </row>
    <row r="270" spans="1:10" ht="14.1" customHeight="1">
      <c r="A270" s="610" t="str">
        <f t="shared" si="21"/>
        <v xml:space="preserve">  0</v>
      </c>
      <c r="B270" s="610"/>
      <c r="D270" s="610" t="str">
        <f t="shared" si="13"/>
        <v xml:space="preserve">  0</v>
      </c>
      <c r="E270" s="610"/>
      <c r="J270" s="190"/>
    </row>
    <row r="271" spans="1:10" ht="14.1" customHeight="1">
      <c r="A271" s="609" t="str">
        <f t="shared" si="21"/>
        <v>QFP: JGARCIA   QFV: ADELTORO</v>
      </c>
      <c r="B271" s="609"/>
      <c r="D271" s="609" t="str">
        <f t="shared" si="13"/>
        <v>QFP: JGARCIA   QFV: ADELTORO</v>
      </c>
      <c r="E271" s="609"/>
      <c r="J271" s="190"/>
    </row>
    <row r="272" spans="1:10" ht="14.1" customHeight="1">
      <c r="A272" s="609" t="str">
        <f t="shared" si="21"/>
        <v>C.JPC/SEXTO NTE/SCOOP   Cama: NA</v>
      </c>
      <c r="B272" s="609"/>
      <c r="D272" s="609" t="str">
        <f t="shared" si="13"/>
        <v>C.JPC/SEXTO NTE/SCOOP   Cama: NA</v>
      </c>
      <c r="E272" s="609"/>
      <c r="J272" s="190"/>
    </row>
    <row r="273" spans="1:10" ht="14.1" customHeight="1">
      <c r="A273" s="609" t="str">
        <f t="shared" si="21"/>
        <v>UNIDOSSIS S.A.S.</v>
      </c>
      <c r="B273" s="609"/>
      <c r="D273" s="609" t="str">
        <f t="shared" si="13"/>
        <v>UNIDOSSIS S.A.S.</v>
      </c>
      <c r="E273" s="609"/>
      <c r="J273" s="190"/>
    </row>
    <row r="274" spans="1:10" ht="14.1" customHeight="1">
      <c r="A274" s="610" t="e">
        <f>'DATOS ETIQ'!B$20&amp;"  "&amp;'DATOS ETIQ'!C$20&amp;"  "&amp;'DATOS ETIQ'!D$20&amp;'DATOS ETIQ'!Q$20</f>
        <v>#N/A</v>
      </c>
      <c r="B274" s="610"/>
      <c r="C274" s="195"/>
      <c r="D274" s="610" t="e">
        <f t="shared" si="13"/>
        <v>#N/A</v>
      </c>
      <c r="E274" s="610"/>
      <c r="J274" s="190"/>
    </row>
    <row r="275" spans="1:10" ht="14.1" customHeight="1" thickBot="1">
      <c r="A275" s="610" t="e">
        <f>IF('DATOS ETIQ'!P$20=1,"Do: "&amp;'DATOS ETIQ'!F$20&amp;"mg   VolDo: "&amp;'DATOS ETIQ'!G$20&amp;"mL","Dilución 1/"&amp;'DATOS ETIQ'!P$20&amp;"  "&amp;'DATOS ETIQ'!E$20&amp;"mg/mL   Do: "&amp;'DATOS ETIQ'!F$20&amp;"mg   VolDo: "&amp;'DATOS ETIQ'!G$20&amp;"mL")</f>
        <v>#N/A</v>
      </c>
      <c r="B275" s="610"/>
      <c r="C275" s="195"/>
      <c r="D275" s="610" t="e">
        <f t="shared" si="13"/>
        <v>#N/A</v>
      </c>
      <c r="E275" s="610"/>
      <c r="J275" s="190"/>
    </row>
    <row r="276" spans="1:10" ht="14.1" customHeight="1">
      <c r="A276" s="182" t="e">
        <f ca="1">'DATOS ETIQ'!H$20</f>
        <v>#N/A</v>
      </c>
      <c r="B276" s="183" t="str">
        <f>"Lt: "&amp;'DATOS ETIQ'!I$20</f>
        <v xml:space="preserve">Lt: </v>
      </c>
      <c r="D276" s="182" t="e">
        <f t="shared" ca="1" si="13"/>
        <v>#N/A</v>
      </c>
      <c r="E276" s="183" t="str">
        <f>B276</f>
        <v xml:space="preserve">Lt: </v>
      </c>
      <c r="G276" s="611" t="e">
        <f>'FR PD 001 V1'!T24</f>
        <v>#N/A</v>
      </c>
      <c r="J276" s="611">
        <v>19</v>
      </c>
    </row>
    <row r="277" spans="1:10" ht="14.1" customHeight="1" thickBot="1">
      <c r="A277" s="610" t="str">
        <f>'DATOS ETIQ'!J$20&amp;"  "&amp;'DATOS ETIQ'!K$20</f>
        <v xml:space="preserve">  0</v>
      </c>
      <c r="B277" s="610"/>
      <c r="C277" s="195"/>
      <c r="D277" s="610" t="str">
        <f t="shared" si="13"/>
        <v xml:space="preserve">  0</v>
      </c>
      <c r="E277" s="610"/>
      <c r="G277" s="612"/>
      <c r="J277" s="612"/>
    </row>
    <row r="278" spans="1:10" ht="14.1" customHeight="1">
      <c r="A278" s="609" t="str">
        <f>"QFP: "&amp;'DATOS ETIQ'!L$20&amp;"   QFV: "&amp;'DATOS ETIQ'!M$20</f>
        <v>QFP: JGARCIA   QFV: ADELTORO</v>
      </c>
      <c r="B278" s="609"/>
      <c r="D278" s="609" t="str">
        <f t="shared" si="13"/>
        <v>QFP: JGARCIA   QFV: ADELTORO</v>
      </c>
      <c r="E278" s="609"/>
      <c r="J278" s="190"/>
    </row>
    <row r="279" spans="1:10" ht="14.1" customHeight="1">
      <c r="A279" s="609" t="str">
        <f>'DATOS ETIQ'!N$20&amp;"   Cama: "&amp;'DATOS ETIQ'!O$20</f>
        <v>C.JPC/SEXTO NTE/SCOOP   Cama: NA</v>
      </c>
      <c r="B279" s="609"/>
      <c r="D279" s="609" t="str">
        <f t="shared" si="13"/>
        <v>C.JPC/SEXTO NTE/SCOOP   Cama: NA</v>
      </c>
      <c r="E279" s="609"/>
      <c r="J279" s="190"/>
    </row>
    <row r="280" spans="1:10" ht="14.1" customHeight="1">
      <c r="A280" s="609" t="s">
        <v>167</v>
      </c>
      <c r="B280" s="609"/>
      <c r="D280" s="609" t="str">
        <f t="shared" si="13"/>
        <v>UNIDOSSIS S.A.S.</v>
      </c>
      <c r="E280" s="609"/>
      <c r="J280" s="190"/>
    </row>
    <row r="281" spans="1:10" ht="14.1" customHeight="1">
      <c r="D281" s="194"/>
      <c r="E281" s="194"/>
      <c r="J281" s="190"/>
    </row>
    <row r="282" spans="1:10" ht="14.1" customHeight="1">
      <c r="A282" s="610" t="e">
        <f t="shared" ref="A282:A288" si="22">A274</f>
        <v>#N/A</v>
      </c>
      <c r="B282" s="610"/>
      <c r="D282" s="610" t="e">
        <f t="shared" si="13"/>
        <v>#N/A</v>
      </c>
      <c r="E282" s="610"/>
      <c r="J282" s="190"/>
    </row>
    <row r="283" spans="1:10" ht="14.1" customHeight="1">
      <c r="A283" s="610" t="e">
        <f t="shared" si="22"/>
        <v>#N/A</v>
      </c>
      <c r="B283" s="610"/>
      <c r="D283" s="610" t="e">
        <f t="shared" si="13"/>
        <v>#N/A</v>
      </c>
      <c r="E283" s="610"/>
      <c r="J283" s="190"/>
    </row>
    <row r="284" spans="1:10" ht="14.1" customHeight="1">
      <c r="A284" s="182" t="e">
        <f t="shared" ca="1" si="22"/>
        <v>#N/A</v>
      </c>
      <c r="B284" s="183" t="str">
        <f>B276</f>
        <v xml:space="preserve">Lt: </v>
      </c>
      <c r="D284" s="182" t="e">
        <f t="shared" ca="1" si="13"/>
        <v>#N/A</v>
      </c>
      <c r="E284" s="183" t="str">
        <f>B284</f>
        <v xml:space="preserve">Lt: </v>
      </c>
      <c r="J284" s="190"/>
    </row>
    <row r="285" spans="1:10" ht="14.1" customHeight="1">
      <c r="A285" s="610" t="str">
        <f t="shared" si="22"/>
        <v xml:space="preserve">  0</v>
      </c>
      <c r="B285" s="610"/>
      <c r="D285" s="610" t="str">
        <f t="shared" si="13"/>
        <v xml:space="preserve">  0</v>
      </c>
      <c r="E285" s="610"/>
      <c r="J285" s="190"/>
    </row>
    <row r="286" spans="1:10" ht="14.1" customHeight="1">
      <c r="A286" s="609" t="str">
        <f t="shared" si="22"/>
        <v>QFP: JGARCIA   QFV: ADELTORO</v>
      </c>
      <c r="B286" s="609"/>
      <c r="D286" s="609" t="str">
        <f t="shared" si="13"/>
        <v>QFP: JGARCIA   QFV: ADELTORO</v>
      </c>
      <c r="E286" s="609"/>
      <c r="J286" s="190"/>
    </row>
    <row r="287" spans="1:10" ht="14.1" customHeight="1">
      <c r="A287" s="609" t="str">
        <f t="shared" si="22"/>
        <v>C.JPC/SEXTO NTE/SCOOP   Cama: NA</v>
      </c>
      <c r="B287" s="609"/>
      <c r="D287" s="609" t="str">
        <f t="shared" si="13"/>
        <v>C.JPC/SEXTO NTE/SCOOP   Cama: NA</v>
      </c>
      <c r="E287" s="609"/>
      <c r="J287" s="190"/>
    </row>
    <row r="288" spans="1:10" ht="14.1" customHeight="1">
      <c r="A288" s="609" t="str">
        <f t="shared" si="22"/>
        <v>UNIDOSSIS S.A.S.</v>
      </c>
      <c r="B288" s="609"/>
      <c r="D288" s="609" t="str">
        <f t="shared" si="13"/>
        <v>UNIDOSSIS S.A.S.</v>
      </c>
      <c r="E288" s="609"/>
      <c r="J288" s="190"/>
    </row>
    <row r="289" spans="1:10" ht="14.1" customHeight="1">
      <c r="A289" s="610" t="e">
        <f>'DATOS ETIQ'!B$21&amp;"  "&amp;'DATOS ETIQ'!C$21&amp;"  "&amp;'DATOS ETIQ'!D$21&amp;'DATOS ETIQ'!Q$21</f>
        <v>#N/A</v>
      </c>
      <c r="B289" s="610"/>
      <c r="C289" s="195"/>
      <c r="D289" s="610" t="e">
        <f t="shared" si="13"/>
        <v>#N/A</v>
      </c>
      <c r="E289" s="610"/>
      <c r="J289" s="190"/>
    </row>
    <row r="290" spans="1:10" ht="14.1" customHeight="1" thickBot="1">
      <c r="A290" s="610" t="e">
        <f>IF('DATOS ETIQ'!P$21=1,"Do: "&amp;'DATOS ETIQ'!F$21&amp;"mg   VolDo: "&amp;'DATOS ETIQ'!G$21&amp;"mL","Dilución 1/"&amp;'DATOS ETIQ'!P$21&amp;"  "&amp;'DATOS ETIQ'!E$21&amp;"mg/mL   Do: "&amp;'DATOS ETIQ'!F$21&amp;"mg   VolDo: "&amp;'DATOS ETIQ'!G$21&amp;"mL")</f>
        <v>#N/A</v>
      </c>
      <c r="B290" s="610"/>
      <c r="C290" s="195"/>
      <c r="D290" s="610" t="e">
        <f t="shared" si="13"/>
        <v>#N/A</v>
      </c>
      <c r="E290" s="610"/>
      <c r="J290" s="190"/>
    </row>
    <row r="291" spans="1:10" ht="14.1" customHeight="1">
      <c r="A291" s="182" t="e">
        <f ca="1">'DATOS ETIQ'!H$21</f>
        <v>#N/A</v>
      </c>
      <c r="B291" s="183" t="str">
        <f>"Lt: "&amp;'DATOS ETIQ'!I$21</f>
        <v xml:space="preserve">Lt: </v>
      </c>
      <c r="D291" s="182" t="e">
        <f t="shared" ca="1" si="13"/>
        <v>#N/A</v>
      </c>
      <c r="E291" s="183" t="str">
        <f>B291</f>
        <v xml:space="preserve">Lt: </v>
      </c>
      <c r="G291" s="611" t="e">
        <f>'FR PD 001 V1'!T25</f>
        <v>#N/A</v>
      </c>
      <c r="J291" s="611">
        <v>20</v>
      </c>
    </row>
    <row r="292" spans="1:10" ht="14.1" customHeight="1" thickBot="1">
      <c r="A292" s="610" t="str">
        <f>'DATOS ETIQ'!J$21&amp;"  "&amp;'DATOS ETIQ'!K$21</f>
        <v xml:space="preserve">  0</v>
      </c>
      <c r="B292" s="610"/>
      <c r="C292" s="195"/>
      <c r="D292" s="610" t="str">
        <f t="shared" si="13"/>
        <v xml:space="preserve">  0</v>
      </c>
      <c r="E292" s="610"/>
      <c r="G292" s="612"/>
      <c r="J292" s="612"/>
    </row>
    <row r="293" spans="1:10" ht="14.1" customHeight="1">
      <c r="A293" s="609" t="str">
        <f>"QFP: "&amp;'DATOS ETIQ'!L$21&amp;"   QFV: "&amp;'DATOS ETIQ'!M$21</f>
        <v>QFP: JGARCIA   QFV: ADELTORO</v>
      </c>
      <c r="B293" s="609"/>
      <c r="D293" s="609" t="str">
        <f t="shared" si="13"/>
        <v>QFP: JGARCIA   QFV: ADELTORO</v>
      </c>
      <c r="E293" s="609"/>
      <c r="J293" s="190"/>
    </row>
    <row r="294" spans="1:10" ht="14.1" customHeight="1">
      <c r="A294" s="609" t="str">
        <f>'DATOS ETIQ'!N$21&amp;"   Cama: "&amp;'DATOS ETIQ'!O$21</f>
        <v>C.JPC/SEXTO NTE/SCOOP   Cama: NA</v>
      </c>
      <c r="B294" s="609"/>
      <c r="D294" s="609" t="str">
        <f t="shared" si="13"/>
        <v>C.JPC/SEXTO NTE/SCOOP   Cama: NA</v>
      </c>
      <c r="E294" s="609"/>
      <c r="J294" s="190"/>
    </row>
    <row r="295" spans="1:10" ht="14.1" customHeight="1">
      <c r="A295" s="609" t="s">
        <v>167</v>
      </c>
      <c r="B295" s="609"/>
      <c r="D295" s="609" t="str">
        <f t="shared" si="13"/>
        <v>UNIDOSSIS S.A.S.</v>
      </c>
      <c r="E295" s="609"/>
      <c r="J295" s="190"/>
    </row>
    <row r="296" spans="1:10" ht="14.1" customHeight="1">
      <c r="D296" s="194"/>
      <c r="E296" s="194"/>
      <c r="J296" s="190"/>
    </row>
    <row r="297" spans="1:10" ht="14.1" customHeight="1">
      <c r="A297" s="610" t="e">
        <f t="shared" ref="A297:A303" si="23">A289</f>
        <v>#N/A</v>
      </c>
      <c r="B297" s="610"/>
      <c r="D297" s="610" t="e">
        <f t="shared" ref="D297:D303" si="24">A297</f>
        <v>#N/A</v>
      </c>
      <c r="E297" s="610"/>
      <c r="J297" s="190"/>
    </row>
    <row r="298" spans="1:10" ht="14.1" customHeight="1">
      <c r="A298" s="610" t="e">
        <f t="shared" si="23"/>
        <v>#N/A</v>
      </c>
      <c r="B298" s="610"/>
      <c r="D298" s="610" t="e">
        <f t="shared" si="24"/>
        <v>#N/A</v>
      </c>
      <c r="E298" s="610"/>
      <c r="J298" s="190"/>
    </row>
    <row r="299" spans="1:10" ht="14.1" customHeight="1">
      <c r="A299" s="182" t="e">
        <f t="shared" ca="1" si="23"/>
        <v>#N/A</v>
      </c>
      <c r="B299" s="183" t="str">
        <f>B291</f>
        <v xml:space="preserve">Lt: </v>
      </c>
      <c r="D299" s="182" t="e">
        <f t="shared" ca="1" si="24"/>
        <v>#N/A</v>
      </c>
      <c r="E299" s="183" t="str">
        <f>B299</f>
        <v xml:space="preserve">Lt: </v>
      </c>
      <c r="J299" s="190"/>
    </row>
    <row r="300" spans="1:10" ht="14.1" customHeight="1">
      <c r="A300" s="610" t="str">
        <f t="shared" si="23"/>
        <v xml:space="preserve">  0</v>
      </c>
      <c r="B300" s="610"/>
      <c r="D300" s="610" t="str">
        <f t="shared" si="24"/>
        <v xml:space="preserve">  0</v>
      </c>
      <c r="E300" s="610"/>
      <c r="J300" s="190"/>
    </row>
    <row r="301" spans="1:10" ht="14.1" customHeight="1">
      <c r="A301" s="609" t="str">
        <f t="shared" si="23"/>
        <v>QFP: JGARCIA   QFV: ADELTORO</v>
      </c>
      <c r="B301" s="609"/>
      <c r="D301" s="609" t="str">
        <f t="shared" si="24"/>
        <v>QFP: JGARCIA   QFV: ADELTORO</v>
      </c>
      <c r="E301" s="609"/>
      <c r="J301" s="190"/>
    </row>
    <row r="302" spans="1:10" ht="14.1" customHeight="1">
      <c r="A302" s="609" t="str">
        <f t="shared" si="23"/>
        <v>C.JPC/SEXTO NTE/SCOOP   Cama: NA</v>
      </c>
      <c r="B302" s="609"/>
      <c r="D302" s="609" t="str">
        <f t="shared" si="24"/>
        <v>C.JPC/SEXTO NTE/SCOOP   Cama: NA</v>
      </c>
      <c r="E302" s="609"/>
      <c r="J302" s="190"/>
    </row>
    <row r="303" spans="1:10" ht="14.1" customHeight="1">
      <c r="A303" s="609" t="str">
        <f t="shared" si="23"/>
        <v>UNIDOSSIS S.A.S.</v>
      </c>
      <c r="B303" s="609"/>
      <c r="D303" s="609" t="str">
        <f t="shared" si="24"/>
        <v>UNIDOSSIS S.A.S.</v>
      </c>
      <c r="E303" s="609"/>
      <c r="J303" s="190"/>
    </row>
    <row r="304" spans="1:10" ht="14.1" customHeight="1">
      <c r="A304" s="610" t="e">
        <f>'DATOS ETIQ'!B$22&amp;"  "&amp;'DATOS ETIQ'!C$22&amp;"  "&amp;'DATOS ETIQ'!D$22&amp;'DATOS ETIQ'!Q$22</f>
        <v>#N/A</v>
      </c>
      <c r="B304" s="610"/>
      <c r="C304" s="195"/>
      <c r="D304" s="610" t="e">
        <f t="shared" ref="D304:D439" si="25">A304</f>
        <v>#N/A</v>
      </c>
      <c r="E304" s="610"/>
      <c r="J304" s="190"/>
    </row>
    <row r="305" spans="1:10" ht="14.1" customHeight="1" thickBot="1">
      <c r="A305" s="610" t="e">
        <f>IF('DATOS ETIQ'!P$22=1,"Do: "&amp;'DATOS ETIQ'!F$22&amp;"mg   VolDo: "&amp;'DATOS ETIQ'!G$22&amp;"mL","Dilución 1/"&amp;'DATOS ETIQ'!P$22&amp;"  "&amp;'DATOS ETIQ'!E$22&amp;"mg/mL   Do: "&amp;'DATOS ETIQ'!F$22&amp;"mg   VolDo: "&amp;'DATOS ETIQ'!G$22&amp;"mL")</f>
        <v>#N/A</v>
      </c>
      <c r="B305" s="610"/>
      <c r="C305" s="195"/>
      <c r="D305" s="610" t="e">
        <f t="shared" si="25"/>
        <v>#N/A</v>
      </c>
      <c r="E305" s="610"/>
      <c r="J305" s="190"/>
    </row>
    <row r="306" spans="1:10" ht="14.1" customHeight="1">
      <c r="A306" s="182" t="e">
        <f ca="1">'DATOS ETIQ'!H$22</f>
        <v>#N/A</v>
      </c>
      <c r="B306" s="183" t="str">
        <f>"Lt: "&amp;'DATOS ETIQ'!I$22</f>
        <v xml:space="preserve">Lt: </v>
      </c>
      <c r="D306" s="182" t="e">
        <f t="shared" ca="1" si="25"/>
        <v>#N/A</v>
      </c>
      <c r="E306" s="183" t="str">
        <f>B306</f>
        <v xml:space="preserve">Lt: </v>
      </c>
      <c r="G306" s="611" t="e">
        <f>'FR PD 001 V1'!T26</f>
        <v>#N/A</v>
      </c>
      <c r="J306" s="611">
        <v>21</v>
      </c>
    </row>
    <row r="307" spans="1:10" ht="14.1" customHeight="1" thickBot="1">
      <c r="A307" s="610" t="str">
        <f>'DATOS ETIQ'!J$22&amp;"  "&amp;'DATOS ETIQ'!K$22</f>
        <v xml:space="preserve">  0</v>
      </c>
      <c r="B307" s="610"/>
      <c r="C307" s="195"/>
      <c r="D307" s="610" t="str">
        <f t="shared" si="25"/>
        <v xml:space="preserve">  0</v>
      </c>
      <c r="E307" s="610"/>
      <c r="G307" s="612"/>
      <c r="J307" s="612"/>
    </row>
    <row r="308" spans="1:10" ht="14.1" customHeight="1">
      <c r="A308" s="609" t="str">
        <f>"QFP: "&amp;'DATOS ETIQ'!L$22&amp;"   QFV: "&amp;'DATOS ETIQ'!M$22</f>
        <v>QFP: JGARCIA   QFV: ADELTORO</v>
      </c>
      <c r="B308" s="609"/>
      <c r="D308" s="609" t="str">
        <f t="shared" si="25"/>
        <v>QFP: JGARCIA   QFV: ADELTORO</v>
      </c>
      <c r="E308" s="609"/>
      <c r="J308" s="190"/>
    </row>
    <row r="309" spans="1:10" ht="14.1" customHeight="1">
      <c r="A309" s="609" t="str">
        <f>'DATOS ETIQ'!N$22&amp;"   Cama: "&amp;'DATOS ETIQ'!O$22</f>
        <v>C.JPC/SEXTO NTE/SCOOP   Cama: NA</v>
      </c>
      <c r="B309" s="609"/>
      <c r="D309" s="609" t="str">
        <f t="shared" si="25"/>
        <v>C.JPC/SEXTO NTE/SCOOP   Cama: NA</v>
      </c>
      <c r="E309" s="609"/>
      <c r="J309" s="190"/>
    </row>
    <row r="310" spans="1:10" ht="14.1" customHeight="1">
      <c r="A310" s="609" t="s">
        <v>167</v>
      </c>
      <c r="B310" s="609"/>
      <c r="D310" s="609" t="str">
        <f t="shared" si="25"/>
        <v>UNIDOSSIS S.A.S.</v>
      </c>
      <c r="E310" s="609"/>
      <c r="J310" s="190"/>
    </row>
    <row r="311" spans="1:10" ht="14.1" customHeight="1">
      <c r="D311" s="194"/>
      <c r="E311" s="194"/>
      <c r="J311" s="190"/>
    </row>
    <row r="312" spans="1:10" ht="14.1" customHeight="1">
      <c r="A312" s="610" t="e">
        <f t="shared" ref="A312:A318" si="26">A304</f>
        <v>#N/A</v>
      </c>
      <c r="B312" s="610"/>
      <c r="D312" s="610" t="e">
        <f t="shared" si="25"/>
        <v>#N/A</v>
      </c>
      <c r="E312" s="610"/>
      <c r="J312" s="190"/>
    </row>
    <row r="313" spans="1:10" ht="14.1" customHeight="1">
      <c r="A313" s="610" t="e">
        <f t="shared" si="26"/>
        <v>#N/A</v>
      </c>
      <c r="B313" s="610"/>
      <c r="D313" s="610" t="e">
        <f t="shared" si="25"/>
        <v>#N/A</v>
      </c>
      <c r="E313" s="610"/>
      <c r="J313" s="190"/>
    </row>
    <row r="314" spans="1:10" ht="14.1" customHeight="1">
      <c r="A314" s="182" t="e">
        <f t="shared" ca="1" si="26"/>
        <v>#N/A</v>
      </c>
      <c r="B314" s="183" t="str">
        <f>B306</f>
        <v xml:space="preserve">Lt: </v>
      </c>
      <c r="D314" s="182" t="e">
        <f t="shared" ca="1" si="25"/>
        <v>#N/A</v>
      </c>
      <c r="E314" s="183" t="str">
        <f>B314</f>
        <v xml:space="preserve">Lt: </v>
      </c>
      <c r="J314" s="190"/>
    </row>
    <row r="315" spans="1:10" ht="14.1" customHeight="1">
      <c r="A315" s="610" t="str">
        <f t="shared" si="26"/>
        <v xml:space="preserve">  0</v>
      </c>
      <c r="B315" s="610"/>
      <c r="D315" s="610" t="str">
        <f t="shared" si="25"/>
        <v xml:space="preserve">  0</v>
      </c>
      <c r="E315" s="610"/>
      <c r="J315" s="190"/>
    </row>
    <row r="316" spans="1:10" ht="14.1" customHeight="1">
      <c r="A316" s="609" t="str">
        <f t="shared" si="26"/>
        <v>QFP: JGARCIA   QFV: ADELTORO</v>
      </c>
      <c r="B316" s="609"/>
      <c r="D316" s="609" t="str">
        <f t="shared" si="25"/>
        <v>QFP: JGARCIA   QFV: ADELTORO</v>
      </c>
      <c r="E316" s="609"/>
      <c r="J316" s="190"/>
    </row>
    <row r="317" spans="1:10" ht="14.1" customHeight="1">
      <c r="A317" s="609" t="str">
        <f t="shared" si="26"/>
        <v>C.JPC/SEXTO NTE/SCOOP   Cama: NA</v>
      </c>
      <c r="B317" s="609"/>
      <c r="D317" s="609" t="str">
        <f t="shared" si="25"/>
        <v>C.JPC/SEXTO NTE/SCOOP   Cama: NA</v>
      </c>
      <c r="E317" s="609"/>
      <c r="J317" s="190"/>
    </row>
    <row r="318" spans="1:10" ht="14.1" customHeight="1">
      <c r="A318" s="609" t="str">
        <f t="shared" si="26"/>
        <v>UNIDOSSIS S.A.S.</v>
      </c>
      <c r="B318" s="609"/>
      <c r="D318" s="609" t="str">
        <f t="shared" si="25"/>
        <v>UNIDOSSIS S.A.S.</v>
      </c>
      <c r="E318" s="609"/>
      <c r="J318" s="190"/>
    </row>
    <row r="319" spans="1:10" ht="14.1" customHeight="1">
      <c r="A319" s="610" t="e">
        <f>'DATOS ETIQ'!B$23&amp;"  "&amp;'DATOS ETIQ'!C$23&amp;"  "&amp;'DATOS ETIQ'!D$23&amp;'DATOS ETIQ'!Q$23</f>
        <v>#N/A</v>
      </c>
      <c r="B319" s="610"/>
      <c r="C319" s="195"/>
      <c r="D319" s="610" t="e">
        <f t="shared" si="25"/>
        <v>#N/A</v>
      </c>
      <c r="E319" s="610"/>
      <c r="J319" s="190"/>
    </row>
    <row r="320" spans="1:10" ht="14.1" customHeight="1" thickBot="1">
      <c r="A320" s="610" t="e">
        <f>IF('DATOS ETIQ'!P$23=1,"Do: "&amp;'DATOS ETIQ'!F$23&amp;"mg   VolDo: "&amp;'DATOS ETIQ'!G$23&amp;"mL","Dilución 1/"&amp;'DATOS ETIQ'!P$23&amp;"  "&amp;'DATOS ETIQ'!E$23&amp;"mg/mL   Do: "&amp;'DATOS ETIQ'!F$23&amp;"mg   VolDo: "&amp;'DATOS ETIQ'!G$23&amp;"mL")</f>
        <v>#N/A</v>
      </c>
      <c r="B320" s="610"/>
      <c r="C320" s="195"/>
      <c r="D320" s="610" t="e">
        <f t="shared" si="25"/>
        <v>#N/A</v>
      </c>
      <c r="E320" s="610"/>
      <c r="J320" s="190"/>
    </row>
    <row r="321" spans="1:10" ht="14.1" customHeight="1">
      <c r="A321" s="182" t="e">
        <f ca="1">'DATOS ETIQ'!H$23</f>
        <v>#N/A</v>
      </c>
      <c r="B321" s="183" t="str">
        <f>"Lt: "&amp;'DATOS ETIQ'!I$23</f>
        <v xml:space="preserve">Lt: </v>
      </c>
      <c r="D321" s="182" t="e">
        <f t="shared" ca="1" si="25"/>
        <v>#N/A</v>
      </c>
      <c r="E321" s="183" t="str">
        <f>B321</f>
        <v xml:space="preserve">Lt: </v>
      </c>
      <c r="G321" s="611" t="e">
        <f>'FR PD 001 V1'!T27</f>
        <v>#N/A</v>
      </c>
      <c r="J321" s="611">
        <v>22</v>
      </c>
    </row>
    <row r="322" spans="1:10" ht="14.1" customHeight="1" thickBot="1">
      <c r="A322" s="610" t="str">
        <f>'DATOS ETIQ'!J$23&amp;"  "&amp;'DATOS ETIQ'!K$23</f>
        <v xml:space="preserve">  0</v>
      </c>
      <c r="B322" s="610"/>
      <c r="C322" s="195"/>
      <c r="D322" s="610" t="str">
        <f t="shared" si="25"/>
        <v xml:space="preserve">  0</v>
      </c>
      <c r="E322" s="610"/>
      <c r="G322" s="612"/>
      <c r="J322" s="612"/>
    </row>
    <row r="323" spans="1:10" ht="14.1" customHeight="1">
      <c r="A323" s="609" t="str">
        <f>"QFP: "&amp;'DATOS ETIQ'!L$23&amp;"   QFV: "&amp;'DATOS ETIQ'!M$23</f>
        <v>QFP: JGARCIA   QFV: ADELTORO</v>
      </c>
      <c r="B323" s="609"/>
      <c r="D323" s="609" t="str">
        <f t="shared" si="25"/>
        <v>QFP: JGARCIA   QFV: ADELTORO</v>
      </c>
      <c r="E323" s="609"/>
      <c r="J323" s="190"/>
    </row>
    <row r="324" spans="1:10" ht="14.1" customHeight="1">
      <c r="A324" s="609" t="str">
        <f>'DATOS ETIQ'!N$23&amp;"   Cama: "&amp;'DATOS ETIQ'!O$23</f>
        <v>C.JPC/SEXTO NTE/SCOOP   Cama: NA</v>
      </c>
      <c r="B324" s="609"/>
      <c r="D324" s="609" t="str">
        <f t="shared" si="25"/>
        <v>C.JPC/SEXTO NTE/SCOOP   Cama: NA</v>
      </c>
      <c r="E324" s="609"/>
      <c r="J324" s="190"/>
    </row>
    <row r="325" spans="1:10" ht="14.1" customHeight="1">
      <c r="A325" s="609" t="s">
        <v>167</v>
      </c>
      <c r="B325" s="609"/>
      <c r="D325" s="609" t="str">
        <f t="shared" si="25"/>
        <v>UNIDOSSIS S.A.S.</v>
      </c>
      <c r="E325" s="609"/>
      <c r="J325" s="190"/>
    </row>
    <row r="326" spans="1:10" ht="14.1" customHeight="1">
      <c r="D326" s="194"/>
      <c r="E326" s="194"/>
      <c r="J326" s="190"/>
    </row>
    <row r="327" spans="1:10" ht="14.1" customHeight="1">
      <c r="A327" s="610" t="e">
        <f t="shared" ref="A327:A333" si="27">A319</f>
        <v>#N/A</v>
      </c>
      <c r="B327" s="610"/>
      <c r="D327" s="610" t="e">
        <f t="shared" si="25"/>
        <v>#N/A</v>
      </c>
      <c r="E327" s="610"/>
      <c r="J327" s="190"/>
    </row>
    <row r="328" spans="1:10" ht="14.1" customHeight="1">
      <c r="A328" s="610" t="e">
        <f t="shared" si="27"/>
        <v>#N/A</v>
      </c>
      <c r="B328" s="610"/>
      <c r="D328" s="610" t="e">
        <f t="shared" si="25"/>
        <v>#N/A</v>
      </c>
      <c r="E328" s="610"/>
      <c r="J328" s="190"/>
    </row>
    <row r="329" spans="1:10" ht="14.1" customHeight="1">
      <c r="A329" s="182" t="e">
        <f t="shared" ca="1" si="27"/>
        <v>#N/A</v>
      </c>
      <c r="B329" s="183" t="str">
        <f>B321</f>
        <v xml:space="preserve">Lt: </v>
      </c>
      <c r="D329" s="182" t="e">
        <f t="shared" ca="1" si="25"/>
        <v>#N/A</v>
      </c>
      <c r="E329" s="183" t="str">
        <f>B329</f>
        <v xml:space="preserve">Lt: </v>
      </c>
      <c r="J329" s="190"/>
    </row>
    <row r="330" spans="1:10" ht="14.1" customHeight="1">
      <c r="A330" s="610" t="str">
        <f t="shared" si="27"/>
        <v xml:space="preserve">  0</v>
      </c>
      <c r="B330" s="610"/>
      <c r="D330" s="610" t="str">
        <f t="shared" si="25"/>
        <v xml:space="preserve">  0</v>
      </c>
      <c r="E330" s="610"/>
      <c r="J330" s="190"/>
    </row>
    <row r="331" spans="1:10" ht="14.1" customHeight="1">
      <c r="A331" s="609" t="str">
        <f t="shared" si="27"/>
        <v>QFP: JGARCIA   QFV: ADELTORO</v>
      </c>
      <c r="B331" s="609"/>
      <c r="D331" s="609" t="str">
        <f t="shared" si="25"/>
        <v>QFP: JGARCIA   QFV: ADELTORO</v>
      </c>
      <c r="E331" s="609"/>
      <c r="J331" s="190"/>
    </row>
    <row r="332" spans="1:10" ht="14.1" customHeight="1">
      <c r="A332" s="609" t="str">
        <f t="shared" si="27"/>
        <v>C.JPC/SEXTO NTE/SCOOP   Cama: NA</v>
      </c>
      <c r="B332" s="609"/>
      <c r="D332" s="609" t="str">
        <f t="shared" si="25"/>
        <v>C.JPC/SEXTO NTE/SCOOP   Cama: NA</v>
      </c>
      <c r="E332" s="609"/>
      <c r="J332" s="190"/>
    </row>
    <row r="333" spans="1:10" ht="14.1" customHeight="1">
      <c r="A333" s="609" t="str">
        <f t="shared" si="27"/>
        <v>UNIDOSSIS S.A.S.</v>
      </c>
      <c r="B333" s="609"/>
      <c r="D333" s="609" t="str">
        <f t="shared" si="25"/>
        <v>UNIDOSSIS S.A.S.</v>
      </c>
      <c r="E333" s="609"/>
      <c r="J333" s="190"/>
    </row>
    <row r="334" spans="1:10" ht="14.1" customHeight="1">
      <c r="A334" s="610" t="e">
        <f>'DATOS ETIQ'!B$24&amp;"  "&amp;'DATOS ETIQ'!C$24&amp;"  "&amp;'DATOS ETIQ'!D$24&amp;'DATOS ETIQ'!Q$24</f>
        <v>#N/A</v>
      </c>
      <c r="B334" s="610"/>
      <c r="C334" s="195"/>
      <c r="D334" s="610" t="e">
        <f t="shared" si="25"/>
        <v>#N/A</v>
      </c>
      <c r="E334" s="610"/>
      <c r="J334" s="190"/>
    </row>
    <row r="335" spans="1:10" ht="14.1" customHeight="1" thickBot="1">
      <c r="A335" s="610" t="e">
        <f>IF('DATOS ETIQ'!P$24=1,"Do: "&amp;'DATOS ETIQ'!F$24&amp;"mg   VolDo: "&amp;'DATOS ETIQ'!G$24&amp;"mL","Dilución 1/"&amp;'DATOS ETIQ'!P$24&amp;"  "&amp;'DATOS ETIQ'!E$24&amp;"mg/mL   Do: "&amp;'DATOS ETIQ'!F$24&amp;"mg   VolDo: "&amp;'DATOS ETIQ'!G$24&amp;"mL")</f>
        <v>#N/A</v>
      </c>
      <c r="B335" s="610"/>
      <c r="C335" s="195"/>
      <c r="D335" s="610" t="e">
        <f t="shared" si="25"/>
        <v>#N/A</v>
      </c>
      <c r="E335" s="610"/>
      <c r="J335" s="190"/>
    </row>
    <row r="336" spans="1:10" ht="14.1" customHeight="1">
      <c r="A336" s="182" t="e">
        <f ca="1">'DATOS ETIQ'!H$24</f>
        <v>#N/A</v>
      </c>
      <c r="B336" s="183" t="str">
        <f>"Lt: "&amp;'DATOS ETIQ'!I$24</f>
        <v xml:space="preserve">Lt: </v>
      </c>
      <c r="D336" s="182" t="e">
        <f t="shared" ca="1" si="25"/>
        <v>#N/A</v>
      </c>
      <c r="E336" s="183" t="str">
        <f>B336</f>
        <v xml:space="preserve">Lt: </v>
      </c>
      <c r="G336" s="611" t="e">
        <f>'FR PD 001 V1'!T28</f>
        <v>#N/A</v>
      </c>
      <c r="J336" s="611">
        <v>23</v>
      </c>
    </row>
    <row r="337" spans="1:10" ht="14.1" customHeight="1" thickBot="1">
      <c r="A337" s="610" t="str">
        <f>'DATOS ETIQ'!J$24&amp;"  "&amp;'DATOS ETIQ'!K$24</f>
        <v xml:space="preserve">  0</v>
      </c>
      <c r="B337" s="610"/>
      <c r="C337" s="195"/>
      <c r="D337" s="610" t="str">
        <f t="shared" si="25"/>
        <v xml:space="preserve">  0</v>
      </c>
      <c r="E337" s="610"/>
      <c r="G337" s="612"/>
      <c r="J337" s="612"/>
    </row>
    <row r="338" spans="1:10" ht="14.1" customHeight="1">
      <c r="A338" s="609" t="str">
        <f>"QFP: "&amp;'DATOS ETIQ'!L$24&amp;"   QFV: "&amp;'DATOS ETIQ'!M$24</f>
        <v>QFP: JGARCIA   QFV: ADELTORO</v>
      </c>
      <c r="B338" s="609"/>
      <c r="D338" s="609" t="str">
        <f t="shared" si="25"/>
        <v>QFP: JGARCIA   QFV: ADELTORO</v>
      </c>
      <c r="E338" s="609"/>
      <c r="J338" s="190"/>
    </row>
    <row r="339" spans="1:10" ht="14.1" customHeight="1">
      <c r="A339" s="609" t="str">
        <f>'DATOS ETIQ'!N$24&amp;"   Cama: "&amp;'DATOS ETIQ'!O$24</f>
        <v>C.JPC/SEXTO NTE/SCOOP   Cama: NA</v>
      </c>
      <c r="B339" s="609"/>
      <c r="D339" s="609" t="str">
        <f t="shared" si="25"/>
        <v>C.JPC/SEXTO NTE/SCOOP   Cama: NA</v>
      </c>
      <c r="E339" s="609"/>
      <c r="J339" s="190"/>
    </row>
    <row r="340" spans="1:10" ht="14.1" customHeight="1">
      <c r="A340" s="609" t="s">
        <v>167</v>
      </c>
      <c r="B340" s="609"/>
      <c r="D340" s="609" t="str">
        <f t="shared" si="25"/>
        <v>UNIDOSSIS S.A.S.</v>
      </c>
      <c r="E340" s="609"/>
      <c r="J340" s="190"/>
    </row>
    <row r="341" spans="1:10" ht="14.1" customHeight="1">
      <c r="D341" s="194"/>
      <c r="E341" s="194"/>
      <c r="J341" s="190"/>
    </row>
    <row r="342" spans="1:10" ht="14.1" customHeight="1">
      <c r="A342" s="610" t="e">
        <f t="shared" ref="A342:A348" si="28">A334</f>
        <v>#N/A</v>
      </c>
      <c r="B342" s="610"/>
      <c r="D342" s="610" t="e">
        <f t="shared" si="25"/>
        <v>#N/A</v>
      </c>
      <c r="E342" s="610"/>
      <c r="J342" s="190"/>
    </row>
    <row r="343" spans="1:10" ht="14.1" customHeight="1">
      <c r="A343" s="610" t="e">
        <f t="shared" si="28"/>
        <v>#N/A</v>
      </c>
      <c r="B343" s="610"/>
      <c r="D343" s="610" t="e">
        <f t="shared" si="25"/>
        <v>#N/A</v>
      </c>
      <c r="E343" s="610"/>
      <c r="J343" s="190"/>
    </row>
    <row r="344" spans="1:10" ht="14.1" customHeight="1">
      <c r="A344" s="182" t="e">
        <f t="shared" ca="1" si="28"/>
        <v>#N/A</v>
      </c>
      <c r="B344" s="183" t="str">
        <f>B336</f>
        <v xml:space="preserve">Lt: </v>
      </c>
      <c r="D344" s="182" t="e">
        <f t="shared" ca="1" si="25"/>
        <v>#N/A</v>
      </c>
      <c r="E344" s="183" t="str">
        <f>B344</f>
        <v xml:space="preserve">Lt: </v>
      </c>
      <c r="J344" s="190"/>
    </row>
    <row r="345" spans="1:10" ht="14.1" customHeight="1">
      <c r="A345" s="610" t="str">
        <f t="shared" si="28"/>
        <v xml:space="preserve">  0</v>
      </c>
      <c r="B345" s="610"/>
      <c r="D345" s="610" t="str">
        <f t="shared" si="25"/>
        <v xml:space="preserve">  0</v>
      </c>
      <c r="E345" s="610"/>
      <c r="J345" s="190"/>
    </row>
    <row r="346" spans="1:10" ht="14.1" customHeight="1">
      <c r="A346" s="609" t="str">
        <f t="shared" si="28"/>
        <v>QFP: JGARCIA   QFV: ADELTORO</v>
      </c>
      <c r="B346" s="609"/>
      <c r="D346" s="609" t="str">
        <f t="shared" si="25"/>
        <v>QFP: JGARCIA   QFV: ADELTORO</v>
      </c>
      <c r="E346" s="609"/>
      <c r="J346" s="190"/>
    </row>
    <row r="347" spans="1:10" ht="14.1" customHeight="1">
      <c r="A347" s="609" t="str">
        <f t="shared" si="28"/>
        <v>C.JPC/SEXTO NTE/SCOOP   Cama: NA</v>
      </c>
      <c r="B347" s="609"/>
      <c r="D347" s="609" t="str">
        <f t="shared" si="25"/>
        <v>C.JPC/SEXTO NTE/SCOOP   Cama: NA</v>
      </c>
      <c r="E347" s="609"/>
      <c r="J347" s="190"/>
    </row>
    <row r="348" spans="1:10" ht="14.1" customHeight="1">
      <c r="A348" s="609" t="str">
        <f t="shared" si="28"/>
        <v>UNIDOSSIS S.A.S.</v>
      </c>
      <c r="B348" s="609"/>
      <c r="D348" s="609" t="str">
        <f t="shared" si="25"/>
        <v>UNIDOSSIS S.A.S.</v>
      </c>
      <c r="E348" s="609"/>
      <c r="J348" s="190"/>
    </row>
    <row r="349" spans="1:10" ht="14.1" customHeight="1">
      <c r="A349" s="610" t="e">
        <f>'DATOS ETIQ'!B$25&amp;"  "&amp;'DATOS ETIQ'!C$25&amp;"  "&amp;'DATOS ETIQ'!D$25&amp;'DATOS ETIQ'!Q$25</f>
        <v>#N/A</v>
      </c>
      <c r="B349" s="610"/>
      <c r="C349" s="195"/>
      <c r="D349" s="610" t="e">
        <f t="shared" si="25"/>
        <v>#N/A</v>
      </c>
      <c r="E349" s="610"/>
      <c r="J349" s="190"/>
    </row>
    <row r="350" spans="1:10" ht="14.1" customHeight="1" thickBot="1">
      <c r="A350" s="610" t="e">
        <f>IF('DATOS ETIQ'!P$25=1,"Do: "&amp;'DATOS ETIQ'!F$25&amp;"mg   VolDo: "&amp;'DATOS ETIQ'!G$25&amp;"mL","Dilución 1/"&amp;'DATOS ETIQ'!P$25&amp;"  "&amp;'DATOS ETIQ'!E$25&amp;"mg/mL   Do: "&amp;'DATOS ETIQ'!F$25&amp;"mg   VolDo: "&amp;'DATOS ETIQ'!G$25&amp;"mL")</f>
        <v>#N/A</v>
      </c>
      <c r="B350" s="610"/>
      <c r="C350" s="195"/>
      <c r="D350" s="610" t="e">
        <f t="shared" si="25"/>
        <v>#N/A</v>
      </c>
      <c r="E350" s="610"/>
      <c r="J350" s="190"/>
    </row>
    <row r="351" spans="1:10" ht="14.1" customHeight="1">
      <c r="A351" s="182" t="e">
        <f ca="1">'DATOS ETIQ'!H$25</f>
        <v>#N/A</v>
      </c>
      <c r="B351" s="183" t="str">
        <f>"Lt: "&amp;'DATOS ETIQ'!I$25</f>
        <v xml:space="preserve">Lt: </v>
      </c>
      <c r="D351" s="182" t="e">
        <f t="shared" ca="1" si="25"/>
        <v>#N/A</v>
      </c>
      <c r="E351" s="183" t="str">
        <f>B351</f>
        <v xml:space="preserve">Lt: </v>
      </c>
      <c r="G351" s="611" t="e">
        <f>'FR PD 001 V1'!T29</f>
        <v>#N/A</v>
      </c>
      <c r="J351" s="611">
        <v>24</v>
      </c>
    </row>
    <row r="352" spans="1:10" ht="14.1" customHeight="1" thickBot="1">
      <c r="A352" s="610" t="str">
        <f>'DATOS ETIQ'!J$25&amp;"  "&amp;'DATOS ETIQ'!K$25</f>
        <v xml:space="preserve">  0</v>
      </c>
      <c r="B352" s="610"/>
      <c r="C352" s="195"/>
      <c r="D352" s="610" t="str">
        <f t="shared" si="25"/>
        <v xml:space="preserve">  0</v>
      </c>
      <c r="E352" s="610"/>
      <c r="G352" s="612"/>
      <c r="J352" s="612"/>
    </row>
    <row r="353" spans="1:10" ht="14.1" customHeight="1">
      <c r="A353" s="609" t="str">
        <f>"QFP: "&amp;'DATOS ETIQ'!L$25&amp;"   QFV: "&amp;'DATOS ETIQ'!M$25</f>
        <v>QFP: JGARCIA   QFV: ADELTORO</v>
      </c>
      <c r="B353" s="609"/>
      <c r="D353" s="609" t="str">
        <f t="shared" si="25"/>
        <v>QFP: JGARCIA   QFV: ADELTORO</v>
      </c>
      <c r="E353" s="609"/>
      <c r="J353" s="190"/>
    </row>
    <row r="354" spans="1:10" ht="14.1" customHeight="1">
      <c r="A354" s="609" t="str">
        <f>'DATOS ETIQ'!N$25&amp;"   Cama: "&amp;'DATOS ETIQ'!O$25</f>
        <v>C.JPC/SEXTO NTE/SCOOP   Cama: NA</v>
      </c>
      <c r="B354" s="609"/>
      <c r="D354" s="609" t="str">
        <f t="shared" si="25"/>
        <v>C.JPC/SEXTO NTE/SCOOP   Cama: NA</v>
      </c>
      <c r="E354" s="609"/>
      <c r="J354" s="190"/>
    </row>
    <row r="355" spans="1:10" ht="14.1" customHeight="1">
      <c r="A355" s="609" t="s">
        <v>167</v>
      </c>
      <c r="B355" s="609"/>
      <c r="D355" s="609" t="str">
        <f t="shared" si="25"/>
        <v>UNIDOSSIS S.A.S.</v>
      </c>
      <c r="E355" s="609"/>
      <c r="J355" s="190"/>
    </row>
    <row r="356" spans="1:10" ht="14.1" customHeight="1">
      <c r="D356" s="194"/>
      <c r="E356" s="194"/>
      <c r="J356" s="190"/>
    </row>
    <row r="357" spans="1:10" ht="14.1" customHeight="1">
      <c r="A357" s="610" t="e">
        <f t="shared" ref="A357:A363" si="29">A349</f>
        <v>#N/A</v>
      </c>
      <c r="B357" s="610"/>
      <c r="D357" s="610" t="e">
        <f t="shared" si="25"/>
        <v>#N/A</v>
      </c>
      <c r="E357" s="610"/>
      <c r="J357" s="190"/>
    </row>
    <row r="358" spans="1:10" ht="14.1" customHeight="1">
      <c r="A358" s="610" t="e">
        <f t="shared" si="29"/>
        <v>#N/A</v>
      </c>
      <c r="B358" s="610"/>
      <c r="D358" s="610" t="e">
        <f t="shared" si="25"/>
        <v>#N/A</v>
      </c>
      <c r="E358" s="610"/>
      <c r="J358" s="190"/>
    </row>
    <row r="359" spans="1:10" ht="14.1" customHeight="1">
      <c r="A359" s="182" t="e">
        <f t="shared" ca="1" si="29"/>
        <v>#N/A</v>
      </c>
      <c r="B359" s="183" t="str">
        <f>B351</f>
        <v xml:space="preserve">Lt: </v>
      </c>
      <c r="D359" s="182" t="e">
        <f t="shared" ca="1" si="25"/>
        <v>#N/A</v>
      </c>
      <c r="E359" s="183" t="str">
        <f>B359</f>
        <v xml:space="preserve">Lt: </v>
      </c>
      <c r="J359" s="190"/>
    </row>
    <row r="360" spans="1:10" ht="14.1" customHeight="1">
      <c r="A360" s="610" t="str">
        <f t="shared" si="29"/>
        <v xml:space="preserve">  0</v>
      </c>
      <c r="B360" s="610"/>
      <c r="D360" s="610" t="str">
        <f t="shared" si="25"/>
        <v xml:space="preserve">  0</v>
      </c>
      <c r="E360" s="610"/>
      <c r="J360" s="190"/>
    </row>
    <row r="361" spans="1:10" ht="14.1" customHeight="1">
      <c r="A361" s="609" t="str">
        <f t="shared" si="29"/>
        <v>QFP: JGARCIA   QFV: ADELTORO</v>
      </c>
      <c r="B361" s="609"/>
      <c r="D361" s="609" t="str">
        <f t="shared" si="25"/>
        <v>QFP: JGARCIA   QFV: ADELTORO</v>
      </c>
      <c r="E361" s="609"/>
      <c r="J361" s="190"/>
    </row>
    <row r="362" spans="1:10" ht="14.1" customHeight="1">
      <c r="A362" s="609" t="str">
        <f t="shared" si="29"/>
        <v>C.JPC/SEXTO NTE/SCOOP   Cama: NA</v>
      </c>
      <c r="B362" s="609"/>
      <c r="D362" s="609" t="str">
        <f t="shared" si="25"/>
        <v>C.JPC/SEXTO NTE/SCOOP   Cama: NA</v>
      </c>
      <c r="E362" s="609"/>
      <c r="J362" s="190"/>
    </row>
    <row r="363" spans="1:10" ht="14.1" customHeight="1">
      <c r="A363" s="609" t="str">
        <f t="shared" si="29"/>
        <v>UNIDOSSIS S.A.S.</v>
      </c>
      <c r="B363" s="609"/>
      <c r="D363" s="609" t="str">
        <f t="shared" si="25"/>
        <v>UNIDOSSIS S.A.S.</v>
      </c>
      <c r="E363" s="609"/>
      <c r="J363" s="190"/>
    </row>
    <row r="364" spans="1:10" ht="14.1" customHeight="1">
      <c r="A364" s="610" t="e">
        <f>'DATOS ETIQ'!B$26&amp;"  "&amp;'DATOS ETIQ'!C$26&amp;"  "&amp;'DATOS ETIQ'!D$26&amp;'DATOS ETIQ'!Q$26</f>
        <v>#N/A</v>
      </c>
      <c r="B364" s="610"/>
      <c r="C364" s="195"/>
      <c r="D364" s="610" t="e">
        <f t="shared" si="25"/>
        <v>#N/A</v>
      </c>
      <c r="E364" s="610"/>
      <c r="J364" s="190"/>
    </row>
    <row r="365" spans="1:10" ht="14.1" customHeight="1" thickBot="1">
      <c r="A365" s="610" t="e">
        <f>IF('DATOS ETIQ'!P$26=1,"Do: "&amp;'DATOS ETIQ'!F$26&amp;"mg   VolDo: "&amp;'DATOS ETIQ'!G$26&amp;"mL","Dilución 1/"&amp;'DATOS ETIQ'!P$26&amp;"  "&amp;'DATOS ETIQ'!E$26&amp;"mg/mL   Do: "&amp;'DATOS ETIQ'!F$26&amp;"mg   VolDo: "&amp;'DATOS ETIQ'!G$26&amp;"mL")</f>
        <v>#N/A</v>
      </c>
      <c r="B365" s="610"/>
      <c r="C365" s="195"/>
      <c r="D365" s="610" t="e">
        <f t="shared" si="25"/>
        <v>#N/A</v>
      </c>
      <c r="E365" s="610"/>
      <c r="J365" s="190"/>
    </row>
    <row r="366" spans="1:10" ht="14.1" customHeight="1">
      <c r="A366" s="182" t="e">
        <f ca="1">'DATOS ETIQ'!H$26</f>
        <v>#N/A</v>
      </c>
      <c r="B366" s="183" t="str">
        <f>"Lt: "&amp;'DATOS ETIQ'!I$26</f>
        <v xml:space="preserve">Lt: </v>
      </c>
      <c r="D366" s="182" t="e">
        <f t="shared" ca="1" si="25"/>
        <v>#N/A</v>
      </c>
      <c r="E366" s="183" t="str">
        <f>B366</f>
        <v xml:space="preserve">Lt: </v>
      </c>
      <c r="G366" s="611" t="e">
        <f>'FR PD 001 V1'!T30</f>
        <v>#N/A</v>
      </c>
      <c r="J366" s="611">
        <v>25</v>
      </c>
    </row>
    <row r="367" spans="1:10" ht="14.1" customHeight="1" thickBot="1">
      <c r="A367" s="610" t="str">
        <f>'DATOS ETIQ'!J$26&amp;"  "&amp;'DATOS ETIQ'!K$26</f>
        <v xml:space="preserve">  0</v>
      </c>
      <c r="B367" s="610"/>
      <c r="C367" s="195"/>
      <c r="D367" s="610" t="str">
        <f t="shared" si="25"/>
        <v xml:space="preserve">  0</v>
      </c>
      <c r="E367" s="610"/>
      <c r="G367" s="612"/>
      <c r="J367" s="612"/>
    </row>
    <row r="368" spans="1:10" ht="14.1" customHeight="1">
      <c r="A368" s="609" t="str">
        <f>"QFP: "&amp;'DATOS ETIQ'!L$26&amp;"   QFV: "&amp;'DATOS ETIQ'!M$26</f>
        <v>QFP: JGARCIA   QFV: ADELTORO</v>
      </c>
      <c r="B368" s="609"/>
      <c r="D368" s="609" t="str">
        <f t="shared" si="25"/>
        <v>QFP: JGARCIA   QFV: ADELTORO</v>
      </c>
      <c r="E368" s="609"/>
      <c r="J368" s="190"/>
    </row>
    <row r="369" spans="1:10" ht="14.1" customHeight="1">
      <c r="A369" s="609" t="str">
        <f>'DATOS ETIQ'!N$26&amp;"   Cama: "&amp;'DATOS ETIQ'!O$26</f>
        <v>C.JPC/SEXTO NTE/SCOOP   Cama: NA</v>
      </c>
      <c r="B369" s="609"/>
      <c r="D369" s="609" t="str">
        <f t="shared" si="25"/>
        <v>C.JPC/SEXTO NTE/SCOOP   Cama: NA</v>
      </c>
      <c r="E369" s="609"/>
      <c r="J369" s="190"/>
    </row>
    <row r="370" spans="1:10" ht="14.1" customHeight="1">
      <c r="A370" s="609" t="s">
        <v>167</v>
      </c>
      <c r="B370" s="609"/>
      <c r="D370" s="609" t="str">
        <f t="shared" si="25"/>
        <v>UNIDOSSIS S.A.S.</v>
      </c>
      <c r="E370" s="609"/>
      <c r="J370" s="190"/>
    </row>
    <row r="371" spans="1:10" ht="14.1" customHeight="1">
      <c r="D371" s="194"/>
      <c r="E371" s="194"/>
      <c r="J371" s="190"/>
    </row>
    <row r="372" spans="1:10" ht="14.1" customHeight="1">
      <c r="A372" s="610" t="e">
        <f t="shared" ref="A372:A378" si="30">A364</f>
        <v>#N/A</v>
      </c>
      <c r="B372" s="610"/>
      <c r="D372" s="610" t="e">
        <f t="shared" si="25"/>
        <v>#N/A</v>
      </c>
      <c r="E372" s="610"/>
      <c r="J372" s="190"/>
    </row>
    <row r="373" spans="1:10" ht="14.1" customHeight="1">
      <c r="A373" s="610" t="e">
        <f t="shared" si="30"/>
        <v>#N/A</v>
      </c>
      <c r="B373" s="610"/>
      <c r="D373" s="610" t="e">
        <f t="shared" si="25"/>
        <v>#N/A</v>
      </c>
      <c r="E373" s="610"/>
      <c r="J373" s="190"/>
    </row>
    <row r="374" spans="1:10" ht="14.1" customHeight="1">
      <c r="A374" s="182" t="e">
        <f t="shared" ca="1" si="30"/>
        <v>#N/A</v>
      </c>
      <c r="B374" s="183" t="str">
        <f>B366</f>
        <v xml:space="preserve">Lt: </v>
      </c>
      <c r="D374" s="182" t="e">
        <f t="shared" ca="1" si="25"/>
        <v>#N/A</v>
      </c>
      <c r="E374" s="183" t="str">
        <f>B374</f>
        <v xml:space="preserve">Lt: </v>
      </c>
      <c r="J374" s="190"/>
    </row>
    <row r="375" spans="1:10" ht="14.1" customHeight="1">
      <c r="A375" s="610" t="str">
        <f t="shared" si="30"/>
        <v xml:space="preserve">  0</v>
      </c>
      <c r="B375" s="610"/>
      <c r="D375" s="610" t="str">
        <f t="shared" si="25"/>
        <v xml:space="preserve">  0</v>
      </c>
      <c r="E375" s="610"/>
      <c r="J375" s="190"/>
    </row>
    <row r="376" spans="1:10" ht="14.1" customHeight="1">
      <c r="A376" s="609" t="str">
        <f t="shared" si="30"/>
        <v>QFP: JGARCIA   QFV: ADELTORO</v>
      </c>
      <c r="B376" s="609"/>
      <c r="D376" s="609" t="str">
        <f t="shared" si="25"/>
        <v>QFP: JGARCIA   QFV: ADELTORO</v>
      </c>
      <c r="E376" s="609"/>
      <c r="J376" s="190"/>
    </row>
    <row r="377" spans="1:10" ht="14.1" customHeight="1">
      <c r="A377" s="609" t="str">
        <f t="shared" si="30"/>
        <v>C.JPC/SEXTO NTE/SCOOP   Cama: NA</v>
      </c>
      <c r="B377" s="609"/>
      <c r="D377" s="609" t="str">
        <f t="shared" si="25"/>
        <v>C.JPC/SEXTO NTE/SCOOP   Cama: NA</v>
      </c>
      <c r="E377" s="609"/>
      <c r="J377" s="190"/>
    </row>
    <row r="378" spans="1:10" ht="14.1" customHeight="1">
      <c r="A378" s="609" t="str">
        <f t="shared" si="30"/>
        <v>UNIDOSSIS S.A.S.</v>
      </c>
      <c r="B378" s="609"/>
      <c r="D378" s="609" t="str">
        <f t="shared" si="25"/>
        <v>UNIDOSSIS S.A.S.</v>
      </c>
      <c r="E378" s="609"/>
      <c r="J378" s="190"/>
    </row>
    <row r="379" spans="1:10" ht="14.1" customHeight="1">
      <c r="A379" s="610" t="e">
        <f>'DATOS ETIQ'!B$27&amp;"  "&amp;'DATOS ETIQ'!C$27&amp;"  "&amp;'DATOS ETIQ'!D$27&amp;'DATOS ETIQ'!Q$27</f>
        <v>#N/A</v>
      </c>
      <c r="B379" s="610"/>
      <c r="C379" s="195"/>
      <c r="D379" s="610" t="e">
        <f t="shared" si="25"/>
        <v>#N/A</v>
      </c>
      <c r="E379" s="610"/>
      <c r="J379" s="190"/>
    </row>
    <row r="380" spans="1:10" ht="14.1" customHeight="1" thickBot="1">
      <c r="A380" s="610" t="e">
        <f>IF('DATOS ETIQ'!P$27=1,"Do: "&amp;'DATOS ETIQ'!F$27&amp;"mg   VolDo: "&amp;'DATOS ETIQ'!G$27&amp;"mL","Dilución 1/"&amp;'DATOS ETIQ'!P$27&amp;"  "&amp;'DATOS ETIQ'!E$27&amp;"mg/mL   Do: "&amp;'DATOS ETIQ'!F$27&amp;"mg   VolDo: "&amp;'DATOS ETIQ'!G$27&amp;"mL")</f>
        <v>#N/A</v>
      </c>
      <c r="B380" s="610"/>
      <c r="C380" s="195"/>
      <c r="D380" s="610" t="e">
        <f t="shared" si="25"/>
        <v>#N/A</v>
      </c>
      <c r="E380" s="610"/>
      <c r="J380" s="190"/>
    </row>
    <row r="381" spans="1:10" ht="14.1" customHeight="1">
      <c r="A381" s="182" t="e">
        <f ca="1">'DATOS ETIQ'!H$27</f>
        <v>#N/A</v>
      </c>
      <c r="B381" s="183" t="str">
        <f>"Lt: "&amp;'DATOS ETIQ'!I$27</f>
        <v xml:space="preserve">Lt: </v>
      </c>
      <c r="D381" s="182" t="e">
        <f t="shared" ca="1" si="25"/>
        <v>#N/A</v>
      </c>
      <c r="E381" s="183" t="str">
        <f>B381</f>
        <v xml:space="preserve">Lt: </v>
      </c>
      <c r="G381" s="611" t="e">
        <f>'FR PD 001 V1'!T31</f>
        <v>#N/A</v>
      </c>
      <c r="J381" s="611">
        <v>26</v>
      </c>
    </row>
    <row r="382" spans="1:10" ht="14.1" customHeight="1" thickBot="1">
      <c r="A382" s="610" t="str">
        <f>'DATOS ETIQ'!J$27&amp;"  "&amp;'DATOS ETIQ'!K$27</f>
        <v xml:space="preserve">  0</v>
      </c>
      <c r="B382" s="610"/>
      <c r="C382" s="195"/>
      <c r="D382" s="610" t="str">
        <f t="shared" si="25"/>
        <v xml:space="preserve">  0</v>
      </c>
      <c r="E382" s="610"/>
      <c r="G382" s="612"/>
      <c r="J382" s="612"/>
    </row>
    <row r="383" spans="1:10" ht="14.1" customHeight="1">
      <c r="A383" s="609" t="str">
        <f>"QFP: "&amp;'DATOS ETIQ'!L$27&amp;"   QFV: "&amp;'DATOS ETIQ'!M$27</f>
        <v>QFP: JGARCIA   QFV: ADELTORO</v>
      </c>
      <c r="B383" s="609"/>
      <c r="D383" s="609" t="str">
        <f t="shared" si="25"/>
        <v>QFP: JGARCIA   QFV: ADELTORO</v>
      </c>
      <c r="E383" s="609"/>
      <c r="J383" s="190"/>
    </row>
    <row r="384" spans="1:10" ht="14.1" customHeight="1">
      <c r="A384" s="609" t="str">
        <f>'DATOS ETIQ'!N$27&amp;"   Cama: "&amp;'DATOS ETIQ'!O$27</f>
        <v>C.JPC/SEXTO NTE/SCOOP   Cama: NA</v>
      </c>
      <c r="B384" s="609"/>
      <c r="D384" s="609" t="str">
        <f t="shared" si="25"/>
        <v>C.JPC/SEXTO NTE/SCOOP   Cama: NA</v>
      </c>
      <c r="E384" s="609"/>
      <c r="J384" s="190"/>
    </row>
    <row r="385" spans="1:10" ht="14.1" customHeight="1">
      <c r="A385" s="609" t="s">
        <v>167</v>
      </c>
      <c r="B385" s="609"/>
      <c r="D385" s="609" t="str">
        <f t="shared" si="25"/>
        <v>UNIDOSSIS S.A.S.</v>
      </c>
      <c r="E385" s="609"/>
      <c r="J385" s="190"/>
    </row>
    <row r="386" spans="1:10" ht="14.1" customHeight="1">
      <c r="D386" s="194"/>
      <c r="E386" s="194"/>
      <c r="J386" s="190"/>
    </row>
    <row r="387" spans="1:10" ht="14.1" customHeight="1">
      <c r="A387" s="610" t="e">
        <f t="shared" ref="A387:A393" si="31">A379</f>
        <v>#N/A</v>
      </c>
      <c r="B387" s="610"/>
      <c r="D387" s="610" t="e">
        <f t="shared" si="25"/>
        <v>#N/A</v>
      </c>
      <c r="E387" s="610"/>
      <c r="J387" s="190"/>
    </row>
    <row r="388" spans="1:10" ht="14.1" customHeight="1">
      <c r="A388" s="610" t="e">
        <f t="shared" si="31"/>
        <v>#N/A</v>
      </c>
      <c r="B388" s="610"/>
      <c r="D388" s="610" t="e">
        <f t="shared" si="25"/>
        <v>#N/A</v>
      </c>
      <c r="E388" s="610"/>
      <c r="J388" s="190"/>
    </row>
    <row r="389" spans="1:10" ht="14.1" customHeight="1">
      <c r="A389" s="182" t="e">
        <f t="shared" ca="1" si="31"/>
        <v>#N/A</v>
      </c>
      <c r="B389" s="183" t="str">
        <f>B381</f>
        <v xml:space="preserve">Lt: </v>
      </c>
      <c r="D389" s="182" t="e">
        <f t="shared" ca="1" si="25"/>
        <v>#N/A</v>
      </c>
      <c r="E389" s="183" t="str">
        <f>B389</f>
        <v xml:space="preserve">Lt: </v>
      </c>
      <c r="J389" s="190"/>
    </row>
    <row r="390" spans="1:10" ht="14.1" customHeight="1">
      <c r="A390" s="610" t="str">
        <f t="shared" si="31"/>
        <v xml:space="preserve">  0</v>
      </c>
      <c r="B390" s="610"/>
      <c r="D390" s="610" t="str">
        <f t="shared" si="25"/>
        <v xml:space="preserve">  0</v>
      </c>
      <c r="E390" s="610"/>
      <c r="J390" s="190"/>
    </row>
    <row r="391" spans="1:10" ht="14.1" customHeight="1">
      <c r="A391" s="609" t="str">
        <f t="shared" si="31"/>
        <v>QFP: JGARCIA   QFV: ADELTORO</v>
      </c>
      <c r="B391" s="609"/>
      <c r="D391" s="609" t="str">
        <f t="shared" si="25"/>
        <v>QFP: JGARCIA   QFV: ADELTORO</v>
      </c>
      <c r="E391" s="609"/>
      <c r="J391" s="190"/>
    </row>
    <row r="392" spans="1:10" ht="14.1" customHeight="1">
      <c r="A392" s="609" t="str">
        <f t="shared" si="31"/>
        <v>C.JPC/SEXTO NTE/SCOOP   Cama: NA</v>
      </c>
      <c r="B392" s="609"/>
      <c r="D392" s="609" t="str">
        <f t="shared" si="25"/>
        <v>C.JPC/SEXTO NTE/SCOOP   Cama: NA</v>
      </c>
      <c r="E392" s="609"/>
      <c r="J392" s="190"/>
    </row>
    <row r="393" spans="1:10" ht="14.1" customHeight="1">
      <c r="A393" s="609" t="str">
        <f t="shared" si="31"/>
        <v>UNIDOSSIS S.A.S.</v>
      </c>
      <c r="B393" s="609"/>
      <c r="D393" s="609" t="str">
        <f t="shared" si="25"/>
        <v>UNIDOSSIS S.A.S.</v>
      </c>
      <c r="E393" s="609"/>
      <c r="J393" s="190"/>
    </row>
    <row r="394" spans="1:10" ht="14.1" customHeight="1">
      <c r="A394" s="610" t="e">
        <f>'DATOS ETIQ'!B$28&amp;"  "&amp;'DATOS ETIQ'!C$28&amp;"  "&amp;'DATOS ETIQ'!D$28&amp;'DATOS ETIQ'!Q$28</f>
        <v>#N/A</v>
      </c>
      <c r="B394" s="610"/>
      <c r="C394" s="195"/>
      <c r="D394" s="610" t="e">
        <f t="shared" si="25"/>
        <v>#N/A</v>
      </c>
      <c r="E394" s="610"/>
      <c r="J394" s="190"/>
    </row>
    <row r="395" spans="1:10" ht="14.1" customHeight="1" thickBot="1">
      <c r="A395" s="610" t="e">
        <f>IF('DATOS ETIQ'!P$28=1,"Do: "&amp;'DATOS ETIQ'!F$28&amp;"mg   VolDo: "&amp;'DATOS ETIQ'!G$28&amp;"mL","Dilución 1/"&amp;'DATOS ETIQ'!P$28&amp;"  "&amp;'DATOS ETIQ'!E$28&amp;"mg/mL   Do: "&amp;'DATOS ETIQ'!F$28&amp;"mg   VolDo: "&amp;'DATOS ETIQ'!G$28&amp;"mL")</f>
        <v>#N/A</v>
      </c>
      <c r="B395" s="610"/>
      <c r="C395" s="195"/>
      <c r="D395" s="610" t="e">
        <f t="shared" si="25"/>
        <v>#N/A</v>
      </c>
      <c r="E395" s="610"/>
      <c r="J395" s="190"/>
    </row>
    <row r="396" spans="1:10" ht="14.1" customHeight="1">
      <c r="A396" s="182" t="e">
        <f ca="1">'DATOS ETIQ'!H$28</f>
        <v>#N/A</v>
      </c>
      <c r="B396" s="183" t="str">
        <f>"Lt: "&amp;'DATOS ETIQ'!I$28</f>
        <v xml:space="preserve">Lt: </v>
      </c>
      <c r="D396" s="182" t="e">
        <f t="shared" ca="1" si="25"/>
        <v>#N/A</v>
      </c>
      <c r="E396" s="183" t="str">
        <f>B396</f>
        <v xml:space="preserve">Lt: </v>
      </c>
      <c r="G396" s="611" t="e">
        <f>'FR PD 001 V1'!T32</f>
        <v>#N/A</v>
      </c>
      <c r="J396" s="611">
        <v>27</v>
      </c>
    </row>
    <row r="397" spans="1:10" ht="14.1" customHeight="1" thickBot="1">
      <c r="A397" s="610" t="str">
        <f>'DATOS ETIQ'!J$28&amp;"  "&amp;'DATOS ETIQ'!K$28</f>
        <v xml:space="preserve">  0</v>
      </c>
      <c r="B397" s="610"/>
      <c r="C397" s="195"/>
      <c r="D397" s="610" t="str">
        <f t="shared" si="25"/>
        <v xml:space="preserve">  0</v>
      </c>
      <c r="E397" s="610"/>
      <c r="G397" s="612"/>
      <c r="J397" s="612"/>
    </row>
    <row r="398" spans="1:10" ht="14.1" customHeight="1">
      <c r="A398" s="609" t="str">
        <f>"QFP: "&amp;'DATOS ETIQ'!L$28&amp;"   QFV: "&amp;'DATOS ETIQ'!M$28</f>
        <v>QFP: JGARCIA   QFV: ADELTORO</v>
      </c>
      <c r="B398" s="609"/>
      <c r="D398" s="609" t="str">
        <f t="shared" si="25"/>
        <v>QFP: JGARCIA   QFV: ADELTORO</v>
      </c>
      <c r="E398" s="609"/>
      <c r="J398" s="190"/>
    </row>
    <row r="399" spans="1:10" ht="14.1" customHeight="1">
      <c r="A399" s="609" t="str">
        <f>'DATOS ETIQ'!N$28&amp;"   Cama: "&amp;'DATOS ETIQ'!O$28</f>
        <v>C.JPC/SEXTO NTE/SCOOP   Cama: NA</v>
      </c>
      <c r="B399" s="609"/>
      <c r="D399" s="609" t="str">
        <f t="shared" si="25"/>
        <v>C.JPC/SEXTO NTE/SCOOP   Cama: NA</v>
      </c>
      <c r="E399" s="609"/>
      <c r="J399" s="190"/>
    </row>
    <row r="400" spans="1:10" ht="14.1" customHeight="1">
      <c r="A400" s="609" t="s">
        <v>167</v>
      </c>
      <c r="B400" s="609"/>
      <c r="D400" s="609" t="str">
        <f t="shared" si="25"/>
        <v>UNIDOSSIS S.A.S.</v>
      </c>
      <c r="E400" s="609"/>
      <c r="J400" s="190"/>
    </row>
    <row r="401" spans="1:10" ht="14.1" customHeight="1">
      <c r="D401" s="194"/>
      <c r="E401" s="194"/>
      <c r="J401" s="190"/>
    </row>
    <row r="402" spans="1:10" ht="14.1" customHeight="1">
      <c r="A402" s="610" t="e">
        <f t="shared" ref="A402:A408" si="32">A394</f>
        <v>#N/A</v>
      </c>
      <c r="B402" s="610"/>
      <c r="D402" s="610" t="e">
        <f t="shared" si="25"/>
        <v>#N/A</v>
      </c>
      <c r="E402" s="610"/>
      <c r="J402" s="190"/>
    </row>
    <row r="403" spans="1:10" ht="14.1" customHeight="1">
      <c r="A403" s="610" t="e">
        <f t="shared" si="32"/>
        <v>#N/A</v>
      </c>
      <c r="B403" s="610"/>
      <c r="D403" s="610" t="e">
        <f t="shared" si="25"/>
        <v>#N/A</v>
      </c>
      <c r="E403" s="610"/>
      <c r="J403" s="190"/>
    </row>
    <row r="404" spans="1:10" ht="14.1" customHeight="1">
      <c r="A404" s="182" t="e">
        <f t="shared" ca="1" si="32"/>
        <v>#N/A</v>
      </c>
      <c r="B404" s="183" t="str">
        <f>B396</f>
        <v xml:space="preserve">Lt: </v>
      </c>
      <c r="D404" s="182" t="e">
        <f t="shared" ca="1" si="25"/>
        <v>#N/A</v>
      </c>
      <c r="E404" s="183" t="str">
        <f>B404</f>
        <v xml:space="preserve">Lt: </v>
      </c>
      <c r="J404" s="190"/>
    </row>
    <row r="405" spans="1:10" ht="14.1" customHeight="1">
      <c r="A405" s="610" t="str">
        <f t="shared" si="32"/>
        <v xml:space="preserve">  0</v>
      </c>
      <c r="B405" s="610"/>
      <c r="D405" s="610" t="str">
        <f t="shared" si="25"/>
        <v xml:space="preserve">  0</v>
      </c>
      <c r="E405" s="610"/>
      <c r="J405" s="190"/>
    </row>
    <row r="406" spans="1:10" ht="14.1" customHeight="1">
      <c r="A406" s="609" t="str">
        <f t="shared" si="32"/>
        <v>QFP: JGARCIA   QFV: ADELTORO</v>
      </c>
      <c r="B406" s="609"/>
      <c r="D406" s="609" t="str">
        <f t="shared" si="25"/>
        <v>QFP: JGARCIA   QFV: ADELTORO</v>
      </c>
      <c r="E406" s="609"/>
      <c r="J406" s="190"/>
    </row>
    <row r="407" spans="1:10" ht="14.1" customHeight="1">
      <c r="A407" s="609" t="str">
        <f t="shared" si="32"/>
        <v>C.JPC/SEXTO NTE/SCOOP   Cama: NA</v>
      </c>
      <c r="B407" s="609"/>
      <c r="D407" s="609" t="str">
        <f t="shared" si="25"/>
        <v>C.JPC/SEXTO NTE/SCOOP   Cama: NA</v>
      </c>
      <c r="E407" s="609"/>
      <c r="J407" s="190"/>
    </row>
    <row r="408" spans="1:10" ht="14.1" customHeight="1">
      <c r="A408" s="609" t="str">
        <f t="shared" si="32"/>
        <v>UNIDOSSIS S.A.S.</v>
      </c>
      <c r="B408" s="609"/>
      <c r="D408" s="609" t="str">
        <f t="shared" si="25"/>
        <v>UNIDOSSIS S.A.S.</v>
      </c>
      <c r="E408" s="609"/>
      <c r="J408" s="190"/>
    </row>
    <row r="409" spans="1:10" ht="14.1" customHeight="1">
      <c r="A409" s="610" t="e">
        <f>'DATOS ETIQ'!B$29&amp;"  "&amp;'DATOS ETIQ'!C$29&amp;"  "&amp;'DATOS ETIQ'!D$29&amp;'DATOS ETIQ'!Q$29</f>
        <v>#N/A</v>
      </c>
      <c r="B409" s="610"/>
      <c r="C409" s="195"/>
      <c r="D409" s="610" t="e">
        <f t="shared" si="25"/>
        <v>#N/A</v>
      </c>
      <c r="E409" s="610"/>
      <c r="J409" s="190"/>
    </row>
    <row r="410" spans="1:10" ht="14.1" customHeight="1" thickBot="1">
      <c r="A410" s="610" t="e">
        <f>IF('DATOS ETIQ'!P$29=1,"Do: "&amp;'DATOS ETIQ'!F$29&amp;"mg   VolDo: "&amp;'DATOS ETIQ'!G$29&amp;"mL","Dilución 1/"&amp;'DATOS ETIQ'!P$29&amp;"  "&amp;'DATOS ETIQ'!E$29&amp;"mg/mL   Do: "&amp;'DATOS ETIQ'!F$29&amp;"mg   VolDo: "&amp;'DATOS ETIQ'!G$29&amp;"mL")</f>
        <v>#N/A</v>
      </c>
      <c r="B410" s="610"/>
      <c r="C410" s="195"/>
      <c r="D410" s="610" t="e">
        <f t="shared" si="25"/>
        <v>#N/A</v>
      </c>
      <c r="E410" s="610"/>
      <c r="J410" s="190"/>
    </row>
    <row r="411" spans="1:10" ht="14.1" customHeight="1">
      <c r="A411" s="182" t="e">
        <f ca="1">'DATOS ETIQ'!H$29</f>
        <v>#N/A</v>
      </c>
      <c r="B411" s="183" t="str">
        <f>"Lt: "&amp;'DATOS ETIQ'!I$29</f>
        <v xml:space="preserve">Lt: </v>
      </c>
      <c r="D411" s="182" t="e">
        <f t="shared" ca="1" si="25"/>
        <v>#N/A</v>
      </c>
      <c r="E411" s="183" t="str">
        <f>B411</f>
        <v xml:space="preserve">Lt: </v>
      </c>
      <c r="G411" s="611" t="e">
        <f>'FR PD 001 V1'!T33</f>
        <v>#N/A</v>
      </c>
      <c r="J411" s="611">
        <v>28</v>
      </c>
    </row>
    <row r="412" spans="1:10" ht="14.1" customHeight="1" thickBot="1">
      <c r="A412" s="610" t="str">
        <f>'DATOS ETIQ'!J$29&amp;"  "&amp;'DATOS ETIQ'!K$29</f>
        <v xml:space="preserve">  0</v>
      </c>
      <c r="B412" s="610"/>
      <c r="C412" s="195"/>
      <c r="D412" s="610" t="str">
        <f t="shared" si="25"/>
        <v xml:space="preserve">  0</v>
      </c>
      <c r="E412" s="610"/>
      <c r="G412" s="612"/>
      <c r="J412" s="612"/>
    </row>
    <row r="413" spans="1:10" ht="14.1" customHeight="1">
      <c r="A413" s="609" t="str">
        <f>"QFP: "&amp;'DATOS ETIQ'!L$29&amp;"   QFV: "&amp;'DATOS ETIQ'!M$29</f>
        <v>QFP: JGARCIA   QFV: ADELTORO</v>
      </c>
      <c r="B413" s="609"/>
      <c r="D413" s="609" t="str">
        <f t="shared" si="25"/>
        <v>QFP: JGARCIA   QFV: ADELTORO</v>
      </c>
      <c r="E413" s="609"/>
      <c r="J413" s="190"/>
    </row>
    <row r="414" spans="1:10" ht="14.1" customHeight="1">
      <c r="A414" s="609" t="str">
        <f>'DATOS ETIQ'!N$29&amp;"   Cama: "&amp;'DATOS ETIQ'!O$29</f>
        <v>C.JPC/SEXTO NTE/SCOOP   Cama: NA</v>
      </c>
      <c r="B414" s="609"/>
      <c r="D414" s="609" t="str">
        <f t="shared" si="25"/>
        <v>C.JPC/SEXTO NTE/SCOOP   Cama: NA</v>
      </c>
      <c r="E414" s="609"/>
      <c r="J414" s="190"/>
    </row>
    <row r="415" spans="1:10" ht="14.1" customHeight="1">
      <c r="A415" s="609" t="s">
        <v>167</v>
      </c>
      <c r="B415" s="609"/>
      <c r="D415" s="609" t="str">
        <f t="shared" si="25"/>
        <v>UNIDOSSIS S.A.S.</v>
      </c>
      <c r="E415" s="609"/>
      <c r="J415" s="190"/>
    </row>
    <row r="416" spans="1:10" ht="14.1" customHeight="1">
      <c r="D416" s="194"/>
      <c r="E416" s="194"/>
      <c r="J416" s="190"/>
    </row>
    <row r="417" spans="1:10" ht="14.1" customHeight="1">
      <c r="A417" s="610" t="e">
        <f t="shared" ref="A417:A423" si="33">A409</f>
        <v>#N/A</v>
      </c>
      <c r="B417" s="610"/>
      <c r="D417" s="610" t="e">
        <f t="shared" si="25"/>
        <v>#N/A</v>
      </c>
      <c r="E417" s="610"/>
      <c r="J417" s="190"/>
    </row>
    <row r="418" spans="1:10" ht="14.1" customHeight="1">
      <c r="A418" s="610" t="e">
        <f t="shared" si="33"/>
        <v>#N/A</v>
      </c>
      <c r="B418" s="610"/>
      <c r="D418" s="610" t="e">
        <f t="shared" si="25"/>
        <v>#N/A</v>
      </c>
      <c r="E418" s="610"/>
      <c r="J418" s="190"/>
    </row>
    <row r="419" spans="1:10" ht="14.1" customHeight="1">
      <c r="A419" s="182" t="e">
        <f t="shared" ca="1" si="33"/>
        <v>#N/A</v>
      </c>
      <c r="B419" s="183" t="str">
        <f>B411</f>
        <v xml:space="preserve">Lt: </v>
      </c>
      <c r="D419" s="182" t="e">
        <f t="shared" ca="1" si="25"/>
        <v>#N/A</v>
      </c>
      <c r="E419" s="183" t="str">
        <f>B419</f>
        <v xml:space="preserve">Lt: </v>
      </c>
      <c r="J419" s="190"/>
    </row>
    <row r="420" spans="1:10" ht="14.1" customHeight="1">
      <c r="A420" s="610" t="str">
        <f t="shared" si="33"/>
        <v xml:space="preserve">  0</v>
      </c>
      <c r="B420" s="610"/>
      <c r="D420" s="610" t="str">
        <f t="shared" si="25"/>
        <v xml:space="preserve">  0</v>
      </c>
      <c r="E420" s="610"/>
      <c r="J420" s="190"/>
    </row>
    <row r="421" spans="1:10" ht="14.1" customHeight="1">
      <c r="A421" s="609" t="str">
        <f t="shared" si="33"/>
        <v>QFP: JGARCIA   QFV: ADELTORO</v>
      </c>
      <c r="B421" s="609"/>
      <c r="D421" s="609" t="str">
        <f t="shared" si="25"/>
        <v>QFP: JGARCIA   QFV: ADELTORO</v>
      </c>
      <c r="E421" s="609"/>
      <c r="J421" s="190"/>
    </row>
    <row r="422" spans="1:10" ht="14.1" customHeight="1">
      <c r="A422" s="609" t="str">
        <f t="shared" si="33"/>
        <v>C.JPC/SEXTO NTE/SCOOP   Cama: NA</v>
      </c>
      <c r="B422" s="609"/>
      <c r="D422" s="609" t="str">
        <f t="shared" si="25"/>
        <v>C.JPC/SEXTO NTE/SCOOP   Cama: NA</v>
      </c>
      <c r="E422" s="609"/>
      <c r="J422" s="190"/>
    </row>
    <row r="423" spans="1:10" ht="14.1" customHeight="1">
      <c r="A423" s="609" t="str">
        <f t="shared" si="33"/>
        <v>UNIDOSSIS S.A.S.</v>
      </c>
      <c r="B423" s="609"/>
      <c r="D423" s="609" t="str">
        <f t="shared" si="25"/>
        <v>UNIDOSSIS S.A.S.</v>
      </c>
      <c r="E423" s="609"/>
      <c r="J423" s="190"/>
    </row>
    <row r="424" spans="1:10" ht="14.1" customHeight="1">
      <c r="A424" s="610" t="e">
        <f>'DATOS ETIQ'!B$30&amp;"  "&amp;'DATOS ETIQ'!C$30&amp;"  "&amp;'DATOS ETIQ'!D$30&amp;'DATOS ETIQ'!Q$30</f>
        <v>#N/A</v>
      </c>
      <c r="B424" s="610"/>
      <c r="C424" s="195"/>
      <c r="D424" s="610" t="e">
        <f t="shared" si="25"/>
        <v>#N/A</v>
      </c>
      <c r="E424" s="610"/>
      <c r="J424" s="190"/>
    </row>
    <row r="425" spans="1:10" ht="14.1" customHeight="1" thickBot="1">
      <c r="A425" s="610" t="e">
        <f>IF('DATOS ETIQ'!P$30=1,"Do: "&amp;'DATOS ETIQ'!F$30&amp;"mg   VolDo: "&amp;'DATOS ETIQ'!G$30&amp;"mL","Dilución 1/"&amp;'DATOS ETIQ'!P$30&amp;"  "&amp;'DATOS ETIQ'!E$30&amp;"mg/mL   Do: "&amp;'DATOS ETIQ'!F$30&amp;"mg   VolDo: "&amp;'DATOS ETIQ'!G$30&amp;"mL")</f>
        <v>#N/A</v>
      </c>
      <c r="B425" s="610"/>
      <c r="C425" s="195"/>
      <c r="D425" s="610" t="e">
        <f t="shared" si="25"/>
        <v>#N/A</v>
      </c>
      <c r="E425" s="610"/>
      <c r="J425" s="190"/>
    </row>
    <row r="426" spans="1:10" ht="14.1" customHeight="1">
      <c r="A426" s="182" t="e">
        <f ca="1">'DATOS ETIQ'!H$30</f>
        <v>#N/A</v>
      </c>
      <c r="B426" s="183" t="str">
        <f>"Lt: "&amp;'DATOS ETIQ'!I$30</f>
        <v xml:space="preserve">Lt: </v>
      </c>
      <c r="D426" s="182" t="e">
        <f t="shared" ca="1" si="25"/>
        <v>#N/A</v>
      </c>
      <c r="E426" s="183" t="str">
        <f>B426</f>
        <v xml:space="preserve">Lt: </v>
      </c>
      <c r="G426" s="611" t="e">
        <f>'FR PD 001 V1'!T34</f>
        <v>#N/A</v>
      </c>
      <c r="J426" s="611">
        <v>29</v>
      </c>
    </row>
    <row r="427" spans="1:10" ht="14.1" customHeight="1" thickBot="1">
      <c r="A427" s="610" t="str">
        <f>'DATOS ETIQ'!J$30&amp;"  "&amp;'DATOS ETIQ'!K$30</f>
        <v xml:space="preserve">  0</v>
      </c>
      <c r="B427" s="610"/>
      <c r="C427" s="195"/>
      <c r="D427" s="610" t="str">
        <f t="shared" si="25"/>
        <v xml:space="preserve">  0</v>
      </c>
      <c r="E427" s="610"/>
      <c r="G427" s="612"/>
      <c r="J427" s="612"/>
    </row>
    <row r="428" spans="1:10" ht="14.1" customHeight="1">
      <c r="A428" s="609" t="str">
        <f>"QFP: "&amp;'DATOS ETIQ'!L$30&amp;"   QFV: "&amp;'DATOS ETIQ'!M$30</f>
        <v>QFP: JGARCIA   QFV: ADELTORO</v>
      </c>
      <c r="B428" s="609"/>
      <c r="D428" s="609" t="str">
        <f t="shared" si="25"/>
        <v>QFP: JGARCIA   QFV: ADELTORO</v>
      </c>
      <c r="E428" s="609"/>
      <c r="J428" s="190"/>
    </row>
    <row r="429" spans="1:10" ht="14.1" customHeight="1">
      <c r="A429" s="609" t="str">
        <f>'DATOS ETIQ'!N$30&amp;"   Cama: "&amp;'DATOS ETIQ'!O$30</f>
        <v>C.JPC/SEXTO NTE/SCOOP   Cama: NA</v>
      </c>
      <c r="B429" s="609"/>
      <c r="D429" s="609" t="str">
        <f t="shared" si="25"/>
        <v>C.JPC/SEXTO NTE/SCOOP   Cama: NA</v>
      </c>
      <c r="E429" s="609"/>
      <c r="J429" s="190"/>
    </row>
    <row r="430" spans="1:10" ht="14.1" customHeight="1">
      <c r="A430" s="609" t="s">
        <v>167</v>
      </c>
      <c r="B430" s="609"/>
      <c r="D430" s="609" t="str">
        <f t="shared" si="25"/>
        <v>UNIDOSSIS S.A.S.</v>
      </c>
      <c r="E430" s="609"/>
      <c r="J430" s="190"/>
    </row>
    <row r="431" spans="1:10" ht="14.1" customHeight="1">
      <c r="D431" s="194"/>
      <c r="E431" s="194"/>
      <c r="J431" s="190"/>
    </row>
    <row r="432" spans="1:10" ht="14.1" customHeight="1">
      <c r="A432" s="610" t="e">
        <f t="shared" ref="A432:A438" si="34">A424</f>
        <v>#N/A</v>
      </c>
      <c r="B432" s="610"/>
      <c r="D432" s="610" t="e">
        <f t="shared" si="25"/>
        <v>#N/A</v>
      </c>
      <c r="E432" s="610"/>
      <c r="J432" s="190"/>
    </row>
    <row r="433" spans="1:10" ht="14.1" customHeight="1">
      <c r="A433" s="610" t="e">
        <f t="shared" si="34"/>
        <v>#N/A</v>
      </c>
      <c r="B433" s="610"/>
      <c r="D433" s="610" t="e">
        <f t="shared" si="25"/>
        <v>#N/A</v>
      </c>
      <c r="E433" s="610"/>
      <c r="J433" s="190"/>
    </row>
    <row r="434" spans="1:10" ht="14.1" customHeight="1">
      <c r="A434" s="182" t="e">
        <f t="shared" ca="1" si="34"/>
        <v>#N/A</v>
      </c>
      <c r="B434" s="183" t="str">
        <f>B426</f>
        <v xml:space="preserve">Lt: </v>
      </c>
      <c r="D434" s="182" t="e">
        <f t="shared" ca="1" si="25"/>
        <v>#N/A</v>
      </c>
      <c r="E434" s="183" t="str">
        <f>B434</f>
        <v xml:space="preserve">Lt: </v>
      </c>
      <c r="J434" s="190"/>
    </row>
    <row r="435" spans="1:10" ht="14.1" customHeight="1">
      <c r="A435" s="610" t="str">
        <f t="shared" si="34"/>
        <v xml:space="preserve">  0</v>
      </c>
      <c r="B435" s="610"/>
      <c r="D435" s="610" t="str">
        <f t="shared" si="25"/>
        <v xml:space="preserve">  0</v>
      </c>
      <c r="E435" s="610"/>
      <c r="J435" s="190"/>
    </row>
    <row r="436" spans="1:10" ht="14.1" customHeight="1">
      <c r="A436" s="609" t="str">
        <f t="shared" si="34"/>
        <v>QFP: JGARCIA   QFV: ADELTORO</v>
      </c>
      <c r="B436" s="609"/>
      <c r="D436" s="609" t="str">
        <f t="shared" si="25"/>
        <v>QFP: JGARCIA   QFV: ADELTORO</v>
      </c>
      <c r="E436" s="609"/>
      <c r="J436" s="190"/>
    </row>
    <row r="437" spans="1:10" ht="14.1" customHeight="1">
      <c r="A437" s="609" t="str">
        <f t="shared" si="34"/>
        <v>C.JPC/SEXTO NTE/SCOOP   Cama: NA</v>
      </c>
      <c r="B437" s="609"/>
      <c r="D437" s="609" t="str">
        <f t="shared" si="25"/>
        <v>C.JPC/SEXTO NTE/SCOOP   Cama: NA</v>
      </c>
      <c r="E437" s="609"/>
      <c r="J437" s="190"/>
    </row>
    <row r="438" spans="1:10" ht="14.1" customHeight="1">
      <c r="A438" s="609" t="str">
        <f t="shared" si="34"/>
        <v>UNIDOSSIS S.A.S.</v>
      </c>
      <c r="B438" s="609"/>
      <c r="D438" s="609" t="str">
        <f t="shared" si="25"/>
        <v>UNIDOSSIS S.A.S.</v>
      </c>
      <c r="E438" s="609"/>
      <c r="J438" s="190"/>
    </row>
    <row r="439" spans="1:10" ht="14.1" customHeight="1">
      <c r="A439" s="610" t="e">
        <f>'DATOS ETIQ'!B$31&amp;"  "&amp;'DATOS ETIQ'!C$31&amp;"  "&amp;'DATOS ETIQ'!D$31&amp;'DATOS ETIQ'!Q$31</f>
        <v>#N/A</v>
      </c>
      <c r="B439" s="610"/>
      <c r="C439" s="195"/>
      <c r="D439" s="610" t="e">
        <f t="shared" si="25"/>
        <v>#N/A</v>
      </c>
      <c r="E439" s="610"/>
      <c r="J439" s="190"/>
    </row>
    <row r="440" spans="1:10" ht="14.1" customHeight="1" thickBot="1">
      <c r="A440" s="610" t="e">
        <f>IF('DATOS ETIQ'!P$31=1,"Do: "&amp;'DATOS ETIQ'!F$31&amp;"mg   VolDo: "&amp;'DATOS ETIQ'!G$31&amp;"mL","Dilución 1/"&amp;'DATOS ETIQ'!P$31&amp;"  "&amp;'DATOS ETIQ'!E$31&amp;"mg/mL   Do: "&amp;'DATOS ETIQ'!F$31&amp;"mg   VolDo: "&amp;'DATOS ETIQ'!G$31&amp;"mL")</f>
        <v>#N/A</v>
      </c>
      <c r="B440" s="610"/>
      <c r="C440" s="195"/>
      <c r="D440" s="610" t="e">
        <f t="shared" ref="D440:D575" si="35">A440</f>
        <v>#N/A</v>
      </c>
      <c r="E440" s="610"/>
      <c r="J440" s="190"/>
    </row>
    <row r="441" spans="1:10" ht="14.1" customHeight="1">
      <c r="A441" s="182" t="e">
        <f ca="1">'DATOS ETIQ'!H$31</f>
        <v>#N/A</v>
      </c>
      <c r="B441" s="183" t="str">
        <f>"Lt: "&amp;'DATOS ETIQ'!I$31</f>
        <v xml:space="preserve">Lt: </v>
      </c>
      <c r="D441" s="182" t="e">
        <f t="shared" ca="1" si="35"/>
        <v>#N/A</v>
      </c>
      <c r="E441" s="183" t="str">
        <f>B441</f>
        <v xml:space="preserve">Lt: </v>
      </c>
      <c r="G441" s="611" t="e">
        <f>'FR PD 001 V1'!T35</f>
        <v>#N/A</v>
      </c>
      <c r="J441" s="611">
        <v>30</v>
      </c>
    </row>
    <row r="442" spans="1:10" ht="14.1" customHeight="1" thickBot="1">
      <c r="A442" s="610" t="str">
        <f>'DATOS ETIQ'!J$31&amp;"  "&amp;'DATOS ETIQ'!K$31</f>
        <v xml:space="preserve">  0</v>
      </c>
      <c r="B442" s="610"/>
      <c r="C442" s="195"/>
      <c r="D442" s="610" t="str">
        <f t="shared" si="35"/>
        <v xml:space="preserve">  0</v>
      </c>
      <c r="E442" s="610"/>
      <c r="G442" s="612"/>
      <c r="J442" s="612"/>
    </row>
    <row r="443" spans="1:10" ht="14.1" customHeight="1">
      <c r="A443" s="609" t="str">
        <f>"QFP: "&amp;'DATOS ETIQ'!L$31&amp;"   QFV: "&amp;'DATOS ETIQ'!M$31</f>
        <v>QFP: JGARCIA   QFV: ADELTORO</v>
      </c>
      <c r="B443" s="609"/>
      <c r="D443" s="609" t="str">
        <f t="shared" si="35"/>
        <v>QFP: JGARCIA   QFV: ADELTORO</v>
      </c>
      <c r="E443" s="609"/>
      <c r="J443" s="190"/>
    </row>
    <row r="444" spans="1:10" ht="14.1" customHeight="1">
      <c r="A444" s="609" t="str">
        <f>'DATOS ETIQ'!N$31&amp;"   Cama: "&amp;'DATOS ETIQ'!O$31</f>
        <v>C.JPC/SEXTO NTE/SCOOP   Cama: NA</v>
      </c>
      <c r="B444" s="609"/>
      <c r="D444" s="609" t="str">
        <f t="shared" si="35"/>
        <v>C.JPC/SEXTO NTE/SCOOP   Cama: NA</v>
      </c>
      <c r="E444" s="609"/>
      <c r="J444" s="190"/>
    </row>
    <row r="445" spans="1:10" ht="14.1" customHeight="1">
      <c r="A445" s="609" t="s">
        <v>167</v>
      </c>
      <c r="B445" s="609"/>
      <c r="D445" s="609" t="str">
        <f t="shared" si="35"/>
        <v>UNIDOSSIS S.A.S.</v>
      </c>
      <c r="E445" s="609"/>
      <c r="J445" s="190"/>
    </row>
    <row r="446" spans="1:10" ht="14.1" customHeight="1">
      <c r="D446" s="194"/>
      <c r="E446" s="194"/>
      <c r="J446" s="190"/>
    </row>
    <row r="447" spans="1:10" ht="14.1" customHeight="1">
      <c r="A447" s="610" t="e">
        <f t="shared" ref="A447:A453" si="36">A439</f>
        <v>#N/A</v>
      </c>
      <c r="B447" s="610"/>
      <c r="D447" s="610" t="e">
        <f t="shared" si="35"/>
        <v>#N/A</v>
      </c>
      <c r="E447" s="610"/>
      <c r="J447" s="190"/>
    </row>
    <row r="448" spans="1:10" ht="14.1" customHeight="1">
      <c r="A448" s="610" t="e">
        <f t="shared" si="36"/>
        <v>#N/A</v>
      </c>
      <c r="B448" s="610"/>
      <c r="D448" s="610" t="e">
        <f t="shared" si="35"/>
        <v>#N/A</v>
      </c>
      <c r="E448" s="610"/>
      <c r="J448" s="190"/>
    </row>
    <row r="449" spans="1:10" ht="14.1" customHeight="1">
      <c r="A449" s="182" t="e">
        <f t="shared" ca="1" si="36"/>
        <v>#N/A</v>
      </c>
      <c r="B449" s="183" t="str">
        <f>B441</f>
        <v xml:space="preserve">Lt: </v>
      </c>
      <c r="D449" s="182" t="e">
        <f t="shared" ca="1" si="35"/>
        <v>#N/A</v>
      </c>
      <c r="E449" s="183" t="str">
        <f>B449</f>
        <v xml:space="preserve">Lt: </v>
      </c>
      <c r="J449" s="190"/>
    </row>
    <row r="450" spans="1:10" ht="14.1" customHeight="1">
      <c r="A450" s="610" t="str">
        <f t="shared" si="36"/>
        <v xml:space="preserve">  0</v>
      </c>
      <c r="B450" s="610"/>
      <c r="D450" s="610" t="str">
        <f t="shared" si="35"/>
        <v xml:space="preserve">  0</v>
      </c>
      <c r="E450" s="610"/>
      <c r="J450" s="190"/>
    </row>
    <row r="451" spans="1:10" ht="14.1" customHeight="1">
      <c r="A451" s="609" t="str">
        <f t="shared" si="36"/>
        <v>QFP: JGARCIA   QFV: ADELTORO</v>
      </c>
      <c r="B451" s="609"/>
      <c r="D451" s="609" t="str">
        <f t="shared" si="35"/>
        <v>QFP: JGARCIA   QFV: ADELTORO</v>
      </c>
      <c r="E451" s="609"/>
      <c r="J451" s="190"/>
    </row>
    <row r="452" spans="1:10" ht="14.1" customHeight="1">
      <c r="A452" s="609" t="str">
        <f t="shared" si="36"/>
        <v>C.JPC/SEXTO NTE/SCOOP   Cama: NA</v>
      </c>
      <c r="B452" s="609"/>
      <c r="D452" s="609" t="str">
        <f t="shared" si="35"/>
        <v>C.JPC/SEXTO NTE/SCOOP   Cama: NA</v>
      </c>
      <c r="E452" s="609"/>
      <c r="J452" s="190"/>
    </row>
    <row r="453" spans="1:10" ht="14.1" customHeight="1">
      <c r="A453" s="609" t="str">
        <f t="shared" si="36"/>
        <v>UNIDOSSIS S.A.S.</v>
      </c>
      <c r="B453" s="609"/>
      <c r="D453" s="609" t="str">
        <f t="shared" si="35"/>
        <v>UNIDOSSIS S.A.S.</v>
      </c>
      <c r="E453" s="609"/>
      <c r="J453" s="190"/>
    </row>
    <row r="454" spans="1:10" ht="14.1" customHeight="1">
      <c r="A454" s="610" t="e">
        <f>'DATOS ETIQ'!B$32&amp;"  "&amp;'DATOS ETIQ'!C$32&amp;"  "&amp;'DATOS ETIQ'!D$32&amp;'DATOS ETIQ'!Q$32</f>
        <v>#N/A</v>
      </c>
      <c r="B454" s="610"/>
      <c r="C454" s="195"/>
      <c r="D454" s="610" t="e">
        <f t="shared" si="35"/>
        <v>#N/A</v>
      </c>
      <c r="E454" s="610"/>
      <c r="J454" s="190"/>
    </row>
    <row r="455" spans="1:10" ht="14.1" customHeight="1" thickBot="1">
      <c r="A455" s="610" t="e">
        <f>IF('DATOS ETIQ'!P$32=1,"Do: "&amp;'DATOS ETIQ'!F$32&amp;"mg   VolDo: "&amp;'DATOS ETIQ'!G$32&amp;"mL","Dilución 1/"&amp;'DATOS ETIQ'!P$32&amp;"  "&amp;'DATOS ETIQ'!E$32&amp;"mg/mL   Do: "&amp;'DATOS ETIQ'!F$32&amp;"mg   VolDo: "&amp;'DATOS ETIQ'!G$32&amp;"mL")</f>
        <v>#N/A</v>
      </c>
      <c r="B455" s="610"/>
      <c r="C455" s="195"/>
      <c r="D455" s="610" t="e">
        <f t="shared" si="35"/>
        <v>#N/A</v>
      </c>
      <c r="E455" s="610"/>
      <c r="J455" s="190"/>
    </row>
    <row r="456" spans="1:10" ht="14.1" customHeight="1">
      <c r="A456" s="182" t="e">
        <f ca="1">'DATOS ETIQ'!H$32</f>
        <v>#N/A</v>
      </c>
      <c r="B456" s="183" t="str">
        <f>"Lt: "&amp;'DATOS ETIQ'!I$32</f>
        <v xml:space="preserve">Lt: </v>
      </c>
      <c r="D456" s="182" t="e">
        <f t="shared" ca="1" si="35"/>
        <v>#N/A</v>
      </c>
      <c r="E456" s="183" t="str">
        <f>B456</f>
        <v xml:space="preserve">Lt: </v>
      </c>
      <c r="G456" s="611" t="e">
        <f>'FR PD 001 V1'!T36</f>
        <v>#N/A</v>
      </c>
      <c r="J456" s="611">
        <v>31</v>
      </c>
    </row>
    <row r="457" spans="1:10" ht="14.1" customHeight="1" thickBot="1">
      <c r="A457" s="610" t="str">
        <f>'DATOS ETIQ'!J$32&amp;"  "&amp;'DATOS ETIQ'!K$32</f>
        <v xml:space="preserve">  0</v>
      </c>
      <c r="B457" s="610"/>
      <c r="C457" s="195"/>
      <c r="D457" s="610" t="str">
        <f t="shared" si="35"/>
        <v xml:space="preserve">  0</v>
      </c>
      <c r="E457" s="610"/>
      <c r="G457" s="612"/>
      <c r="J457" s="612"/>
    </row>
    <row r="458" spans="1:10" ht="14.1" customHeight="1">
      <c r="A458" s="609" t="str">
        <f>"QFP: "&amp;'DATOS ETIQ'!L$32&amp;"   QFV: "&amp;'DATOS ETIQ'!M$32</f>
        <v>QFP: JGARCIA   QFV: ADELTORO</v>
      </c>
      <c r="B458" s="609"/>
      <c r="D458" s="609" t="str">
        <f t="shared" si="35"/>
        <v>QFP: JGARCIA   QFV: ADELTORO</v>
      </c>
      <c r="E458" s="609"/>
      <c r="J458" s="190"/>
    </row>
    <row r="459" spans="1:10" ht="14.1" customHeight="1">
      <c r="A459" s="609" t="str">
        <f>'DATOS ETIQ'!N$32&amp;"   Cama: "&amp;'DATOS ETIQ'!O$32</f>
        <v>C.JPC/SEXTO NTE/SCOOP   Cama: NA</v>
      </c>
      <c r="B459" s="609"/>
      <c r="D459" s="609" t="str">
        <f t="shared" si="35"/>
        <v>C.JPC/SEXTO NTE/SCOOP   Cama: NA</v>
      </c>
      <c r="E459" s="609"/>
      <c r="J459" s="190"/>
    </row>
    <row r="460" spans="1:10" ht="14.1" customHeight="1">
      <c r="A460" s="609" t="s">
        <v>167</v>
      </c>
      <c r="B460" s="609"/>
      <c r="D460" s="609" t="str">
        <f t="shared" si="35"/>
        <v>UNIDOSSIS S.A.S.</v>
      </c>
      <c r="E460" s="609"/>
      <c r="J460" s="190"/>
    </row>
    <row r="461" spans="1:10" ht="14.1" customHeight="1">
      <c r="D461" s="194"/>
      <c r="E461" s="194"/>
      <c r="J461" s="190"/>
    </row>
    <row r="462" spans="1:10" ht="14.1" customHeight="1">
      <c r="A462" s="610" t="e">
        <f t="shared" ref="A462:A468" si="37">A454</f>
        <v>#N/A</v>
      </c>
      <c r="B462" s="610"/>
      <c r="D462" s="610" t="e">
        <f t="shared" si="35"/>
        <v>#N/A</v>
      </c>
      <c r="E462" s="610"/>
      <c r="J462" s="190"/>
    </row>
    <row r="463" spans="1:10" ht="14.1" customHeight="1">
      <c r="A463" s="610" t="e">
        <f t="shared" si="37"/>
        <v>#N/A</v>
      </c>
      <c r="B463" s="610"/>
      <c r="D463" s="610" t="e">
        <f t="shared" si="35"/>
        <v>#N/A</v>
      </c>
      <c r="E463" s="610"/>
      <c r="J463" s="190"/>
    </row>
    <row r="464" spans="1:10" ht="14.1" customHeight="1">
      <c r="A464" s="182" t="e">
        <f t="shared" ca="1" si="37"/>
        <v>#N/A</v>
      </c>
      <c r="B464" s="183" t="str">
        <f>B456</f>
        <v xml:space="preserve">Lt: </v>
      </c>
      <c r="D464" s="182" t="e">
        <f t="shared" ca="1" si="35"/>
        <v>#N/A</v>
      </c>
      <c r="E464" s="183" t="str">
        <f>B464</f>
        <v xml:space="preserve">Lt: </v>
      </c>
      <c r="J464" s="190"/>
    </row>
    <row r="465" spans="1:10" ht="14.1" customHeight="1">
      <c r="A465" s="610" t="str">
        <f t="shared" si="37"/>
        <v xml:space="preserve">  0</v>
      </c>
      <c r="B465" s="610"/>
      <c r="D465" s="610" t="str">
        <f t="shared" si="35"/>
        <v xml:space="preserve">  0</v>
      </c>
      <c r="E465" s="610"/>
      <c r="J465" s="190"/>
    </row>
    <row r="466" spans="1:10" ht="14.1" customHeight="1">
      <c r="A466" s="609" t="str">
        <f t="shared" si="37"/>
        <v>QFP: JGARCIA   QFV: ADELTORO</v>
      </c>
      <c r="B466" s="609"/>
      <c r="D466" s="609" t="str">
        <f t="shared" si="35"/>
        <v>QFP: JGARCIA   QFV: ADELTORO</v>
      </c>
      <c r="E466" s="609"/>
      <c r="J466" s="190"/>
    </row>
    <row r="467" spans="1:10" ht="14.1" customHeight="1">
      <c r="A467" s="609" t="str">
        <f t="shared" si="37"/>
        <v>C.JPC/SEXTO NTE/SCOOP   Cama: NA</v>
      </c>
      <c r="B467" s="609"/>
      <c r="D467" s="609" t="str">
        <f t="shared" si="35"/>
        <v>C.JPC/SEXTO NTE/SCOOP   Cama: NA</v>
      </c>
      <c r="E467" s="609"/>
      <c r="J467" s="190"/>
    </row>
    <row r="468" spans="1:10" ht="14.1" customHeight="1">
      <c r="A468" s="609" t="str">
        <f t="shared" si="37"/>
        <v>UNIDOSSIS S.A.S.</v>
      </c>
      <c r="B468" s="609"/>
      <c r="D468" s="609" t="str">
        <f t="shared" si="35"/>
        <v>UNIDOSSIS S.A.S.</v>
      </c>
      <c r="E468" s="609"/>
      <c r="J468" s="190"/>
    </row>
    <row r="469" spans="1:10" ht="14.1" customHeight="1">
      <c r="A469" s="610" t="e">
        <f>'DATOS ETIQ'!B$33&amp;"  "&amp;'DATOS ETIQ'!C$33&amp;"  "&amp;'DATOS ETIQ'!D$33&amp;'DATOS ETIQ'!Q$33</f>
        <v>#N/A</v>
      </c>
      <c r="B469" s="610"/>
      <c r="C469" s="195"/>
      <c r="D469" s="610" t="e">
        <f t="shared" si="35"/>
        <v>#N/A</v>
      </c>
      <c r="E469" s="610"/>
      <c r="J469" s="190"/>
    </row>
    <row r="470" spans="1:10" ht="14.1" customHeight="1" thickBot="1">
      <c r="A470" s="610" t="e">
        <f>IF('DATOS ETIQ'!P$33=1,"Do: "&amp;'DATOS ETIQ'!F$33&amp;"mg   VolDo: "&amp;'DATOS ETIQ'!G$33&amp;"mL","Dilución 1/"&amp;'DATOS ETIQ'!P$33&amp;"  "&amp;'DATOS ETIQ'!E$33&amp;"mg/mL   Do: "&amp;'DATOS ETIQ'!F$33&amp;"mg   VolDo: "&amp;'DATOS ETIQ'!G$33&amp;"mL")</f>
        <v>#N/A</v>
      </c>
      <c r="B470" s="610"/>
      <c r="C470" s="195"/>
      <c r="D470" s="610" t="e">
        <f t="shared" si="35"/>
        <v>#N/A</v>
      </c>
      <c r="E470" s="610"/>
      <c r="J470" s="190"/>
    </row>
    <row r="471" spans="1:10" ht="14.1" customHeight="1">
      <c r="A471" s="182" t="e">
        <f ca="1">'DATOS ETIQ'!H$33</f>
        <v>#N/A</v>
      </c>
      <c r="B471" s="183" t="str">
        <f>"Lt: "&amp;'DATOS ETIQ'!I$33</f>
        <v xml:space="preserve">Lt: </v>
      </c>
      <c r="D471" s="182" t="e">
        <f t="shared" ca="1" si="35"/>
        <v>#N/A</v>
      </c>
      <c r="E471" s="183" t="str">
        <f>B471</f>
        <v xml:space="preserve">Lt: </v>
      </c>
      <c r="G471" s="611" t="e">
        <f>'FR PD 001 V1'!T37</f>
        <v>#N/A</v>
      </c>
      <c r="J471" s="611">
        <v>32</v>
      </c>
    </row>
    <row r="472" spans="1:10" ht="14.1" customHeight="1" thickBot="1">
      <c r="A472" s="610" t="str">
        <f>'DATOS ETIQ'!J$33&amp;"  "&amp;'DATOS ETIQ'!K$33</f>
        <v xml:space="preserve">  0</v>
      </c>
      <c r="B472" s="610"/>
      <c r="C472" s="195"/>
      <c r="D472" s="610" t="str">
        <f t="shared" si="35"/>
        <v xml:space="preserve">  0</v>
      </c>
      <c r="E472" s="610"/>
      <c r="G472" s="612"/>
      <c r="J472" s="612"/>
    </row>
    <row r="473" spans="1:10" ht="14.1" customHeight="1">
      <c r="A473" s="609" t="str">
        <f>"QFP: "&amp;'DATOS ETIQ'!L$33&amp;"   QFV: "&amp;'DATOS ETIQ'!M$33</f>
        <v>QFP: JGARCIA   QFV: ADELTORO</v>
      </c>
      <c r="B473" s="609"/>
      <c r="D473" s="609" t="str">
        <f t="shared" si="35"/>
        <v>QFP: JGARCIA   QFV: ADELTORO</v>
      </c>
      <c r="E473" s="609"/>
      <c r="J473" s="190"/>
    </row>
    <row r="474" spans="1:10" ht="14.1" customHeight="1">
      <c r="A474" s="609" t="str">
        <f>'DATOS ETIQ'!N$33&amp;"   Cama: "&amp;'DATOS ETIQ'!O$33</f>
        <v>C.JPC/SEXTO NTE/SCOOP   Cama: NA</v>
      </c>
      <c r="B474" s="609"/>
      <c r="D474" s="609" t="str">
        <f t="shared" si="35"/>
        <v>C.JPC/SEXTO NTE/SCOOP   Cama: NA</v>
      </c>
      <c r="E474" s="609"/>
      <c r="J474" s="190"/>
    </row>
    <row r="475" spans="1:10" ht="14.1" customHeight="1">
      <c r="A475" s="609" t="s">
        <v>167</v>
      </c>
      <c r="B475" s="609"/>
      <c r="D475" s="609" t="str">
        <f t="shared" si="35"/>
        <v>UNIDOSSIS S.A.S.</v>
      </c>
      <c r="E475" s="609"/>
      <c r="J475" s="190"/>
    </row>
    <row r="476" spans="1:10" ht="14.1" customHeight="1">
      <c r="D476" s="194"/>
      <c r="E476" s="194"/>
      <c r="J476" s="190"/>
    </row>
    <row r="477" spans="1:10" ht="14.1" customHeight="1">
      <c r="A477" s="610" t="e">
        <f t="shared" ref="A477:A483" si="38">A469</f>
        <v>#N/A</v>
      </c>
      <c r="B477" s="610"/>
      <c r="D477" s="610" t="e">
        <f t="shared" si="35"/>
        <v>#N/A</v>
      </c>
      <c r="E477" s="610"/>
      <c r="J477" s="190"/>
    </row>
    <row r="478" spans="1:10" ht="14.1" customHeight="1">
      <c r="A478" s="610" t="e">
        <f t="shared" si="38"/>
        <v>#N/A</v>
      </c>
      <c r="B478" s="610"/>
      <c r="D478" s="610" t="e">
        <f t="shared" si="35"/>
        <v>#N/A</v>
      </c>
      <c r="E478" s="610"/>
      <c r="J478" s="190"/>
    </row>
    <row r="479" spans="1:10" ht="14.1" customHeight="1">
      <c r="A479" s="182" t="e">
        <f t="shared" ca="1" si="38"/>
        <v>#N/A</v>
      </c>
      <c r="B479" s="183" t="str">
        <f>B471</f>
        <v xml:space="preserve">Lt: </v>
      </c>
      <c r="D479" s="182" t="e">
        <f t="shared" ca="1" si="35"/>
        <v>#N/A</v>
      </c>
      <c r="E479" s="183" t="str">
        <f>B479</f>
        <v xml:space="preserve">Lt: </v>
      </c>
      <c r="J479" s="190"/>
    </row>
    <row r="480" spans="1:10" ht="14.1" customHeight="1">
      <c r="A480" s="610" t="str">
        <f t="shared" si="38"/>
        <v xml:space="preserve">  0</v>
      </c>
      <c r="B480" s="610"/>
      <c r="D480" s="610" t="str">
        <f t="shared" si="35"/>
        <v xml:space="preserve">  0</v>
      </c>
      <c r="E480" s="610"/>
      <c r="J480" s="190"/>
    </row>
    <row r="481" spans="1:10" ht="14.1" customHeight="1">
      <c r="A481" s="609" t="str">
        <f t="shared" si="38"/>
        <v>QFP: JGARCIA   QFV: ADELTORO</v>
      </c>
      <c r="B481" s="609"/>
      <c r="D481" s="609" t="str">
        <f t="shared" si="35"/>
        <v>QFP: JGARCIA   QFV: ADELTORO</v>
      </c>
      <c r="E481" s="609"/>
      <c r="J481" s="190"/>
    </row>
    <row r="482" spans="1:10" ht="14.1" customHeight="1">
      <c r="A482" s="609" t="str">
        <f t="shared" si="38"/>
        <v>C.JPC/SEXTO NTE/SCOOP   Cama: NA</v>
      </c>
      <c r="B482" s="609"/>
      <c r="D482" s="609" t="str">
        <f t="shared" si="35"/>
        <v>C.JPC/SEXTO NTE/SCOOP   Cama: NA</v>
      </c>
      <c r="E482" s="609"/>
      <c r="J482" s="190"/>
    </row>
    <row r="483" spans="1:10" ht="14.1" customHeight="1">
      <c r="A483" s="609" t="str">
        <f t="shared" si="38"/>
        <v>UNIDOSSIS S.A.S.</v>
      </c>
      <c r="B483" s="609"/>
      <c r="D483" s="609" t="str">
        <f t="shared" si="35"/>
        <v>UNIDOSSIS S.A.S.</v>
      </c>
      <c r="E483" s="609"/>
      <c r="J483" s="190"/>
    </row>
    <row r="484" spans="1:10" ht="14.1" customHeight="1">
      <c r="A484" s="610" t="e">
        <f>'DATOS ETIQ'!B$34&amp;"  "&amp;'DATOS ETIQ'!C$34&amp;"  "&amp;'DATOS ETIQ'!D$34&amp;'DATOS ETIQ'!Q$34</f>
        <v>#N/A</v>
      </c>
      <c r="B484" s="610"/>
      <c r="C484" s="195"/>
      <c r="D484" s="610" t="e">
        <f t="shared" si="35"/>
        <v>#N/A</v>
      </c>
      <c r="E484" s="610"/>
      <c r="J484" s="190"/>
    </row>
    <row r="485" spans="1:10" ht="14.1" customHeight="1" thickBot="1">
      <c r="A485" s="610" t="e">
        <f>IF('DATOS ETIQ'!P$34=1,"Do: "&amp;'DATOS ETIQ'!F$34&amp;"mg   VolDo: "&amp;'DATOS ETIQ'!G$34&amp;"mL","Dilución 1/"&amp;'DATOS ETIQ'!P$34&amp;"  "&amp;'DATOS ETIQ'!E$34&amp;"mg/mL   Do: "&amp;'DATOS ETIQ'!F$34&amp;"mg   VolDo: "&amp;'DATOS ETIQ'!G$34&amp;"mL")</f>
        <v>#N/A</v>
      </c>
      <c r="B485" s="610"/>
      <c r="C485" s="195"/>
      <c r="D485" s="610" t="e">
        <f t="shared" si="35"/>
        <v>#N/A</v>
      </c>
      <c r="E485" s="610"/>
      <c r="J485" s="190"/>
    </row>
    <row r="486" spans="1:10" ht="14.1" customHeight="1">
      <c r="A486" s="182" t="e">
        <f ca="1">'DATOS ETIQ'!H$34</f>
        <v>#N/A</v>
      </c>
      <c r="B486" s="183" t="str">
        <f>"Lt: "&amp;'DATOS ETIQ'!I$34</f>
        <v xml:space="preserve">Lt: </v>
      </c>
      <c r="D486" s="182" t="e">
        <f t="shared" ca="1" si="35"/>
        <v>#N/A</v>
      </c>
      <c r="E486" s="183" t="str">
        <f>B486</f>
        <v xml:space="preserve">Lt: </v>
      </c>
      <c r="G486" s="611" t="e">
        <f>'FR PD 001 V1'!T38</f>
        <v>#N/A</v>
      </c>
      <c r="J486" s="611">
        <v>33</v>
      </c>
    </row>
    <row r="487" spans="1:10" ht="14.1" customHeight="1" thickBot="1">
      <c r="A487" s="610" t="str">
        <f>'DATOS ETIQ'!J$34&amp;"  "&amp;'DATOS ETIQ'!K$34</f>
        <v xml:space="preserve">  0</v>
      </c>
      <c r="B487" s="610"/>
      <c r="C487" s="195"/>
      <c r="D487" s="610" t="str">
        <f t="shared" si="35"/>
        <v xml:space="preserve">  0</v>
      </c>
      <c r="E487" s="610"/>
      <c r="G487" s="612"/>
      <c r="J487" s="612"/>
    </row>
    <row r="488" spans="1:10" ht="14.1" customHeight="1">
      <c r="A488" s="609" t="str">
        <f>"QFP: "&amp;'DATOS ETIQ'!L$34&amp;"   QFV: "&amp;'DATOS ETIQ'!M$34</f>
        <v>QFP: JGARCIA   QFV: ADELTORO</v>
      </c>
      <c r="B488" s="609"/>
      <c r="D488" s="609" t="str">
        <f t="shared" si="35"/>
        <v>QFP: JGARCIA   QFV: ADELTORO</v>
      </c>
      <c r="E488" s="609"/>
      <c r="J488" s="190"/>
    </row>
    <row r="489" spans="1:10" ht="14.1" customHeight="1">
      <c r="A489" s="609" t="str">
        <f>'DATOS ETIQ'!N$34&amp;"   Cama: "&amp;'DATOS ETIQ'!O$34</f>
        <v>C.JPC/SEXTO NTE/SCOOP   Cama: NA</v>
      </c>
      <c r="B489" s="609"/>
      <c r="D489" s="609" t="str">
        <f t="shared" si="35"/>
        <v>C.JPC/SEXTO NTE/SCOOP   Cama: NA</v>
      </c>
      <c r="E489" s="609"/>
      <c r="J489" s="190"/>
    </row>
    <row r="490" spans="1:10" ht="14.1" customHeight="1">
      <c r="A490" s="609" t="s">
        <v>167</v>
      </c>
      <c r="B490" s="609"/>
      <c r="D490" s="609" t="str">
        <f t="shared" si="35"/>
        <v>UNIDOSSIS S.A.S.</v>
      </c>
      <c r="E490" s="609"/>
      <c r="J490" s="190"/>
    </row>
    <row r="491" spans="1:10" ht="14.1" customHeight="1">
      <c r="D491" s="194"/>
      <c r="E491" s="194"/>
      <c r="J491" s="190"/>
    </row>
    <row r="492" spans="1:10" ht="14.1" customHeight="1">
      <c r="A492" s="610" t="e">
        <f t="shared" ref="A492:A498" si="39">A484</f>
        <v>#N/A</v>
      </c>
      <c r="B492" s="610"/>
      <c r="D492" s="610" t="e">
        <f t="shared" si="35"/>
        <v>#N/A</v>
      </c>
      <c r="E492" s="610"/>
      <c r="J492" s="190"/>
    </row>
    <row r="493" spans="1:10" ht="14.1" customHeight="1">
      <c r="A493" s="610" t="e">
        <f t="shared" si="39"/>
        <v>#N/A</v>
      </c>
      <c r="B493" s="610"/>
      <c r="D493" s="610" t="e">
        <f t="shared" si="35"/>
        <v>#N/A</v>
      </c>
      <c r="E493" s="610"/>
      <c r="J493" s="190"/>
    </row>
    <row r="494" spans="1:10" ht="14.1" customHeight="1">
      <c r="A494" s="182" t="e">
        <f t="shared" ca="1" si="39"/>
        <v>#N/A</v>
      </c>
      <c r="B494" s="183" t="str">
        <f>B486</f>
        <v xml:space="preserve">Lt: </v>
      </c>
      <c r="D494" s="182" t="e">
        <f t="shared" ca="1" si="35"/>
        <v>#N/A</v>
      </c>
      <c r="E494" s="183" t="str">
        <f>B494</f>
        <v xml:space="preserve">Lt: </v>
      </c>
      <c r="J494" s="190"/>
    </row>
    <row r="495" spans="1:10" ht="14.1" customHeight="1">
      <c r="A495" s="610" t="str">
        <f t="shared" si="39"/>
        <v xml:space="preserve">  0</v>
      </c>
      <c r="B495" s="610"/>
      <c r="D495" s="610" t="str">
        <f t="shared" si="35"/>
        <v xml:space="preserve">  0</v>
      </c>
      <c r="E495" s="610"/>
      <c r="J495" s="190"/>
    </row>
    <row r="496" spans="1:10" ht="14.1" customHeight="1">
      <c r="A496" s="609" t="str">
        <f t="shared" si="39"/>
        <v>QFP: JGARCIA   QFV: ADELTORO</v>
      </c>
      <c r="B496" s="609"/>
      <c r="D496" s="609" t="str">
        <f t="shared" si="35"/>
        <v>QFP: JGARCIA   QFV: ADELTORO</v>
      </c>
      <c r="E496" s="609"/>
      <c r="J496" s="190"/>
    </row>
    <row r="497" spans="1:10" ht="14.1" customHeight="1">
      <c r="A497" s="609" t="str">
        <f t="shared" si="39"/>
        <v>C.JPC/SEXTO NTE/SCOOP   Cama: NA</v>
      </c>
      <c r="B497" s="609"/>
      <c r="D497" s="609" t="str">
        <f t="shared" si="35"/>
        <v>C.JPC/SEXTO NTE/SCOOP   Cama: NA</v>
      </c>
      <c r="E497" s="609"/>
      <c r="J497" s="190"/>
    </row>
    <row r="498" spans="1:10" ht="14.1" customHeight="1">
      <c r="A498" s="609" t="str">
        <f t="shared" si="39"/>
        <v>UNIDOSSIS S.A.S.</v>
      </c>
      <c r="B498" s="609"/>
      <c r="D498" s="609" t="str">
        <f t="shared" si="35"/>
        <v>UNIDOSSIS S.A.S.</v>
      </c>
      <c r="E498" s="609"/>
      <c r="J498" s="190"/>
    </row>
    <row r="499" spans="1:10" ht="14.1" customHeight="1">
      <c r="A499" s="610" t="e">
        <f>'DATOS ETIQ'!B$35&amp;"  "&amp;'DATOS ETIQ'!C$35&amp;"  "&amp;'DATOS ETIQ'!D$35&amp;'DATOS ETIQ'!Q$35</f>
        <v>#N/A</v>
      </c>
      <c r="B499" s="610"/>
      <c r="C499" s="195"/>
      <c r="D499" s="610" t="e">
        <f t="shared" si="35"/>
        <v>#N/A</v>
      </c>
      <c r="E499" s="610"/>
      <c r="J499" s="190"/>
    </row>
    <row r="500" spans="1:10" ht="14.1" customHeight="1" thickBot="1">
      <c r="A500" s="610" t="e">
        <f>IF('DATOS ETIQ'!P$35=1,"Do: "&amp;'DATOS ETIQ'!F$35&amp;"mg   VolDo: "&amp;'DATOS ETIQ'!G$35&amp;"mL","Dilución 1/"&amp;'DATOS ETIQ'!P$35&amp;"  "&amp;'DATOS ETIQ'!E$35&amp;"mg/mL   Do: "&amp;'DATOS ETIQ'!F$35&amp;"mg   VolDo: "&amp;'DATOS ETIQ'!G$35&amp;"mL")</f>
        <v>#N/A</v>
      </c>
      <c r="B500" s="610"/>
      <c r="C500" s="195"/>
      <c r="D500" s="610" t="e">
        <f t="shared" si="35"/>
        <v>#N/A</v>
      </c>
      <c r="E500" s="610"/>
      <c r="J500" s="190"/>
    </row>
    <row r="501" spans="1:10" ht="14.1" customHeight="1">
      <c r="A501" s="182" t="e">
        <f ca="1">'DATOS ETIQ'!H$35</f>
        <v>#N/A</v>
      </c>
      <c r="B501" s="183" t="str">
        <f>"Lt: "&amp;'DATOS ETIQ'!I$35</f>
        <v xml:space="preserve">Lt: </v>
      </c>
      <c r="D501" s="182" t="e">
        <f t="shared" ca="1" si="35"/>
        <v>#N/A</v>
      </c>
      <c r="E501" s="183" t="str">
        <f>B501</f>
        <v xml:space="preserve">Lt: </v>
      </c>
      <c r="G501" s="611" t="e">
        <f>'FR PD 001 V1'!T39</f>
        <v>#N/A</v>
      </c>
      <c r="J501" s="611">
        <v>34</v>
      </c>
    </row>
    <row r="502" spans="1:10" ht="14.1" customHeight="1" thickBot="1">
      <c r="A502" s="610" t="str">
        <f>'DATOS ETIQ'!J$35&amp;"  "&amp;'DATOS ETIQ'!K$35</f>
        <v xml:space="preserve">  0</v>
      </c>
      <c r="B502" s="610"/>
      <c r="C502" s="195"/>
      <c r="D502" s="610" t="str">
        <f t="shared" si="35"/>
        <v xml:space="preserve">  0</v>
      </c>
      <c r="E502" s="610"/>
      <c r="G502" s="612"/>
      <c r="J502" s="612"/>
    </row>
    <row r="503" spans="1:10" ht="14.1" customHeight="1">
      <c r="A503" s="609" t="str">
        <f>"QFP: "&amp;'DATOS ETIQ'!L$35&amp;"   QFV: "&amp;'DATOS ETIQ'!M$35</f>
        <v>QFP: JGARCIA   QFV: ADELTORO</v>
      </c>
      <c r="B503" s="609"/>
      <c r="D503" s="609" t="str">
        <f t="shared" si="35"/>
        <v>QFP: JGARCIA   QFV: ADELTORO</v>
      </c>
      <c r="E503" s="609"/>
      <c r="J503" s="190"/>
    </row>
    <row r="504" spans="1:10" ht="14.1" customHeight="1">
      <c r="A504" s="609" t="str">
        <f>'DATOS ETIQ'!N$35&amp;"   Cama: "&amp;'DATOS ETIQ'!O$35</f>
        <v>C.JPC/SEXTO NTE/SCOOP   Cama: NA</v>
      </c>
      <c r="B504" s="609"/>
      <c r="D504" s="609" t="str">
        <f t="shared" si="35"/>
        <v>C.JPC/SEXTO NTE/SCOOP   Cama: NA</v>
      </c>
      <c r="E504" s="609"/>
      <c r="J504" s="190"/>
    </row>
    <row r="505" spans="1:10" ht="14.1" customHeight="1">
      <c r="A505" s="609" t="s">
        <v>167</v>
      </c>
      <c r="B505" s="609"/>
      <c r="D505" s="609" t="str">
        <f t="shared" si="35"/>
        <v>UNIDOSSIS S.A.S.</v>
      </c>
      <c r="E505" s="609"/>
      <c r="J505" s="190"/>
    </row>
    <row r="506" spans="1:10" ht="14.1" customHeight="1">
      <c r="D506" s="194"/>
      <c r="E506" s="194"/>
      <c r="J506" s="190"/>
    </row>
    <row r="507" spans="1:10" ht="14.1" customHeight="1">
      <c r="A507" s="610" t="e">
        <f t="shared" ref="A507:A513" si="40">A499</f>
        <v>#N/A</v>
      </c>
      <c r="B507" s="610"/>
      <c r="D507" s="610" t="e">
        <f t="shared" si="35"/>
        <v>#N/A</v>
      </c>
      <c r="E507" s="610"/>
      <c r="J507" s="190"/>
    </row>
    <row r="508" spans="1:10" ht="14.1" customHeight="1">
      <c r="A508" s="610" t="e">
        <f t="shared" si="40"/>
        <v>#N/A</v>
      </c>
      <c r="B508" s="610"/>
      <c r="D508" s="610" t="e">
        <f t="shared" si="35"/>
        <v>#N/A</v>
      </c>
      <c r="E508" s="610"/>
      <c r="J508" s="190"/>
    </row>
    <row r="509" spans="1:10" ht="14.1" customHeight="1">
      <c r="A509" s="182" t="e">
        <f t="shared" ca="1" si="40"/>
        <v>#N/A</v>
      </c>
      <c r="B509" s="183" t="str">
        <f>B501</f>
        <v xml:space="preserve">Lt: </v>
      </c>
      <c r="D509" s="182" t="e">
        <f t="shared" ca="1" si="35"/>
        <v>#N/A</v>
      </c>
      <c r="E509" s="183" t="str">
        <f>B509</f>
        <v xml:space="preserve">Lt: </v>
      </c>
      <c r="J509" s="190"/>
    </row>
    <row r="510" spans="1:10" ht="14.1" customHeight="1">
      <c r="A510" s="610" t="str">
        <f t="shared" si="40"/>
        <v xml:space="preserve">  0</v>
      </c>
      <c r="B510" s="610"/>
      <c r="D510" s="610" t="str">
        <f t="shared" si="35"/>
        <v xml:space="preserve">  0</v>
      </c>
      <c r="E510" s="610"/>
      <c r="J510" s="190"/>
    </row>
    <row r="511" spans="1:10" ht="14.1" customHeight="1">
      <c r="A511" s="609" t="str">
        <f t="shared" si="40"/>
        <v>QFP: JGARCIA   QFV: ADELTORO</v>
      </c>
      <c r="B511" s="609"/>
      <c r="D511" s="609" t="str">
        <f t="shared" si="35"/>
        <v>QFP: JGARCIA   QFV: ADELTORO</v>
      </c>
      <c r="E511" s="609"/>
      <c r="J511" s="190"/>
    </row>
    <row r="512" spans="1:10" ht="14.1" customHeight="1">
      <c r="A512" s="609" t="str">
        <f t="shared" si="40"/>
        <v>C.JPC/SEXTO NTE/SCOOP   Cama: NA</v>
      </c>
      <c r="B512" s="609"/>
      <c r="D512" s="609" t="str">
        <f t="shared" si="35"/>
        <v>C.JPC/SEXTO NTE/SCOOP   Cama: NA</v>
      </c>
      <c r="E512" s="609"/>
      <c r="J512" s="190"/>
    </row>
    <row r="513" spans="1:10" ht="14.1" customHeight="1">
      <c r="A513" s="609" t="str">
        <f t="shared" si="40"/>
        <v>UNIDOSSIS S.A.S.</v>
      </c>
      <c r="B513" s="609"/>
      <c r="D513" s="609" t="str">
        <f t="shared" si="35"/>
        <v>UNIDOSSIS S.A.S.</v>
      </c>
      <c r="E513" s="609"/>
      <c r="J513" s="190"/>
    </row>
    <row r="514" spans="1:10" ht="14.1" customHeight="1">
      <c r="A514" s="610" t="e">
        <f>'DATOS ETIQ'!B$36&amp;"  "&amp;'DATOS ETIQ'!C$36&amp;"  "&amp;'DATOS ETIQ'!D$36&amp;'DATOS ETIQ'!Q$36</f>
        <v>#N/A</v>
      </c>
      <c r="B514" s="610"/>
      <c r="C514" s="195"/>
      <c r="D514" s="610" t="e">
        <f t="shared" si="35"/>
        <v>#N/A</v>
      </c>
      <c r="E514" s="610"/>
      <c r="J514" s="190"/>
    </row>
    <row r="515" spans="1:10" ht="14.1" customHeight="1" thickBot="1">
      <c r="A515" s="610" t="e">
        <f>IF('DATOS ETIQ'!P$36=1,"Do: "&amp;'DATOS ETIQ'!F$36&amp;"mg   VolDo: "&amp;'DATOS ETIQ'!G$36&amp;"mL","Dilución 1/"&amp;'DATOS ETIQ'!P$36&amp;"  "&amp;'DATOS ETIQ'!E$36&amp;"mg/mL   Do: "&amp;'DATOS ETIQ'!F$36&amp;"mg   VolDo: "&amp;'DATOS ETIQ'!G$36&amp;"mL")</f>
        <v>#N/A</v>
      </c>
      <c r="B515" s="610"/>
      <c r="C515" s="195"/>
      <c r="D515" s="610" t="e">
        <f t="shared" si="35"/>
        <v>#N/A</v>
      </c>
      <c r="E515" s="610"/>
      <c r="J515" s="190"/>
    </row>
    <row r="516" spans="1:10" ht="14.1" customHeight="1">
      <c r="A516" s="182" t="e">
        <f ca="1">'DATOS ETIQ'!H$36</f>
        <v>#N/A</v>
      </c>
      <c r="B516" s="183" t="str">
        <f>"Lt: "&amp;'DATOS ETIQ'!I$36</f>
        <v xml:space="preserve">Lt: </v>
      </c>
      <c r="D516" s="182" t="e">
        <f t="shared" ca="1" si="35"/>
        <v>#N/A</v>
      </c>
      <c r="E516" s="183" t="str">
        <f>B516</f>
        <v xml:space="preserve">Lt: </v>
      </c>
      <c r="G516" s="611" t="e">
        <f>'FR PD 001 V1'!T40</f>
        <v>#N/A</v>
      </c>
      <c r="J516" s="611">
        <v>35</v>
      </c>
    </row>
    <row r="517" spans="1:10" ht="14.1" customHeight="1" thickBot="1">
      <c r="A517" s="610" t="str">
        <f>'DATOS ETIQ'!J$36&amp;"  "&amp;'DATOS ETIQ'!K$36</f>
        <v xml:space="preserve">  0</v>
      </c>
      <c r="B517" s="610"/>
      <c r="C517" s="195"/>
      <c r="D517" s="610" t="str">
        <f t="shared" si="35"/>
        <v xml:space="preserve">  0</v>
      </c>
      <c r="E517" s="610"/>
      <c r="G517" s="612"/>
      <c r="J517" s="612"/>
    </row>
    <row r="518" spans="1:10" ht="14.1" customHeight="1">
      <c r="A518" s="609" t="str">
        <f>"QFP: "&amp;'DATOS ETIQ'!L$36&amp;"   QFV: "&amp;'DATOS ETIQ'!M$36</f>
        <v>QFP: JGARCIA   QFV: ADELTORO</v>
      </c>
      <c r="B518" s="609"/>
      <c r="D518" s="609" t="str">
        <f t="shared" si="35"/>
        <v>QFP: JGARCIA   QFV: ADELTORO</v>
      </c>
      <c r="E518" s="609"/>
      <c r="J518" s="190"/>
    </row>
    <row r="519" spans="1:10" ht="14.1" customHeight="1">
      <c r="A519" s="609" t="str">
        <f>'DATOS ETIQ'!N$36&amp;"   Cama: "&amp;'DATOS ETIQ'!O$36</f>
        <v>C.JPC/SEXTO NTE/SCOOP   Cama: NA</v>
      </c>
      <c r="B519" s="609"/>
      <c r="D519" s="609" t="str">
        <f t="shared" si="35"/>
        <v>C.JPC/SEXTO NTE/SCOOP   Cama: NA</v>
      </c>
      <c r="E519" s="609"/>
      <c r="J519" s="190"/>
    </row>
    <row r="520" spans="1:10" ht="14.1" customHeight="1">
      <c r="A520" s="609" t="s">
        <v>167</v>
      </c>
      <c r="B520" s="609"/>
      <c r="D520" s="609" t="str">
        <f t="shared" si="35"/>
        <v>UNIDOSSIS S.A.S.</v>
      </c>
      <c r="E520" s="609"/>
      <c r="J520" s="190"/>
    </row>
    <row r="521" spans="1:10" ht="14.1" customHeight="1">
      <c r="D521" s="194"/>
      <c r="E521" s="194"/>
      <c r="J521" s="190"/>
    </row>
    <row r="522" spans="1:10" ht="14.1" customHeight="1">
      <c r="A522" s="610" t="e">
        <f t="shared" ref="A522:A528" si="41">A514</f>
        <v>#N/A</v>
      </c>
      <c r="B522" s="610"/>
      <c r="D522" s="610" t="e">
        <f t="shared" si="35"/>
        <v>#N/A</v>
      </c>
      <c r="E522" s="610"/>
      <c r="J522" s="190"/>
    </row>
    <row r="523" spans="1:10" ht="14.1" customHeight="1">
      <c r="A523" s="610" t="e">
        <f t="shared" si="41"/>
        <v>#N/A</v>
      </c>
      <c r="B523" s="610"/>
      <c r="D523" s="610" t="e">
        <f t="shared" si="35"/>
        <v>#N/A</v>
      </c>
      <c r="E523" s="610"/>
      <c r="J523" s="190"/>
    </row>
    <row r="524" spans="1:10" ht="14.1" customHeight="1">
      <c r="A524" s="182" t="e">
        <f t="shared" ca="1" si="41"/>
        <v>#N/A</v>
      </c>
      <c r="B524" s="183" t="str">
        <f>B516</f>
        <v xml:space="preserve">Lt: </v>
      </c>
      <c r="D524" s="182" t="e">
        <f t="shared" ca="1" si="35"/>
        <v>#N/A</v>
      </c>
      <c r="E524" s="183" t="str">
        <f>B524</f>
        <v xml:space="preserve">Lt: </v>
      </c>
      <c r="J524" s="190"/>
    </row>
    <row r="525" spans="1:10" ht="14.1" customHeight="1">
      <c r="A525" s="610" t="str">
        <f t="shared" si="41"/>
        <v xml:space="preserve">  0</v>
      </c>
      <c r="B525" s="610"/>
      <c r="D525" s="610" t="str">
        <f t="shared" si="35"/>
        <v xml:space="preserve">  0</v>
      </c>
      <c r="E525" s="610"/>
      <c r="J525" s="190"/>
    </row>
    <row r="526" spans="1:10" ht="14.1" customHeight="1">
      <c r="A526" s="609" t="str">
        <f t="shared" si="41"/>
        <v>QFP: JGARCIA   QFV: ADELTORO</v>
      </c>
      <c r="B526" s="609"/>
      <c r="D526" s="609" t="str">
        <f t="shared" si="35"/>
        <v>QFP: JGARCIA   QFV: ADELTORO</v>
      </c>
      <c r="E526" s="609"/>
      <c r="J526" s="190"/>
    </row>
    <row r="527" spans="1:10" ht="14.1" customHeight="1">
      <c r="A527" s="609" t="str">
        <f t="shared" si="41"/>
        <v>C.JPC/SEXTO NTE/SCOOP   Cama: NA</v>
      </c>
      <c r="B527" s="609"/>
      <c r="D527" s="609" t="str">
        <f t="shared" si="35"/>
        <v>C.JPC/SEXTO NTE/SCOOP   Cama: NA</v>
      </c>
      <c r="E527" s="609"/>
      <c r="J527" s="190"/>
    </row>
    <row r="528" spans="1:10" ht="14.1" customHeight="1">
      <c r="A528" s="609" t="str">
        <f t="shared" si="41"/>
        <v>UNIDOSSIS S.A.S.</v>
      </c>
      <c r="B528" s="609"/>
      <c r="D528" s="609" t="str">
        <f t="shared" si="35"/>
        <v>UNIDOSSIS S.A.S.</v>
      </c>
      <c r="E528" s="609"/>
      <c r="J528" s="190"/>
    </row>
    <row r="529" spans="1:10" ht="14.1" customHeight="1">
      <c r="A529" s="610" t="e">
        <f>'DATOS ETIQ'!B$37&amp;"  "&amp;'DATOS ETIQ'!C$37&amp;"  "&amp;'DATOS ETIQ'!D$37&amp;'DATOS ETIQ'!Q$37</f>
        <v>#N/A</v>
      </c>
      <c r="B529" s="610"/>
      <c r="C529" s="195"/>
      <c r="D529" s="610" t="e">
        <f t="shared" si="35"/>
        <v>#N/A</v>
      </c>
      <c r="E529" s="610"/>
      <c r="J529" s="190"/>
    </row>
    <row r="530" spans="1:10" ht="14.1" customHeight="1" thickBot="1">
      <c r="A530" s="610" t="e">
        <f>IF('DATOS ETIQ'!P$37=1,"Do: "&amp;'DATOS ETIQ'!F$37&amp;"mg   VolDo: "&amp;'DATOS ETIQ'!G$37&amp;"mL","Dilución 1/"&amp;'DATOS ETIQ'!P$37&amp;"  "&amp;'DATOS ETIQ'!E$37&amp;"mg/mL   Do: "&amp;'DATOS ETIQ'!F$37&amp;"mg   VolDo: "&amp;'DATOS ETIQ'!G$37&amp;"mL")</f>
        <v>#N/A</v>
      </c>
      <c r="B530" s="610"/>
      <c r="C530" s="195"/>
      <c r="D530" s="610" t="e">
        <f t="shared" si="35"/>
        <v>#N/A</v>
      </c>
      <c r="E530" s="610"/>
      <c r="J530" s="190"/>
    </row>
    <row r="531" spans="1:10" ht="14.1" customHeight="1">
      <c r="A531" s="182" t="e">
        <f ca="1">'DATOS ETIQ'!H$37</f>
        <v>#N/A</v>
      </c>
      <c r="B531" s="183" t="str">
        <f>"Lt: "&amp;'DATOS ETIQ'!I$37</f>
        <v xml:space="preserve">Lt: </v>
      </c>
      <c r="D531" s="182" t="e">
        <f t="shared" ca="1" si="35"/>
        <v>#N/A</v>
      </c>
      <c r="E531" s="183" t="str">
        <f>B531</f>
        <v xml:space="preserve">Lt: </v>
      </c>
      <c r="G531" s="611" t="e">
        <f>'FR PD 001 V1'!T41</f>
        <v>#N/A</v>
      </c>
      <c r="J531" s="611">
        <v>36</v>
      </c>
    </row>
    <row r="532" spans="1:10" ht="14.1" customHeight="1" thickBot="1">
      <c r="A532" s="610" t="str">
        <f>'DATOS ETIQ'!J$37&amp;"  "&amp;'DATOS ETIQ'!K$37</f>
        <v xml:space="preserve">  0</v>
      </c>
      <c r="B532" s="610"/>
      <c r="C532" s="195"/>
      <c r="D532" s="610" t="str">
        <f t="shared" si="35"/>
        <v xml:space="preserve">  0</v>
      </c>
      <c r="E532" s="610"/>
      <c r="G532" s="612"/>
      <c r="J532" s="612"/>
    </row>
    <row r="533" spans="1:10" ht="14.1" customHeight="1">
      <c r="A533" s="609" t="str">
        <f>"QFP: "&amp;'DATOS ETIQ'!L$37&amp;"   QFV: "&amp;'DATOS ETIQ'!M$37</f>
        <v>QFP: JGARCIA   QFV: ADELTORO</v>
      </c>
      <c r="B533" s="609"/>
      <c r="D533" s="609" t="str">
        <f t="shared" si="35"/>
        <v>QFP: JGARCIA   QFV: ADELTORO</v>
      </c>
      <c r="E533" s="609"/>
      <c r="J533" s="190"/>
    </row>
    <row r="534" spans="1:10" ht="14.1" customHeight="1">
      <c r="A534" s="609" t="str">
        <f>'DATOS ETIQ'!N$37&amp;"   Cama: "&amp;'DATOS ETIQ'!O$37</f>
        <v>C.JPC/SEXTO NTE/SCOOP   Cama: NA</v>
      </c>
      <c r="B534" s="609"/>
      <c r="D534" s="609" t="str">
        <f t="shared" si="35"/>
        <v>C.JPC/SEXTO NTE/SCOOP   Cama: NA</v>
      </c>
      <c r="E534" s="609"/>
      <c r="J534" s="190"/>
    </row>
    <row r="535" spans="1:10" ht="14.1" customHeight="1">
      <c r="A535" s="609" t="s">
        <v>167</v>
      </c>
      <c r="B535" s="609"/>
      <c r="D535" s="609" t="str">
        <f t="shared" si="35"/>
        <v>UNIDOSSIS S.A.S.</v>
      </c>
      <c r="E535" s="609"/>
      <c r="J535" s="190"/>
    </row>
    <row r="536" spans="1:10" ht="14.1" customHeight="1">
      <c r="D536" s="194"/>
      <c r="E536" s="194"/>
      <c r="J536" s="190"/>
    </row>
    <row r="537" spans="1:10" ht="14.1" customHeight="1">
      <c r="A537" s="610" t="e">
        <f t="shared" ref="A537:A543" si="42">A529</f>
        <v>#N/A</v>
      </c>
      <c r="B537" s="610"/>
      <c r="D537" s="610" t="e">
        <f t="shared" si="35"/>
        <v>#N/A</v>
      </c>
      <c r="E537" s="610"/>
      <c r="J537" s="190"/>
    </row>
    <row r="538" spans="1:10" ht="14.1" customHeight="1">
      <c r="A538" s="610" t="e">
        <f t="shared" si="42"/>
        <v>#N/A</v>
      </c>
      <c r="B538" s="610"/>
      <c r="D538" s="610" t="e">
        <f t="shared" si="35"/>
        <v>#N/A</v>
      </c>
      <c r="E538" s="610"/>
      <c r="J538" s="190"/>
    </row>
    <row r="539" spans="1:10" ht="14.1" customHeight="1">
      <c r="A539" s="182" t="e">
        <f t="shared" ca="1" si="42"/>
        <v>#N/A</v>
      </c>
      <c r="B539" s="183" t="str">
        <f>B531</f>
        <v xml:space="preserve">Lt: </v>
      </c>
      <c r="D539" s="182" t="e">
        <f t="shared" ca="1" si="35"/>
        <v>#N/A</v>
      </c>
      <c r="E539" s="183" t="str">
        <f>B539</f>
        <v xml:space="preserve">Lt: </v>
      </c>
      <c r="J539" s="190"/>
    </row>
    <row r="540" spans="1:10" ht="14.1" customHeight="1">
      <c r="A540" s="610" t="str">
        <f t="shared" si="42"/>
        <v xml:space="preserve">  0</v>
      </c>
      <c r="B540" s="610"/>
      <c r="D540" s="610" t="str">
        <f t="shared" si="35"/>
        <v xml:space="preserve">  0</v>
      </c>
      <c r="E540" s="610"/>
      <c r="J540" s="190"/>
    </row>
    <row r="541" spans="1:10" ht="14.1" customHeight="1">
      <c r="A541" s="609" t="str">
        <f t="shared" si="42"/>
        <v>QFP: JGARCIA   QFV: ADELTORO</v>
      </c>
      <c r="B541" s="609"/>
      <c r="D541" s="609" t="str">
        <f t="shared" si="35"/>
        <v>QFP: JGARCIA   QFV: ADELTORO</v>
      </c>
      <c r="E541" s="609"/>
      <c r="J541" s="190"/>
    </row>
    <row r="542" spans="1:10" ht="14.1" customHeight="1">
      <c r="A542" s="609" t="str">
        <f t="shared" si="42"/>
        <v>C.JPC/SEXTO NTE/SCOOP   Cama: NA</v>
      </c>
      <c r="B542" s="609"/>
      <c r="D542" s="609" t="str">
        <f t="shared" si="35"/>
        <v>C.JPC/SEXTO NTE/SCOOP   Cama: NA</v>
      </c>
      <c r="E542" s="609"/>
      <c r="J542" s="190"/>
    </row>
    <row r="543" spans="1:10" ht="14.1" customHeight="1">
      <c r="A543" s="609" t="str">
        <f t="shared" si="42"/>
        <v>UNIDOSSIS S.A.S.</v>
      </c>
      <c r="B543" s="609"/>
      <c r="D543" s="609" t="str">
        <f t="shared" si="35"/>
        <v>UNIDOSSIS S.A.S.</v>
      </c>
      <c r="E543" s="609"/>
      <c r="J543" s="190"/>
    </row>
    <row r="544" spans="1:10" ht="14.1" customHeight="1">
      <c r="A544" s="610" t="e">
        <f>'DATOS ETIQ'!B$38&amp;"  "&amp;'DATOS ETIQ'!C$38&amp;"  "&amp;'DATOS ETIQ'!D$38&amp;'DATOS ETIQ'!Q$38</f>
        <v>#N/A</v>
      </c>
      <c r="B544" s="610"/>
      <c r="C544" s="195"/>
      <c r="D544" s="610" t="e">
        <f t="shared" si="35"/>
        <v>#N/A</v>
      </c>
      <c r="E544" s="610"/>
      <c r="J544" s="190"/>
    </row>
    <row r="545" spans="1:10" ht="14.1" customHeight="1" thickBot="1">
      <c r="A545" s="610" t="e">
        <f>IF('DATOS ETIQ'!P$38=1,"Do: "&amp;'DATOS ETIQ'!F$38&amp;"mg   VolDo: "&amp;'DATOS ETIQ'!G$38&amp;"mL","Dilución 1/"&amp;'DATOS ETIQ'!P$38&amp;"  "&amp;'DATOS ETIQ'!E$38&amp;"mg/mL   Do: "&amp;'DATOS ETIQ'!F$38&amp;"mg   VolDo: "&amp;'DATOS ETIQ'!G$38&amp;"mL")</f>
        <v>#N/A</v>
      </c>
      <c r="B545" s="610"/>
      <c r="C545" s="195"/>
      <c r="D545" s="610" t="e">
        <f t="shared" si="35"/>
        <v>#N/A</v>
      </c>
      <c r="E545" s="610"/>
      <c r="J545" s="190"/>
    </row>
    <row r="546" spans="1:10" ht="14.1" customHeight="1">
      <c r="A546" s="182" t="e">
        <f ca="1">'DATOS ETIQ'!H$38</f>
        <v>#N/A</v>
      </c>
      <c r="B546" s="183" t="str">
        <f>"Lt: "&amp;'DATOS ETIQ'!I$38</f>
        <v xml:space="preserve">Lt: </v>
      </c>
      <c r="D546" s="182" t="e">
        <f t="shared" ca="1" si="35"/>
        <v>#N/A</v>
      </c>
      <c r="E546" s="183" t="str">
        <f>B546</f>
        <v xml:space="preserve">Lt: </v>
      </c>
      <c r="G546" s="611" t="e">
        <f>'FR PD 001 V1'!T42</f>
        <v>#N/A</v>
      </c>
      <c r="J546" s="611">
        <v>37</v>
      </c>
    </row>
    <row r="547" spans="1:10" ht="14.1" customHeight="1" thickBot="1">
      <c r="A547" s="610" t="str">
        <f>'DATOS ETIQ'!J$38&amp;"  "&amp;'DATOS ETIQ'!K$38</f>
        <v xml:space="preserve">  0</v>
      </c>
      <c r="B547" s="610"/>
      <c r="C547" s="195"/>
      <c r="D547" s="610" t="str">
        <f t="shared" si="35"/>
        <v xml:space="preserve">  0</v>
      </c>
      <c r="E547" s="610"/>
      <c r="G547" s="612"/>
      <c r="J547" s="612"/>
    </row>
    <row r="548" spans="1:10" ht="14.1" customHeight="1">
      <c r="A548" s="609" t="str">
        <f>"QFP: "&amp;'DATOS ETIQ'!L$38&amp;"   QFV: "&amp;'DATOS ETIQ'!M$38</f>
        <v>QFP: JGARCIA   QFV: ADELTORO</v>
      </c>
      <c r="B548" s="609"/>
      <c r="D548" s="609" t="str">
        <f t="shared" si="35"/>
        <v>QFP: JGARCIA   QFV: ADELTORO</v>
      </c>
      <c r="E548" s="609"/>
      <c r="J548" s="190"/>
    </row>
    <row r="549" spans="1:10" ht="14.1" customHeight="1">
      <c r="A549" s="609" t="str">
        <f>'DATOS ETIQ'!N$38&amp;"   Cama: "&amp;'DATOS ETIQ'!O$38</f>
        <v>C.JPC/SEXTO NTE/SCOOP   Cama: NA</v>
      </c>
      <c r="B549" s="609"/>
      <c r="D549" s="609" t="str">
        <f t="shared" si="35"/>
        <v>C.JPC/SEXTO NTE/SCOOP   Cama: NA</v>
      </c>
      <c r="E549" s="609"/>
      <c r="J549" s="190"/>
    </row>
    <row r="550" spans="1:10" ht="14.1" customHeight="1">
      <c r="A550" s="609" t="s">
        <v>167</v>
      </c>
      <c r="B550" s="609"/>
      <c r="D550" s="609" t="str">
        <f t="shared" si="35"/>
        <v>UNIDOSSIS S.A.S.</v>
      </c>
      <c r="E550" s="609"/>
      <c r="J550" s="190"/>
    </row>
    <row r="551" spans="1:10" ht="14.1" customHeight="1">
      <c r="D551" s="194"/>
      <c r="E551" s="194"/>
      <c r="J551" s="190"/>
    </row>
    <row r="552" spans="1:10" ht="14.1" customHeight="1">
      <c r="A552" s="610" t="e">
        <f t="shared" ref="A552:A558" si="43">A544</f>
        <v>#N/A</v>
      </c>
      <c r="B552" s="610"/>
      <c r="D552" s="610" t="e">
        <f t="shared" si="35"/>
        <v>#N/A</v>
      </c>
      <c r="E552" s="610"/>
      <c r="J552" s="190"/>
    </row>
    <row r="553" spans="1:10" ht="14.1" customHeight="1">
      <c r="A553" s="610" t="e">
        <f t="shared" si="43"/>
        <v>#N/A</v>
      </c>
      <c r="B553" s="610"/>
      <c r="D553" s="610" t="e">
        <f t="shared" si="35"/>
        <v>#N/A</v>
      </c>
      <c r="E553" s="610"/>
      <c r="J553" s="190"/>
    </row>
    <row r="554" spans="1:10" ht="14.1" customHeight="1">
      <c r="A554" s="182" t="e">
        <f t="shared" ca="1" si="43"/>
        <v>#N/A</v>
      </c>
      <c r="B554" s="183" t="str">
        <f>B546</f>
        <v xml:space="preserve">Lt: </v>
      </c>
      <c r="D554" s="182" t="e">
        <f t="shared" ca="1" si="35"/>
        <v>#N/A</v>
      </c>
      <c r="E554" s="183" t="str">
        <f>B554</f>
        <v xml:space="preserve">Lt: </v>
      </c>
      <c r="J554" s="190"/>
    </row>
    <row r="555" spans="1:10" ht="14.1" customHeight="1">
      <c r="A555" s="610" t="str">
        <f t="shared" si="43"/>
        <v xml:space="preserve">  0</v>
      </c>
      <c r="B555" s="610"/>
      <c r="D555" s="610" t="str">
        <f t="shared" si="35"/>
        <v xml:space="preserve">  0</v>
      </c>
      <c r="E555" s="610"/>
      <c r="J555" s="190"/>
    </row>
    <row r="556" spans="1:10" ht="14.1" customHeight="1">
      <c r="A556" s="609" t="str">
        <f t="shared" si="43"/>
        <v>QFP: JGARCIA   QFV: ADELTORO</v>
      </c>
      <c r="B556" s="609"/>
      <c r="D556" s="609" t="str">
        <f t="shared" si="35"/>
        <v>QFP: JGARCIA   QFV: ADELTORO</v>
      </c>
      <c r="E556" s="609"/>
      <c r="J556" s="190"/>
    </row>
    <row r="557" spans="1:10" ht="14.1" customHeight="1">
      <c r="A557" s="609" t="str">
        <f t="shared" si="43"/>
        <v>C.JPC/SEXTO NTE/SCOOP   Cama: NA</v>
      </c>
      <c r="B557" s="609"/>
      <c r="D557" s="609" t="str">
        <f t="shared" si="35"/>
        <v>C.JPC/SEXTO NTE/SCOOP   Cama: NA</v>
      </c>
      <c r="E557" s="609"/>
      <c r="J557" s="190"/>
    </row>
    <row r="558" spans="1:10" ht="14.1" customHeight="1">
      <c r="A558" s="609" t="str">
        <f t="shared" si="43"/>
        <v>UNIDOSSIS S.A.S.</v>
      </c>
      <c r="B558" s="609"/>
      <c r="D558" s="609" t="str">
        <f t="shared" si="35"/>
        <v>UNIDOSSIS S.A.S.</v>
      </c>
      <c r="E558" s="609"/>
      <c r="J558" s="190"/>
    </row>
    <row r="559" spans="1:10" ht="14.1" customHeight="1">
      <c r="A559" s="610" t="e">
        <f>'DATOS ETIQ'!B$39&amp;"  "&amp;'DATOS ETIQ'!C$39&amp;"  "&amp;'DATOS ETIQ'!D$39&amp;'DATOS ETIQ'!Q$39</f>
        <v>#N/A</v>
      </c>
      <c r="B559" s="610"/>
      <c r="C559" s="195"/>
      <c r="D559" s="610" t="e">
        <f t="shared" si="35"/>
        <v>#N/A</v>
      </c>
      <c r="E559" s="610"/>
      <c r="J559" s="190"/>
    </row>
    <row r="560" spans="1:10" ht="14.1" customHeight="1" thickBot="1">
      <c r="A560" s="610" t="e">
        <f>IF('DATOS ETIQ'!P$39=1,"Do: "&amp;'DATOS ETIQ'!F$39&amp;"mg   VolDo: "&amp;'DATOS ETIQ'!G$39&amp;"mL","Dilución 1/"&amp;'DATOS ETIQ'!P$39&amp;"  "&amp;'DATOS ETIQ'!E$39&amp;"mg/mL   Do: "&amp;'DATOS ETIQ'!F$39&amp;"mg   VolDo: "&amp;'DATOS ETIQ'!G$39&amp;"mL")</f>
        <v>#N/A</v>
      </c>
      <c r="B560" s="610"/>
      <c r="C560" s="195"/>
      <c r="D560" s="610" t="e">
        <f t="shared" si="35"/>
        <v>#N/A</v>
      </c>
      <c r="E560" s="610"/>
      <c r="J560" s="190"/>
    </row>
    <row r="561" spans="1:10" ht="14.1" customHeight="1">
      <c r="A561" s="182" t="e">
        <f ca="1">'DATOS ETIQ'!H$39</f>
        <v>#N/A</v>
      </c>
      <c r="B561" s="183" t="str">
        <f>"Lt: "&amp;'DATOS ETIQ'!I$39</f>
        <v xml:space="preserve">Lt: </v>
      </c>
      <c r="D561" s="182" t="e">
        <f t="shared" ca="1" si="35"/>
        <v>#N/A</v>
      </c>
      <c r="E561" s="183" t="str">
        <f>B561</f>
        <v xml:space="preserve">Lt: </v>
      </c>
      <c r="G561" s="611" t="e">
        <f>'FR PD 001 V1'!T43</f>
        <v>#N/A</v>
      </c>
      <c r="J561" s="611">
        <v>38</v>
      </c>
    </row>
    <row r="562" spans="1:10" ht="14.1" customHeight="1" thickBot="1">
      <c r="A562" s="610" t="str">
        <f>'DATOS ETIQ'!J$39&amp;"  "&amp;'DATOS ETIQ'!K$39</f>
        <v xml:space="preserve">  0</v>
      </c>
      <c r="B562" s="610"/>
      <c r="C562" s="195"/>
      <c r="D562" s="610" t="str">
        <f t="shared" si="35"/>
        <v xml:space="preserve">  0</v>
      </c>
      <c r="E562" s="610"/>
      <c r="G562" s="612"/>
      <c r="J562" s="612"/>
    </row>
    <row r="563" spans="1:10" ht="14.1" customHeight="1">
      <c r="A563" s="609" t="str">
        <f>"QFP: "&amp;'DATOS ETIQ'!L$39&amp;"   QFV: "&amp;'DATOS ETIQ'!M$39</f>
        <v>QFP: JGARCIA   QFV: ADELTORO</v>
      </c>
      <c r="B563" s="609"/>
      <c r="D563" s="609" t="str">
        <f t="shared" si="35"/>
        <v>QFP: JGARCIA   QFV: ADELTORO</v>
      </c>
      <c r="E563" s="609"/>
      <c r="J563" s="190"/>
    </row>
    <row r="564" spans="1:10" ht="14.1" customHeight="1">
      <c r="A564" s="609" t="str">
        <f>'DATOS ETIQ'!N$39&amp;"   Cama: "&amp;'DATOS ETIQ'!O$39</f>
        <v>C.JPC/SEXTO NTE/SCOOP   Cama: NA</v>
      </c>
      <c r="B564" s="609"/>
      <c r="D564" s="609" t="str">
        <f t="shared" si="35"/>
        <v>C.JPC/SEXTO NTE/SCOOP   Cama: NA</v>
      </c>
      <c r="E564" s="609"/>
      <c r="J564" s="190"/>
    </row>
    <row r="565" spans="1:10" ht="14.1" customHeight="1">
      <c r="A565" s="609" t="s">
        <v>167</v>
      </c>
      <c r="B565" s="609"/>
      <c r="D565" s="609" t="str">
        <f t="shared" si="35"/>
        <v>UNIDOSSIS S.A.S.</v>
      </c>
      <c r="E565" s="609"/>
      <c r="J565" s="190"/>
    </row>
    <row r="566" spans="1:10" ht="14.1" customHeight="1">
      <c r="D566" s="194"/>
      <c r="E566" s="194"/>
      <c r="J566" s="190"/>
    </row>
    <row r="567" spans="1:10" ht="14.1" customHeight="1">
      <c r="A567" s="610" t="e">
        <f t="shared" ref="A567:A573" si="44">A559</f>
        <v>#N/A</v>
      </c>
      <c r="B567" s="610"/>
      <c r="D567" s="610" t="e">
        <f t="shared" si="35"/>
        <v>#N/A</v>
      </c>
      <c r="E567" s="610"/>
      <c r="J567" s="190"/>
    </row>
    <row r="568" spans="1:10" ht="14.1" customHeight="1">
      <c r="A568" s="610" t="e">
        <f t="shared" si="44"/>
        <v>#N/A</v>
      </c>
      <c r="B568" s="610"/>
      <c r="D568" s="610" t="e">
        <f t="shared" si="35"/>
        <v>#N/A</v>
      </c>
      <c r="E568" s="610"/>
      <c r="J568" s="190"/>
    </row>
    <row r="569" spans="1:10" ht="14.1" customHeight="1">
      <c r="A569" s="182" t="e">
        <f t="shared" ca="1" si="44"/>
        <v>#N/A</v>
      </c>
      <c r="B569" s="183" t="str">
        <f>B561</f>
        <v xml:space="preserve">Lt: </v>
      </c>
      <c r="D569" s="182" t="e">
        <f t="shared" ca="1" si="35"/>
        <v>#N/A</v>
      </c>
      <c r="E569" s="183" t="str">
        <f>B569</f>
        <v xml:space="preserve">Lt: </v>
      </c>
      <c r="J569" s="190"/>
    </row>
    <row r="570" spans="1:10" ht="14.1" customHeight="1">
      <c r="A570" s="610" t="str">
        <f t="shared" si="44"/>
        <v xml:space="preserve">  0</v>
      </c>
      <c r="B570" s="610"/>
      <c r="D570" s="610" t="str">
        <f t="shared" si="35"/>
        <v xml:space="preserve">  0</v>
      </c>
      <c r="E570" s="610"/>
      <c r="J570" s="190"/>
    </row>
    <row r="571" spans="1:10" ht="14.1" customHeight="1">
      <c r="A571" s="609" t="str">
        <f t="shared" si="44"/>
        <v>QFP: JGARCIA   QFV: ADELTORO</v>
      </c>
      <c r="B571" s="609"/>
      <c r="D571" s="609" t="str">
        <f t="shared" si="35"/>
        <v>QFP: JGARCIA   QFV: ADELTORO</v>
      </c>
      <c r="E571" s="609"/>
      <c r="J571" s="190"/>
    </row>
    <row r="572" spans="1:10" ht="14.1" customHeight="1">
      <c r="A572" s="609" t="str">
        <f t="shared" si="44"/>
        <v>C.JPC/SEXTO NTE/SCOOP   Cama: NA</v>
      </c>
      <c r="B572" s="609"/>
      <c r="D572" s="609" t="str">
        <f t="shared" si="35"/>
        <v>C.JPC/SEXTO NTE/SCOOP   Cama: NA</v>
      </c>
      <c r="E572" s="609"/>
      <c r="J572" s="190"/>
    </row>
    <row r="573" spans="1:10" ht="14.1" customHeight="1">
      <c r="A573" s="609" t="str">
        <f t="shared" si="44"/>
        <v>UNIDOSSIS S.A.S.</v>
      </c>
      <c r="B573" s="609"/>
      <c r="D573" s="609" t="str">
        <f t="shared" si="35"/>
        <v>UNIDOSSIS S.A.S.</v>
      </c>
      <c r="E573" s="609"/>
      <c r="J573" s="190"/>
    </row>
    <row r="574" spans="1:10" ht="14.1" customHeight="1">
      <c r="A574" s="610" t="e">
        <f>'DATOS ETIQ'!B$40&amp;"  "&amp;'DATOS ETIQ'!C$40&amp;"  "&amp;'DATOS ETIQ'!D$40&amp;'DATOS ETIQ'!Q$40</f>
        <v>#N/A</v>
      </c>
      <c r="B574" s="610"/>
      <c r="C574" s="195"/>
      <c r="D574" s="610" t="e">
        <f t="shared" si="35"/>
        <v>#N/A</v>
      </c>
      <c r="E574" s="610"/>
      <c r="J574" s="190"/>
    </row>
    <row r="575" spans="1:10" ht="14.1" customHeight="1" thickBot="1">
      <c r="A575" s="610" t="e">
        <f>IF('DATOS ETIQ'!P$40=1,"Do: "&amp;'DATOS ETIQ'!F$40&amp;"mg   VolDo: "&amp;'DATOS ETIQ'!G$40&amp;"mL","Dilución 1/"&amp;'DATOS ETIQ'!P$40&amp;"  "&amp;'DATOS ETIQ'!E$40&amp;"mg/mL   Do: "&amp;'DATOS ETIQ'!F$40&amp;"mg   VolDo: "&amp;'DATOS ETIQ'!G$40&amp;"mL")</f>
        <v>#N/A</v>
      </c>
      <c r="B575" s="610"/>
      <c r="C575" s="195"/>
      <c r="D575" s="610" t="e">
        <f t="shared" si="35"/>
        <v>#N/A</v>
      </c>
      <c r="E575" s="610"/>
      <c r="J575" s="190"/>
    </row>
    <row r="576" spans="1:10" ht="14.1" customHeight="1">
      <c r="A576" s="182" t="e">
        <f ca="1">'DATOS ETIQ'!H$40</f>
        <v>#N/A</v>
      </c>
      <c r="B576" s="183" t="str">
        <f>"Lt: "&amp;'DATOS ETIQ'!I$40</f>
        <v xml:space="preserve">Lt: </v>
      </c>
      <c r="D576" s="182" t="e">
        <f t="shared" ref="D576:D655" ca="1" si="45">A576</f>
        <v>#N/A</v>
      </c>
      <c r="E576" s="183" t="str">
        <f>B576</f>
        <v xml:space="preserve">Lt: </v>
      </c>
      <c r="G576" s="611" t="e">
        <f>'FR PD 001 V1'!T44</f>
        <v>#N/A</v>
      </c>
      <c r="J576" s="611">
        <v>39</v>
      </c>
    </row>
    <row r="577" spans="1:10" ht="14.1" customHeight="1" thickBot="1">
      <c r="A577" s="610" t="str">
        <f>'DATOS ETIQ'!J$40&amp;"  "&amp;'DATOS ETIQ'!K$40</f>
        <v xml:space="preserve">  0</v>
      </c>
      <c r="B577" s="610"/>
      <c r="C577" s="195"/>
      <c r="D577" s="610" t="str">
        <f t="shared" si="45"/>
        <v xml:space="preserve">  0</v>
      </c>
      <c r="E577" s="610"/>
      <c r="G577" s="612"/>
      <c r="J577" s="612"/>
    </row>
    <row r="578" spans="1:10" ht="14.1" customHeight="1">
      <c r="A578" s="609" t="str">
        <f>"QFP: "&amp;'DATOS ETIQ'!L$40&amp;"   QFV: "&amp;'DATOS ETIQ'!M$40</f>
        <v>QFP: JGARCIA   QFV: ADELTORO</v>
      </c>
      <c r="B578" s="609"/>
      <c r="D578" s="609" t="str">
        <f t="shared" si="45"/>
        <v>QFP: JGARCIA   QFV: ADELTORO</v>
      </c>
      <c r="E578" s="609"/>
      <c r="J578" s="190"/>
    </row>
    <row r="579" spans="1:10" ht="14.1" customHeight="1">
      <c r="A579" s="609" t="str">
        <f>'DATOS ETIQ'!N$40&amp;"   Cama: "&amp;'DATOS ETIQ'!O$40</f>
        <v>C.JPC/SEXTO NTE/SCOOP   Cama: NA</v>
      </c>
      <c r="B579" s="609"/>
      <c r="D579" s="609" t="str">
        <f t="shared" si="45"/>
        <v>C.JPC/SEXTO NTE/SCOOP   Cama: NA</v>
      </c>
      <c r="E579" s="609"/>
      <c r="J579" s="190"/>
    </row>
    <row r="580" spans="1:10" ht="14.1" customHeight="1">
      <c r="A580" s="609" t="s">
        <v>167</v>
      </c>
      <c r="B580" s="609"/>
      <c r="D580" s="609" t="str">
        <f t="shared" si="45"/>
        <v>UNIDOSSIS S.A.S.</v>
      </c>
      <c r="E580" s="609"/>
      <c r="J580" s="190"/>
    </row>
    <row r="581" spans="1:10" ht="14.1" customHeight="1">
      <c r="D581" s="194"/>
      <c r="E581" s="194"/>
      <c r="J581" s="190"/>
    </row>
    <row r="582" spans="1:10" ht="14.1" customHeight="1">
      <c r="A582" s="610" t="e">
        <f t="shared" ref="A582:A588" si="46">A574</f>
        <v>#N/A</v>
      </c>
      <c r="B582" s="610"/>
      <c r="D582" s="610" t="e">
        <f t="shared" si="45"/>
        <v>#N/A</v>
      </c>
      <c r="E582" s="610"/>
      <c r="J582" s="190"/>
    </row>
    <row r="583" spans="1:10" ht="14.1" customHeight="1">
      <c r="A583" s="610" t="e">
        <f t="shared" si="46"/>
        <v>#N/A</v>
      </c>
      <c r="B583" s="610"/>
      <c r="D583" s="610" t="e">
        <f t="shared" si="45"/>
        <v>#N/A</v>
      </c>
      <c r="E583" s="610"/>
      <c r="J583" s="190"/>
    </row>
    <row r="584" spans="1:10" ht="14.1" customHeight="1">
      <c r="A584" s="182" t="e">
        <f t="shared" ca="1" si="46"/>
        <v>#N/A</v>
      </c>
      <c r="B584" s="183" t="str">
        <f>B576</f>
        <v xml:space="preserve">Lt: </v>
      </c>
      <c r="D584" s="182" t="e">
        <f t="shared" ca="1" si="45"/>
        <v>#N/A</v>
      </c>
      <c r="E584" s="183" t="str">
        <f>B584</f>
        <v xml:space="preserve">Lt: </v>
      </c>
      <c r="J584" s="190"/>
    </row>
    <row r="585" spans="1:10" ht="14.1" customHeight="1">
      <c r="A585" s="610" t="str">
        <f t="shared" si="46"/>
        <v xml:space="preserve">  0</v>
      </c>
      <c r="B585" s="610"/>
      <c r="D585" s="610" t="str">
        <f t="shared" si="45"/>
        <v xml:space="preserve">  0</v>
      </c>
      <c r="E585" s="610"/>
      <c r="J585" s="190"/>
    </row>
    <row r="586" spans="1:10" ht="14.1" customHeight="1">
      <c r="A586" s="609" t="str">
        <f t="shared" si="46"/>
        <v>QFP: JGARCIA   QFV: ADELTORO</v>
      </c>
      <c r="B586" s="609"/>
      <c r="D586" s="609" t="str">
        <f t="shared" si="45"/>
        <v>QFP: JGARCIA   QFV: ADELTORO</v>
      </c>
      <c r="E586" s="609"/>
      <c r="J586" s="190"/>
    </row>
    <row r="587" spans="1:10" ht="14.1" customHeight="1">
      <c r="A587" s="609" t="str">
        <f t="shared" si="46"/>
        <v>C.JPC/SEXTO NTE/SCOOP   Cama: NA</v>
      </c>
      <c r="B587" s="609"/>
      <c r="D587" s="609" t="str">
        <f t="shared" si="45"/>
        <v>C.JPC/SEXTO NTE/SCOOP   Cama: NA</v>
      </c>
      <c r="E587" s="609"/>
      <c r="J587" s="190"/>
    </row>
    <row r="588" spans="1:10" ht="14.1" customHeight="1">
      <c r="A588" s="609" t="str">
        <f t="shared" si="46"/>
        <v>UNIDOSSIS S.A.S.</v>
      </c>
      <c r="B588" s="609"/>
      <c r="D588" s="609" t="str">
        <f t="shared" si="45"/>
        <v>UNIDOSSIS S.A.S.</v>
      </c>
      <c r="E588" s="609"/>
      <c r="J588" s="190"/>
    </row>
    <row r="589" spans="1:10" ht="14.1" customHeight="1">
      <c r="A589" s="610" t="e">
        <f>'DATOS ETIQ'!B$41&amp;"  "&amp;'DATOS ETIQ'!C$41&amp;"  "&amp;'DATOS ETIQ'!D$41&amp;'DATOS ETIQ'!Q$41</f>
        <v>#N/A</v>
      </c>
      <c r="B589" s="610"/>
      <c r="C589" s="195"/>
      <c r="D589" s="610" t="e">
        <f t="shared" si="45"/>
        <v>#N/A</v>
      </c>
      <c r="E589" s="610"/>
      <c r="J589" s="190"/>
    </row>
    <row r="590" spans="1:10" ht="14.1" customHeight="1" thickBot="1">
      <c r="A590" s="610" t="e">
        <f>IF('DATOS ETIQ'!P$41=1,"Do: "&amp;'DATOS ETIQ'!F$41&amp;"mg   VolDo: "&amp;'DATOS ETIQ'!G$41&amp;"mL","Dilución 1/"&amp;'DATOS ETIQ'!P$41&amp;"  "&amp;'DATOS ETIQ'!E$41&amp;"mg/mL   Do: "&amp;'DATOS ETIQ'!F$41&amp;"mg   VolDo: "&amp;'DATOS ETIQ'!G$41&amp;"mL")</f>
        <v>#N/A</v>
      </c>
      <c r="B590" s="610"/>
      <c r="C590" s="195"/>
      <c r="D590" s="610" t="e">
        <f t="shared" si="45"/>
        <v>#N/A</v>
      </c>
      <c r="E590" s="610"/>
      <c r="J590" s="190"/>
    </row>
    <row r="591" spans="1:10" ht="14.1" customHeight="1">
      <c r="A591" s="182" t="e">
        <f ca="1">'DATOS ETIQ'!H$41</f>
        <v>#N/A</v>
      </c>
      <c r="B591" s="183" t="str">
        <f>"Lt: "&amp;'DATOS ETIQ'!I$41</f>
        <v xml:space="preserve">Lt: </v>
      </c>
      <c r="D591" s="182" t="e">
        <f t="shared" ca="1" si="45"/>
        <v>#N/A</v>
      </c>
      <c r="E591" s="183" t="str">
        <f>B591</f>
        <v xml:space="preserve">Lt: </v>
      </c>
      <c r="G591" s="611" t="e">
        <f>'FR PD 001 V1'!T45</f>
        <v>#N/A</v>
      </c>
      <c r="J591" s="611">
        <v>40</v>
      </c>
    </row>
    <row r="592" spans="1:10" ht="14.1" customHeight="1" thickBot="1">
      <c r="A592" s="610" t="str">
        <f>'DATOS ETIQ'!J$41&amp;"  "&amp;'DATOS ETIQ'!K$41</f>
        <v xml:space="preserve">  0</v>
      </c>
      <c r="B592" s="610"/>
      <c r="C592" s="195"/>
      <c r="D592" s="610" t="str">
        <f t="shared" si="45"/>
        <v xml:space="preserve">  0</v>
      </c>
      <c r="E592" s="610"/>
      <c r="G592" s="612"/>
      <c r="J592" s="612"/>
    </row>
    <row r="593" spans="1:10" ht="14.1" customHeight="1">
      <c r="A593" s="609" t="str">
        <f>"QFP: "&amp;'DATOS ETIQ'!L$41&amp;"   QFV: "&amp;'DATOS ETIQ'!M$41</f>
        <v>QFP: JGARCIA   QFV: ADELTORO</v>
      </c>
      <c r="B593" s="609"/>
      <c r="D593" s="609" t="str">
        <f t="shared" si="45"/>
        <v>QFP: JGARCIA   QFV: ADELTORO</v>
      </c>
      <c r="E593" s="609"/>
      <c r="J593" s="190"/>
    </row>
    <row r="594" spans="1:10" ht="14.1" customHeight="1">
      <c r="A594" s="609" t="str">
        <f>'DATOS ETIQ'!N$41&amp;"   Cama: "&amp;'DATOS ETIQ'!O$41</f>
        <v>C.JPC/SEXTO NTE/SCOOP   Cama: NA</v>
      </c>
      <c r="B594" s="609"/>
      <c r="D594" s="609" t="str">
        <f t="shared" si="45"/>
        <v>C.JPC/SEXTO NTE/SCOOP   Cama: NA</v>
      </c>
      <c r="E594" s="609"/>
      <c r="J594" s="190"/>
    </row>
    <row r="595" spans="1:10" ht="14.1" customHeight="1">
      <c r="A595" s="609" t="s">
        <v>167</v>
      </c>
      <c r="B595" s="609"/>
      <c r="D595" s="609" t="str">
        <f t="shared" si="45"/>
        <v>UNIDOSSIS S.A.S.</v>
      </c>
      <c r="E595" s="609"/>
      <c r="J595" s="190"/>
    </row>
    <row r="596" spans="1:10" ht="14.1" customHeight="1">
      <c r="D596" s="194"/>
      <c r="E596" s="194"/>
      <c r="J596" s="190"/>
    </row>
    <row r="597" spans="1:10" ht="14.1" customHeight="1">
      <c r="A597" s="610" t="e">
        <f t="shared" ref="A597:A603" si="47">A589</f>
        <v>#N/A</v>
      </c>
      <c r="B597" s="610"/>
      <c r="D597" s="610" t="e">
        <f t="shared" si="45"/>
        <v>#N/A</v>
      </c>
      <c r="E597" s="610"/>
      <c r="J597" s="190"/>
    </row>
    <row r="598" spans="1:10" ht="14.1" customHeight="1">
      <c r="A598" s="610" t="e">
        <f t="shared" si="47"/>
        <v>#N/A</v>
      </c>
      <c r="B598" s="610"/>
      <c r="D598" s="610" t="e">
        <f t="shared" si="45"/>
        <v>#N/A</v>
      </c>
      <c r="E598" s="610"/>
      <c r="J598" s="190"/>
    </row>
    <row r="599" spans="1:10" ht="14.1" customHeight="1">
      <c r="A599" s="182" t="e">
        <f t="shared" ca="1" si="47"/>
        <v>#N/A</v>
      </c>
      <c r="B599" s="183" t="str">
        <f>B591</f>
        <v xml:space="preserve">Lt: </v>
      </c>
      <c r="D599" s="182" t="e">
        <f t="shared" ca="1" si="45"/>
        <v>#N/A</v>
      </c>
      <c r="E599" s="183" t="str">
        <f>B599</f>
        <v xml:space="preserve">Lt: </v>
      </c>
      <c r="J599" s="190"/>
    </row>
    <row r="600" spans="1:10" ht="14.1" customHeight="1">
      <c r="A600" s="610" t="str">
        <f t="shared" si="47"/>
        <v xml:space="preserve">  0</v>
      </c>
      <c r="B600" s="610"/>
      <c r="D600" s="610" t="str">
        <f t="shared" si="45"/>
        <v xml:space="preserve">  0</v>
      </c>
      <c r="E600" s="610"/>
      <c r="J600" s="190"/>
    </row>
    <row r="601" spans="1:10" ht="14.1" customHeight="1">
      <c r="A601" s="609" t="str">
        <f t="shared" si="47"/>
        <v>QFP: JGARCIA   QFV: ADELTORO</v>
      </c>
      <c r="B601" s="609"/>
      <c r="D601" s="609" t="str">
        <f t="shared" si="45"/>
        <v>QFP: JGARCIA   QFV: ADELTORO</v>
      </c>
      <c r="E601" s="609"/>
      <c r="J601" s="190"/>
    </row>
    <row r="602" spans="1:10" ht="14.1" customHeight="1">
      <c r="A602" s="609" t="str">
        <f t="shared" si="47"/>
        <v>C.JPC/SEXTO NTE/SCOOP   Cama: NA</v>
      </c>
      <c r="B602" s="609"/>
      <c r="D602" s="609" t="str">
        <f t="shared" si="45"/>
        <v>C.JPC/SEXTO NTE/SCOOP   Cama: NA</v>
      </c>
      <c r="E602" s="609"/>
      <c r="J602" s="190"/>
    </row>
    <row r="603" spans="1:10" ht="14.1" customHeight="1">
      <c r="A603" s="609" t="str">
        <f t="shared" si="47"/>
        <v>UNIDOSSIS S.A.S.</v>
      </c>
      <c r="B603" s="609"/>
      <c r="D603" s="609" t="str">
        <f t="shared" si="45"/>
        <v>UNIDOSSIS S.A.S.</v>
      </c>
      <c r="E603" s="609"/>
      <c r="J603" s="190"/>
    </row>
    <row r="604" spans="1:10" ht="14.1" customHeight="1">
      <c r="A604" s="610" t="e">
        <f>'DATOS ETIQ'!B$42&amp;"  "&amp;'DATOS ETIQ'!C$42&amp;"  "&amp;'DATOS ETIQ'!D$42&amp;'DATOS ETIQ'!Q$42</f>
        <v>#N/A</v>
      </c>
      <c r="B604" s="610"/>
      <c r="C604" s="195"/>
      <c r="D604" s="610" t="e">
        <f t="shared" si="45"/>
        <v>#N/A</v>
      </c>
      <c r="E604" s="610"/>
      <c r="J604" s="190"/>
    </row>
    <row r="605" spans="1:10" ht="14.1" customHeight="1" thickBot="1">
      <c r="A605" s="610" t="e">
        <f>IF('DATOS ETIQ'!P$42=1,"Do: "&amp;'DATOS ETIQ'!F$42&amp;"mg   VolDo: "&amp;'DATOS ETIQ'!G$42&amp;"mL","Dilución 1/"&amp;'DATOS ETIQ'!P$42&amp;"  "&amp;'DATOS ETIQ'!E$42&amp;"mg/mL   Do: "&amp;'DATOS ETIQ'!F$42&amp;"mg   VolDo: "&amp;'DATOS ETIQ'!G$42&amp;"mL")</f>
        <v>#N/A</v>
      </c>
      <c r="B605" s="610"/>
      <c r="C605" s="195"/>
      <c r="D605" s="610" t="e">
        <f t="shared" si="45"/>
        <v>#N/A</v>
      </c>
      <c r="E605" s="610"/>
      <c r="J605" s="190"/>
    </row>
    <row r="606" spans="1:10" ht="14.1" customHeight="1">
      <c r="A606" s="182" t="e">
        <f ca="1">'DATOS ETIQ'!H$42</f>
        <v>#N/A</v>
      </c>
      <c r="B606" s="183" t="str">
        <f>"Lt: "&amp;'DATOS ETIQ'!I$42</f>
        <v xml:space="preserve">Lt: </v>
      </c>
      <c r="D606" s="182" t="e">
        <f t="shared" ca="1" si="45"/>
        <v>#N/A</v>
      </c>
      <c r="E606" s="183" t="str">
        <f>B606</f>
        <v xml:space="preserve">Lt: </v>
      </c>
      <c r="G606" s="611" t="e">
        <f>'FR PD 001 V1'!T46</f>
        <v>#N/A</v>
      </c>
      <c r="J606" s="611">
        <v>41</v>
      </c>
    </row>
    <row r="607" spans="1:10" ht="14.1" customHeight="1" thickBot="1">
      <c r="A607" s="610" t="str">
        <f>'DATOS ETIQ'!J$42&amp;"  "&amp;'DATOS ETIQ'!K$42</f>
        <v xml:space="preserve">  0</v>
      </c>
      <c r="B607" s="610"/>
      <c r="C607" s="195"/>
      <c r="D607" s="610" t="str">
        <f t="shared" si="45"/>
        <v xml:space="preserve">  0</v>
      </c>
      <c r="E607" s="610"/>
      <c r="G607" s="612"/>
      <c r="J607" s="612"/>
    </row>
    <row r="608" spans="1:10" ht="14.1" customHeight="1">
      <c r="A608" s="609" t="str">
        <f>"QFP: "&amp;'DATOS ETIQ'!L$42&amp;"   QFV: "&amp;'DATOS ETIQ'!M$42</f>
        <v>QFP: JGARCIA   QFV: ADELTORO</v>
      </c>
      <c r="B608" s="609"/>
      <c r="D608" s="609" t="str">
        <f t="shared" si="45"/>
        <v>QFP: JGARCIA   QFV: ADELTORO</v>
      </c>
      <c r="E608" s="609"/>
      <c r="J608" s="190"/>
    </row>
    <row r="609" spans="1:10" ht="14.1" customHeight="1">
      <c r="A609" s="609" t="str">
        <f>'DATOS ETIQ'!N$42&amp;"   Cama: "&amp;'DATOS ETIQ'!O$42</f>
        <v>C.JPC/SEXTO NTE/SCOOP   Cama: NA</v>
      </c>
      <c r="B609" s="609"/>
      <c r="D609" s="609" t="str">
        <f t="shared" si="45"/>
        <v>C.JPC/SEXTO NTE/SCOOP   Cama: NA</v>
      </c>
      <c r="E609" s="609"/>
      <c r="J609" s="190"/>
    </row>
    <row r="610" spans="1:10" ht="14.1" customHeight="1">
      <c r="A610" s="609" t="s">
        <v>167</v>
      </c>
      <c r="B610" s="609"/>
      <c r="D610" s="609" t="str">
        <f t="shared" si="45"/>
        <v>UNIDOSSIS S.A.S.</v>
      </c>
      <c r="E610" s="609"/>
      <c r="J610" s="190"/>
    </row>
    <row r="611" spans="1:10" ht="14.1" customHeight="1">
      <c r="D611" s="194"/>
      <c r="E611" s="194"/>
      <c r="J611" s="190"/>
    </row>
    <row r="612" spans="1:10" ht="14.1" customHeight="1">
      <c r="A612" s="610" t="e">
        <f t="shared" ref="A612:A618" si="48">A604</f>
        <v>#N/A</v>
      </c>
      <c r="B612" s="610"/>
      <c r="D612" s="610" t="e">
        <f t="shared" si="45"/>
        <v>#N/A</v>
      </c>
      <c r="E612" s="610"/>
      <c r="J612" s="190"/>
    </row>
    <row r="613" spans="1:10" ht="14.1" customHeight="1">
      <c r="A613" s="610" t="e">
        <f t="shared" si="48"/>
        <v>#N/A</v>
      </c>
      <c r="B613" s="610"/>
      <c r="D613" s="610" t="e">
        <f t="shared" si="45"/>
        <v>#N/A</v>
      </c>
      <c r="E613" s="610"/>
      <c r="J613" s="190"/>
    </row>
    <row r="614" spans="1:10" ht="14.1" customHeight="1">
      <c r="A614" s="182" t="e">
        <f t="shared" ca="1" si="48"/>
        <v>#N/A</v>
      </c>
      <c r="B614" s="183" t="str">
        <f>B606</f>
        <v xml:space="preserve">Lt: </v>
      </c>
      <c r="D614" s="182" t="e">
        <f t="shared" ca="1" si="45"/>
        <v>#N/A</v>
      </c>
      <c r="E614" s="183" t="str">
        <f>B614</f>
        <v xml:space="preserve">Lt: </v>
      </c>
      <c r="J614" s="190"/>
    </row>
    <row r="615" spans="1:10" ht="14.1" customHeight="1">
      <c r="A615" s="610" t="str">
        <f t="shared" si="48"/>
        <v xml:space="preserve">  0</v>
      </c>
      <c r="B615" s="610"/>
      <c r="D615" s="610" t="str">
        <f t="shared" si="45"/>
        <v xml:space="preserve">  0</v>
      </c>
      <c r="E615" s="610"/>
      <c r="J615" s="190"/>
    </row>
    <row r="616" spans="1:10" ht="14.1" customHeight="1">
      <c r="A616" s="609" t="str">
        <f t="shared" si="48"/>
        <v>QFP: JGARCIA   QFV: ADELTORO</v>
      </c>
      <c r="B616" s="609"/>
      <c r="D616" s="609" t="str">
        <f t="shared" si="45"/>
        <v>QFP: JGARCIA   QFV: ADELTORO</v>
      </c>
      <c r="E616" s="609"/>
      <c r="J616" s="190"/>
    </row>
    <row r="617" spans="1:10" ht="14.1" customHeight="1">
      <c r="A617" s="609" t="str">
        <f t="shared" si="48"/>
        <v>C.JPC/SEXTO NTE/SCOOP   Cama: NA</v>
      </c>
      <c r="B617" s="609"/>
      <c r="D617" s="609" t="str">
        <f t="shared" si="45"/>
        <v>C.JPC/SEXTO NTE/SCOOP   Cama: NA</v>
      </c>
      <c r="E617" s="609"/>
      <c r="J617" s="190"/>
    </row>
    <row r="618" spans="1:10" ht="14.1" customHeight="1">
      <c r="A618" s="609" t="str">
        <f t="shared" si="48"/>
        <v>UNIDOSSIS S.A.S.</v>
      </c>
      <c r="B618" s="609"/>
      <c r="D618" s="609" t="str">
        <f t="shared" si="45"/>
        <v>UNIDOSSIS S.A.S.</v>
      </c>
      <c r="E618" s="609"/>
      <c r="J618" s="190"/>
    </row>
    <row r="619" spans="1:10" ht="14.1" customHeight="1">
      <c r="A619" s="610" t="e">
        <f>'DATOS ETIQ'!B$43&amp;"  "&amp;'DATOS ETIQ'!C$43&amp;"  "&amp;'DATOS ETIQ'!D$43&amp;'DATOS ETIQ'!Q$43</f>
        <v>#N/A</v>
      </c>
      <c r="B619" s="610"/>
      <c r="C619" s="195"/>
      <c r="D619" s="610" t="e">
        <f t="shared" si="45"/>
        <v>#N/A</v>
      </c>
      <c r="E619" s="610"/>
      <c r="J619" s="190"/>
    </row>
    <row r="620" spans="1:10" ht="14.1" customHeight="1" thickBot="1">
      <c r="A620" s="610" t="e">
        <f>IF('DATOS ETIQ'!P$43=1,"Do: "&amp;'DATOS ETIQ'!F$43&amp;"mg   VolDo: "&amp;'DATOS ETIQ'!G$43&amp;"mL","Dilución 1/"&amp;'DATOS ETIQ'!P$43&amp;"  "&amp;'DATOS ETIQ'!E$43&amp;"mg/mL   Do: "&amp;'DATOS ETIQ'!F$43&amp;"mg   VolDo: "&amp;'DATOS ETIQ'!G$43&amp;"mL")</f>
        <v>#N/A</v>
      </c>
      <c r="B620" s="610"/>
      <c r="C620" s="195"/>
      <c r="D620" s="610" t="e">
        <f t="shared" si="45"/>
        <v>#N/A</v>
      </c>
      <c r="E620" s="610"/>
      <c r="J620" s="190"/>
    </row>
    <row r="621" spans="1:10" ht="14.1" customHeight="1">
      <c r="A621" s="182" t="e">
        <f ca="1">'DATOS ETIQ'!H$43</f>
        <v>#N/A</v>
      </c>
      <c r="B621" s="183" t="str">
        <f>"Lt: "&amp;'DATOS ETIQ'!I$43</f>
        <v xml:space="preserve">Lt: </v>
      </c>
      <c r="D621" s="182" t="e">
        <f t="shared" ca="1" si="45"/>
        <v>#N/A</v>
      </c>
      <c r="E621" s="183" t="str">
        <f>B621</f>
        <v xml:space="preserve">Lt: </v>
      </c>
      <c r="G621" s="611" t="e">
        <f>'FR PD 001 V1'!T47</f>
        <v>#N/A</v>
      </c>
      <c r="J621" s="611">
        <v>42</v>
      </c>
    </row>
    <row r="622" spans="1:10" ht="14.1" customHeight="1" thickBot="1">
      <c r="A622" s="610" t="str">
        <f>'DATOS ETIQ'!J$43&amp;"  "&amp;'DATOS ETIQ'!K$43</f>
        <v xml:space="preserve">  0</v>
      </c>
      <c r="B622" s="610"/>
      <c r="C622" s="195"/>
      <c r="D622" s="610" t="str">
        <f t="shared" si="45"/>
        <v xml:space="preserve">  0</v>
      </c>
      <c r="E622" s="610"/>
      <c r="G622" s="612"/>
      <c r="J622" s="612"/>
    </row>
    <row r="623" spans="1:10" ht="14.1" customHeight="1">
      <c r="A623" s="609" t="str">
        <f>"QFP: "&amp;'DATOS ETIQ'!L$43&amp;"   QFV: "&amp;'DATOS ETIQ'!M$43</f>
        <v>QFP: JGARCIA   QFV: ADELTORO</v>
      </c>
      <c r="B623" s="609"/>
      <c r="D623" s="609" t="str">
        <f t="shared" si="45"/>
        <v>QFP: JGARCIA   QFV: ADELTORO</v>
      </c>
      <c r="E623" s="609"/>
      <c r="J623" s="190"/>
    </row>
    <row r="624" spans="1:10" ht="14.1" customHeight="1">
      <c r="A624" s="609" t="str">
        <f>'DATOS ETIQ'!N$43&amp;"   Cama: "&amp;'DATOS ETIQ'!O$43</f>
        <v>C.JPC/SEXTO NTE/SCOOP   Cama: NA</v>
      </c>
      <c r="B624" s="609"/>
      <c r="D624" s="609" t="str">
        <f t="shared" si="45"/>
        <v>C.JPC/SEXTO NTE/SCOOP   Cama: NA</v>
      </c>
      <c r="E624" s="609"/>
      <c r="J624" s="190"/>
    </row>
    <row r="625" spans="1:10" ht="14.1" customHeight="1">
      <c r="A625" s="609" t="s">
        <v>167</v>
      </c>
      <c r="B625" s="609"/>
      <c r="D625" s="609" t="str">
        <f t="shared" si="45"/>
        <v>UNIDOSSIS S.A.S.</v>
      </c>
      <c r="E625" s="609"/>
      <c r="J625" s="190"/>
    </row>
    <row r="626" spans="1:10" ht="14.1" customHeight="1">
      <c r="D626" s="194"/>
      <c r="E626" s="194"/>
      <c r="J626" s="190"/>
    </row>
    <row r="627" spans="1:10" ht="14.1" customHeight="1">
      <c r="A627" s="610" t="e">
        <f t="shared" ref="A627:A633" si="49">A619</f>
        <v>#N/A</v>
      </c>
      <c r="B627" s="610"/>
      <c r="D627" s="610" t="e">
        <f t="shared" si="45"/>
        <v>#N/A</v>
      </c>
      <c r="E627" s="610"/>
      <c r="J627" s="190"/>
    </row>
    <row r="628" spans="1:10" ht="14.1" customHeight="1">
      <c r="A628" s="610" t="e">
        <f t="shared" si="49"/>
        <v>#N/A</v>
      </c>
      <c r="B628" s="610"/>
      <c r="D628" s="610" t="e">
        <f t="shared" si="45"/>
        <v>#N/A</v>
      </c>
      <c r="E628" s="610"/>
      <c r="J628" s="190"/>
    </row>
    <row r="629" spans="1:10" ht="14.1" customHeight="1">
      <c r="A629" s="182" t="e">
        <f t="shared" ca="1" si="49"/>
        <v>#N/A</v>
      </c>
      <c r="B629" s="183" t="str">
        <f>B621</f>
        <v xml:space="preserve">Lt: </v>
      </c>
      <c r="D629" s="182" t="e">
        <f t="shared" ca="1" si="45"/>
        <v>#N/A</v>
      </c>
      <c r="E629" s="183" t="str">
        <f>B629</f>
        <v xml:space="preserve">Lt: </v>
      </c>
      <c r="J629" s="190"/>
    </row>
    <row r="630" spans="1:10" ht="14.1" customHeight="1">
      <c r="A630" s="610" t="str">
        <f t="shared" si="49"/>
        <v xml:space="preserve">  0</v>
      </c>
      <c r="B630" s="610"/>
      <c r="D630" s="610" t="str">
        <f t="shared" si="45"/>
        <v xml:space="preserve">  0</v>
      </c>
      <c r="E630" s="610"/>
      <c r="J630" s="190"/>
    </row>
    <row r="631" spans="1:10" ht="14.1" customHeight="1">
      <c r="A631" s="609" t="str">
        <f t="shared" si="49"/>
        <v>QFP: JGARCIA   QFV: ADELTORO</v>
      </c>
      <c r="B631" s="609"/>
      <c r="D631" s="609" t="str">
        <f t="shared" si="45"/>
        <v>QFP: JGARCIA   QFV: ADELTORO</v>
      </c>
      <c r="E631" s="609"/>
      <c r="J631" s="190"/>
    </row>
    <row r="632" spans="1:10" ht="14.1" customHeight="1">
      <c r="A632" s="609" t="str">
        <f t="shared" si="49"/>
        <v>C.JPC/SEXTO NTE/SCOOP   Cama: NA</v>
      </c>
      <c r="B632" s="609"/>
      <c r="D632" s="609" t="str">
        <f t="shared" si="45"/>
        <v>C.JPC/SEXTO NTE/SCOOP   Cama: NA</v>
      </c>
      <c r="E632" s="609"/>
      <c r="J632" s="190"/>
    </row>
    <row r="633" spans="1:10" ht="14.1" customHeight="1">
      <c r="A633" s="609" t="str">
        <f t="shared" si="49"/>
        <v>UNIDOSSIS S.A.S.</v>
      </c>
      <c r="B633" s="609"/>
      <c r="D633" s="609" t="str">
        <f t="shared" si="45"/>
        <v>UNIDOSSIS S.A.S.</v>
      </c>
      <c r="E633" s="609"/>
      <c r="J633" s="190"/>
    </row>
    <row r="634" spans="1:10" ht="14.1" customHeight="1">
      <c r="A634" s="610" t="e">
        <f>'DATOS ETIQ'!B$44&amp;"  "&amp;'DATOS ETIQ'!C$44&amp;"  "&amp;'DATOS ETIQ'!D$44&amp;'DATOS ETIQ'!Q$44</f>
        <v>#N/A</v>
      </c>
      <c r="B634" s="610"/>
      <c r="C634" s="195"/>
      <c r="D634" s="610" t="e">
        <f t="shared" si="45"/>
        <v>#N/A</v>
      </c>
      <c r="E634" s="610"/>
      <c r="J634" s="190"/>
    </row>
    <row r="635" spans="1:10" ht="14.1" customHeight="1" thickBot="1">
      <c r="A635" s="610" t="e">
        <f>IF('DATOS ETIQ'!P$44=1,"Do: "&amp;'DATOS ETIQ'!F$44&amp;"mg   VolDo: "&amp;'DATOS ETIQ'!G$44&amp;"mL","Dilución 1/"&amp;'DATOS ETIQ'!P$44&amp;"  "&amp;'DATOS ETIQ'!E$44&amp;"mg/mL   Do: "&amp;'DATOS ETIQ'!F$44&amp;"mg   VolDo: "&amp;'DATOS ETIQ'!G$44&amp;"mL")</f>
        <v>#N/A</v>
      </c>
      <c r="B635" s="610"/>
      <c r="C635" s="195"/>
      <c r="D635" s="610" t="e">
        <f t="shared" si="45"/>
        <v>#N/A</v>
      </c>
      <c r="E635" s="610"/>
      <c r="J635" s="190"/>
    </row>
    <row r="636" spans="1:10" ht="14.1" customHeight="1">
      <c r="A636" s="182" t="e">
        <f ca="1">'DATOS ETIQ'!H$44</f>
        <v>#N/A</v>
      </c>
      <c r="B636" s="183" t="str">
        <f>"Lt: "&amp;'DATOS ETIQ'!I$44</f>
        <v xml:space="preserve">Lt: </v>
      </c>
      <c r="D636" s="182" t="e">
        <f t="shared" ca="1" si="45"/>
        <v>#N/A</v>
      </c>
      <c r="E636" s="183" t="str">
        <f>B636</f>
        <v xml:space="preserve">Lt: </v>
      </c>
      <c r="G636" s="611" t="e">
        <f>'FR PD 001 V1'!T48</f>
        <v>#N/A</v>
      </c>
      <c r="J636" s="611">
        <v>43</v>
      </c>
    </row>
    <row r="637" spans="1:10" ht="14.1" customHeight="1" thickBot="1">
      <c r="A637" s="610" t="str">
        <f>'DATOS ETIQ'!J$44&amp;"  "&amp;'DATOS ETIQ'!K$44</f>
        <v xml:space="preserve">  0</v>
      </c>
      <c r="B637" s="610"/>
      <c r="C637" s="195"/>
      <c r="D637" s="610" t="str">
        <f t="shared" si="45"/>
        <v xml:space="preserve">  0</v>
      </c>
      <c r="E637" s="610"/>
      <c r="G637" s="612"/>
      <c r="J637" s="612"/>
    </row>
    <row r="638" spans="1:10" ht="14.1" customHeight="1">
      <c r="A638" s="609" t="str">
        <f>"QFP: "&amp;'DATOS ETIQ'!L$44&amp;"   QFV: "&amp;'DATOS ETIQ'!M$44</f>
        <v>QFP: JGARCIA   QFV: ADELTORO</v>
      </c>
      <c r="B638" s="609"/>
      <c r="D638" s="609" t="str">
        <f t="shared" si="45"/>
        <v>QFP: JGARCIA   QFV: ADELTORO</v>
      </c>
      <c r="E638" s="609"/>
      <c r="J638" s="190"/>
    </row>
    <row r="639" spans="1:10" ht="14.1" customHeight="1">
      <c r="A639" s="609" t="str">
        <f>'DATOS ETIQ'!N$44&amp;"   Cama: "&amp;'DATOS ETIQ'!O$44</f>
        <v>C.JPC/SEXTO NTE/SCOOP   Cama: NA</v>
      </c>
      <c r="B639" s="609"/>
      <c r="D639" s="609" t="str">
        <f t="shared" si="45"/>
        <v>C.JPC/SEXTO NTE/SCOOP   Cama: NA</v>
      </c>
      <c r="E639" s="609"/>
      <c r="J639" s="190"/>
    </row>
    <row r="640" spans="1:10" ht="14.1" customHeight="1">
      <c r="A640" s="609" t="s">
        <v>167</v>
      </c>
      <c r="B640" s="609"/>
      <c r="D640" s="609" t="str">
        <f t="shared" si="45"/>
        <v>UNIDOSSIS S.A.S.</v>
      </c>
      <c r="E640" s="609"/>
      <c r="J640" s="190"/>
    </row>
    <row r="641" spans="1:10" ht="14.1" customHeight="1">
      <c r="D641" s="194"/>
      <c r="E641" s="194"/>
      <c r="J641" s="190"/>
    </row>
    <row r="642" spans="1:10" ht="14.1" customHeight="1">
      <c r="A642" s="610" t="e">
        <f t="shared" ref="A642:A648" si="50">A634</f>
        <v>#N/A</v>
      </c>
      <c r="B642" s="610"/>
      <c r="D642" s="610" t="e">
        <f t="shared" si="45"/>
        <v>#N/A</v>
      </c>
      <c r="E642" s="610"/>
      <c r="J642" s="190"/>
    </row>
    <row r="643" spans="1:10" ht="14.1" customHeight="1">
      <c r="A643" s="610" t="e">
        <f t="shared" si="50"/>
        <v>#N/A</v>
      </c>
      <c r="B643" s="610"/>
      <c r="D643" s="610" t="e">
        <f t="shared" si="45"/>
        <v>#N/A</v>
      </c>
      <c r="E643" s="610"/>
      <c r="J643" s="190"/>
    </row>
    <row r="644" spans="1:10" ht="14.1" customHeight="1">
      <c r="A644" s="182" t="e">
        <f t="shared" ca="1" si="50"/>
        <v>#N/A</v>
      </c>
      <c r="B644" s="183" t="str">
        <f>B636</f>
        <v xml:space="preserve">Lt: </v>
      </c>
      <c r="D644" s="182" t="e">
        <f t="shared" ca="1" si="45"/>
        <v>#N/A</v>
      </c>
      <c r="E644" s="183" t="str">
        <f>B644</f>
        <v xml:space="preserve">Lt: </v>
      </c>
      <c r="J644" s="190"/>
    </row>
    <row r="645" spans="1:10" ht="14.1" customHeight="1">
      <c r="A645" s="610" t="str">
        <f t="shared" si="50"/>
        <v xml:space="preserve">  0</v>
      </c>
      <c r="B645" s="610"/>
      <c r="D645" s="610" t="str">
        <f t="shared" si="45"/>
        <v xml:space="preserve">  0</v>
      </c>
      <c r="E645" s="610"/>
      <c r="J645" s="190"/>
    </row>
    <row r="646" spans="1:10" ht="14.1" customHeight="1">
      <c r="A646" s="609" t="str">
        <f t="shared" si="50"/>
        <v>QFP: JGARCIA   QFV: ADELTORO</v>
      </c>
      <c r="B646" s="609"/>
      <c r="D646" s="609" t="str">
        <f t="shared" si="45"/>
        <v>QFP: JGARCIA   QFV: ADELTORO</v>
      </c>
      <c r="E646" s="609"/>
      <c r="J646" s="190"/>
    </row>
    <row r="647" spans="1:10" ht="14.1" customHeight="1">
      <c r="A647" s="609" t="str">
        <f t="shared" si="50"/>
        <v>C.JPC/SEXTO NTE/SCOOP   Cama: NA</v>
      </c>
      <c r="B647" s="609"/>
      <c r="D647" s="609" t="str">
        <f t="shared" si="45"/>
        <v>C.JPC/SEXTO NTE/SCOOP   Cama: NA</v>
      </c>
      <c r="E647" s="609"/>
      <c r="J647" s="190"/>
    </row>
    <row r="648" spans="1:10" ht="14.1" customHeight="1">
      <c r="A648" s="609" t="str">
        <f t="shared" si="50"/>
        <v>UNIDOSSIS S.A.S.</v>
      </c>
      <c r="B648" s="609"/>
      <c r="D648" s="609" t="str">
        <f t="shared" si="45"/>
        <v>UNIDOSSIS S.A.S.</v>
      </c>
      <c r="E648" s="609"/>
      <c r="J648" s="190"/>
    </row>
    <row r="649" spans="1:10" ht="14.1" customHeight="1">
      <c r="A649" s="610" t="e">
        <f>'DATOS ETIQ'!B$45&amp;"  "&amp;'DATOS ETIQ'!C$45&amp;"  "&amp;'DATOS ETIQ'!D$45&amp;'DATOS ETIQ'!Q$45</f>
        <v>#N/A</v>
      </c>
      <c r="B649" s="610"/>
      <c r="C649" s="195"/>
      <c r="D649" s="610" t="e">
        <f t="shared" si="45"/>
        <v>#N/A</v>
      </c>
      <c r="E649" s="610"/>
      <c r="J649" s="190"/>
    </row>
    <row r="650" spans="1:10" ht="14.1" customHeight="1" thickBot="1">
      <c r="A650" s="610" t="e">
        <f>IF('DATOS ETIQ'!P$45=1,"Do: "&amp;'DATOS ETIQ'!F$45&amp;"mg   VolDo: "&amp;'DATOS ETIQ'!G$45&amp;"mL","Dilución 1/"&amp;'DATOS ETIQ'!P$45&amp;"  "&amp;'DATOS ETIQ'!E$45&amp;"mg/mL   Do: "&amp;'DATOS ETIQ'!F$45&amp;"mg   VolDo: "&amp;'DATOS ETIQ'!G$45&amp;"mL")</f>
        <v>#N/A</v>
      </c>
      <c r="B650" s="610"/>
      <c r="C650" s="195"/>
      <c r="D650" s="610" t="e">
        <f t="shared" si="45"/>
        <v>#N/A</v>
      </c>
      <c r="E650" s="610"/>
      <c r="J650" s="190"/>
    </row>
    <row r="651" spans="1:10" ht="14.1" customHeight="1">
      <c r="A651" s="182" t="e">
        <f ca="1">'DATOS ETIQ'!H$45</f>
        <v>#N/A</v>
      </c>
      <c r="B651" s="183" t="str">
        <f>"Lt: "&amp;'DATOS ETIQ'!I$45</f>
        <v xml:space="preserve">Lt: </v>
      </c>
      <c r="D651" s="182" t="e">
        <f t="shared" ca="1" si="45"/>
        <v>#N/A</v>
      </c>
      <c r="E651" s="183" t="str">
        <f>B651</f>
        <v xml:space="preserve">Lt: </v>
      </c>
      <c r="G651" s="611" t="e">
        <f>'FR PD 001 V1'!T49</f>
        <v>#N/A</v>
      </c>
      <c r="J651" s="611">
        <v>44</v>
      </c>
    </row>
    <row r="652" spans="1:10" ht="14.1" customHeight="1" thickBot="1">
      <c r="A652" s="610" t="str">
        <f>'DATOS ETIQ'!J$45&amp;"  "&amp;'DATOS ETIQ'!K$45</f>
        <v xml:space="preserve">  0</v>
      </c>
      <c r="B652" s="610"/>
      <c r="C652" s="195"/>
      <c r="D652" s="610" t="str">
        <f t="shared" si="45"/>
        <v xml:space="preserve">  0</v>
      </c>
      <c r="E652" s="610"/>
      <c r="G652" s="612"/>
      <c r="J652" s="612"/>
    </row>
    <row r="653" spans="1:10" ht="14.1" customHeight="1">
      <c r="A653" s="609" t="str">
        <f>"QFP: "&amp;'DATOS ETIQ'!L$45&amp;"   QFV: "&amp;'DATOS ETIQ'!M$45</f>
        <v>QFP: JGARCIA   QFV: ADELTORO</v>
      </c>
      <c r="B653" s="609"/>
      <c r="D653" s="609" t="str">
        <f t="shared" si="45"/>
        <v>QFP: JGARCIA   QFV: ADELTORO</v>
      </c>
      <c r="E653" s="609"/>
    </row>
    <row r="654" spans="1:10" ht="14.1" customHeight="1">
      <c r="A654" s="609" t="str">
        <f>'DATOS ETIQ'!N$45&amp;"   Cama: "&amp;'DATOS ETIQ'!O$45</f>
        <v>C.JPC/SEXTO NTE/SCOOP   Cama: NA</v>
      </c>
      <c r="B654" s="609"/>
      <c r="D654" s="609" t="str">
        <f t="shared" si="45"/>
        <v>C.JPC/SEXTO NTE/SCOOP   Cama: NA</v>
      </c>
      <c r="E654" s="609"/>
    </row>
    <row r="655" spans="1:10" ht="14.1" customHeight="1">
      <c r="A655" s="609" t="s">
        <v>167</v>
      </c>
      <c r="B655" s="609"/>
      <c r="D655" s="609" t="str">
        <f t="shared" si="45"/>
        <v>UNIDOSSIS S.A.S.</v>
      </c>
      <c r="E655" s="609"/>
    </row>
    <row r="656" spans="1:10" ht="14.1" customHeight="1">
      <c r="D656" s="194"/>
      <c r="E656" s="194"/>
    </row>
    <row r="657" spans="1:5" ht="14.1" customHeight="1">
      <c r="A657" s="610" t="e">
        <f t="shared" ref="A657:A663" si="51">A649</f>
        <v>#N/A</v>
      </c>
      <c r="B657" s="610"/>
      <c r="D657" s="610" t="e">
        <f t="shared" ref="D657:D663" si="52">A657</f>
        <v>#N/A</v>
      </c>
      <c r="E657" s="610"/>
    </row>
    <row r="658" spans="1:5" ht="14.1" customHeight="1">
      <c r="A658" s="610" t="e">
        <f t="shared" si="51"/>
        <v>#N/A</v>
      </c>
      <c r="B658" s="610"/>
      <c r="D658" s="610" t="e">
        <f t="shared" si="52"/>
        <v>#N/A</v>
      </c>
      <c r="E658" s="610"/>
    </row>
    <row r="659" spans="1:5" ht="14.1" customHeight="1">
      <c r="A659" s="182" t="e">
        <f t="shared" ca="1" si="51"/>
        <v>#N/A</v>
      </c>
      <c r="B659" s="183" t="str">
        <f>B651</f>
        <v xml:space="preserve">Lt: </v>
      </c>
      <c r="D659" s="182" t="e">
        <f t="shared" ca="1" si="52"/>
        <v>#N/A</v>
      </c>
      <c r="E659" s="183" t="str">
        <f>B659</f>
        <v xml:space="preserve">Lt: </v>
      </c>
    </row>
    <row r="660" spans="1:5" ht="14.1" customHeight="1">
      <c r="A660" s="610" t="str">
        <f t="shared" si="51"/>
        <v xml:space="preserve">  0</v>
      </c>
      <c r="B660" s="610"/>
      <c r="D660" s="610" t="str">
        <f t="shared" si="52"/>
        <v xml:space="preserve">  0</v>
      </c>
      <c r="E660" s="610"/>
    </row>
    <row r="661" spans="1:5" ht="14.1" customHeight="1">
      <c r="A661" s="609" t="str">
        <f t="shared" si="51"/>
        <v>QFP: JGARCIA   QFV: ADELTORO</v>
      </c>
      <c r="B661" s="609"/>
      <c r="D661" s="609" t="str">
        <f t="shared" si="52"/>
        <v>QFP: JGARCIA   QFV: ADELTORO</v>
      </c>
      <c r="E661" s="609"/>
    </row>
    <row r="662" spans="1:5" ht="14.1" customHeight="1">
      <c r="A662" s="609" t="str">
        <f t="shared" si="51"/>
        <v>C.JPC/SEXTO NTE/SCOOP   Cama: NA</v>
      </c>
      <c r="B662" s="609"/>
      <c r="D662" s="609" t="str">
        <f t="shared" si="52"/>
        <v>C.JPC/SEXTO NTE/SCOOP   Cama: NA</v>
      </c>
      <c r="E662" s="609"/>
    </row>
    <row r="663" spans="1:5" ht="14.1" customHeight="1">
      <c r="A663" s="609" t="str">
        <f t="shared" si="51"/>
        <v>UNIDOSSIS S.A.S.</v>
      </c>
      <c r="B663" s="609"/>
      <c r="D663" s="609" t="str">
        <f t="shared" si="52"/>
        <v>UNIDOSSIS S.A.S.</v>
      </c>
      <c r="E663" s="609"/>
    </row>
  </sheetData>
  <mergeCells count="1147">
    <mergeCell ref="A1:E3"/>
    <mergeCell ref="G1:G3"/>
    <mergeCell ref="J1:J3"/>
    <mergeCell ref="A4:B4"/>
    <mergeCell ref="D4:E4"/>
    <mergeCell ref="A5:B5"/>
    <mergeCell ref="D5:E5"/>
    <mergeCell ref="G21:G22"/>
    <mergeCell ref="J21:J22"/>
    <mergeCell ref="A22:B22"/>
    <mergeCell ref="D22:E22"/>
    <mergeCell ref="A9:B9"/>
    <mergeCell ref="D9:E9"/>
    <mergeCell ref="A10:B10"/>
    <mergeCell ref="D10:E10"/>
    <mergeCell ref="A19:B19"/>
    <mergeCell ref="D19:E19"/>
    <mergeCell ref="A12:B12"/>
    <mergeCell ref="A13:B13"/>
    <mergeCell ref="A15:B15"/>
    <mergeCell ref="A16:B16"/>
    <mergeCell ref="G6:G7"/>
    <mergeCell ref="J6:J7"/>
    <mergeCell ref="A7:B7"/>
    <mergeCell ref="D7:E7"/>
    <mergeCell ref="A8:B8"/>
    <mergeCell ref="D8:E8"/>
    <mergeCell ref="A17:B17"/>
    <mergeCell ref="A18:B18"/>
    <mergeCell ref="D12:E12"/>
    <mergeCell ref="D13:E13"/>
    <mergeCell ref="D15:E15"/>
    <mergeCell ref="D35:E35"/>
    <mergeCell ref="G36:G37"/>
    <mergeCell ref="J36:J37"/>
    <mergeCell ref="A37:B37"/>
    <mergeCell ref="D37:E37"/>
    <mergeCell ref="A23:B23"/>
    <mergeCell ref="D23:E23"/>
    <mergeCell ref="A24:B24"/>
    <mergeCell ref="D24:E24"/>
    <mergeCell ref="A25:B25"/>
    <mergeCell ref="D25:E25"/>
    <mergeCell ref="A31:B31"/>
    <mergeCell ref="D31:E31"/>
    <mergeCell ref="A32:B32"/>
    <mergeCell ref="D32:E32"/>
    <mergeCell ref="A33:B33"/>
    <mergeCell ref="D33:E33"/>
    <mergeCell ref="A27:B27"/>
    <mergeCell ref="D27:E27"/>
    <mergeCell ref="A28:B28"/>
    <mergeCell ref="D28:E28"/>
    <mergeCell ref="A30:B30"/>
    <mergeCell ref="D30:E30"/>
    <mergeCell ref="G66:G67"/>
    <mergeCell ref="J66:J67"/>
    <mergeCell ref="A67:B67"/>
    <mergeCell ref="D67:E67"/>
    <mergeCell ref="A53:B53"/>
    <mergeCell ref="D53:E53"/>
    <mergeCell ref="A54:B54"/>
    <mergeCell ref="D54:E54"/>
    <mergeCell ref="A55:B55"/>
    <mergeCell ref="D55:E55"/>
    <mergeCell ref="A49:B49"/>
    <mergeCell ref="D49:E49"/>
    <mergeCell ref="A50:B50"/>
    <mergeCell ref="D50:E50"/>
    <mergeCell ref="G51:G52"/>
    <mergeCell ref="J51:J52"/>
    <mergeCell ref="A52:B52"/>
    <mergeCell ref="D52:E52"/>
    <mergeCell ref="A61:B61"/>
    <mergeCell ref="D61:E61"/>
    <mergeCell ref="A62:B62"/>
    <mergeCell ref="D62:E62"/>
    <mergeCell ref="A63:B63"/>
    <mergeCell ref="D63:E63"/>
    <mergeCell ref="A64:B64"/>
    <mergeCell ref="D64:E64"/>
    <mergeCell ref="A65:B65"/>
    <mergeCell ref="D65:E65"/>
    <mergeCell ref="A83:B83"/>
    <mergeCell ref="D83:E83"/>
    <mergeCell ref="A84:B84"/>
    <mergeCell ref="D84:E84"/>
    <mergeCell ref="A85:B85"/>
    <mergeCell ref="D85:E85"/>
    <mergeCell ref="A79:B79"/>
    <mergeCell ref="D79:E79"/>
    <mergeCell ref="A80:B80"/>
    <mergeCell ref="D80:E80"/>
    <mergeCell ref="G81:G82"/>
    <mergeCell ref="J81:J82"/>
    <mergeCell ref="A82:B82"/>
    <mergeCell ref="D82:E82"/>
    <mergeCell ref="A68:B68"/>
    <mergeCell ref="D68:E68"/>
    <mergeCell ref="A69:B69"/>
    <mergeCell ref="D69:E69"/>
    <mergeCell ref="A70:B70"/>
    <mergeCell ref="D70:E70"/>
    <mergeCell ref="A76:B76"/>
    <mergeCell ref="D76:E76"/>
    <mergeCell ref="A77:B77"/>
    <mergeCell ref="D77:E77"/>
    <mergeCell ref="A78:B78"/>
    <mergeCell ref="D78:E78"/>
    <mergeCell ref="A72:B72"/>
    <mergeCell ref="D72:E72"/>
    <mergeCell ref="A73:B73"/>
    <mergeCell ref="D73:E73"/>
    <mergeCell ref="A75:B75"/>
    <mergeCell ref="D75:E75"/>
    <mergeCell ref="G111:G112"/>
    <mergeCell ref="J111:J112"/>
    <mergeCell ref="A112:B112"/>
    <mergeCell ref="D112:E112"/>
    <mergeCell ref="A98:B98"/>
    <mergeCell ref="D98:E98"/>
    <mergeCell ref="A99:B99"/>
    <mergeCell ref="D99:E99"/>
    <mergeCell ref="A100:B100"/>
    <mergeCell ref="D100:E100"/>
    <mergeCell ref="A94:B94"/>
    <mergeCell ref="D94:E94"/>
    <mergeCell ref="A95:B95"/>
    <mergeCell ref="D95:E95"/>
    <mergeCell ref="G96:G97"/>
    <mergeCell ref="J96:J97"/>
    <mergeCell ref="A97:B97"/>
    <mergeCell ref="D97:E97"/>
    <mergeCell ref="A102:B102"/>
    <mergeCell ref="D102:E102"/>
    <mergeCell ref="A103:B103"/>
    <mergeCell ref="D103:E103"/>
    <mergeCell ref="A105:B105"/>
    <mergeCell ref="D105:E105"/>
    <mergeCell ref="A110:B110"/>
    <mergeCell ref="D110:E110"/>
    <mergeCell ref="A106:B106"/>
    <mergeCell ref="D106:E106"/>
    <mergeCell ref="A107:B107"/>
    <mergeCell ref="D107:E107"/>
    <mergeCell ref="A108:B108"/>
    <mergeCell ref="D108:E108"/>
    <mergeCell ref="A128:B128"/>
    <mergeCell ref="D128:E128"/>
    <mergeCell ref="A129:B129"/>
    <mergeCell ref="D129:E129"/>
    <mergeCell ref="A130:B130"/>
    <mergeCell ref="D130:E130"/>
    <mergeCell ref="A124:B124"/>
    <mergeCell ref="D124:E124"/>
    <mergeCell ref="A125:B125"/>
    <mergeCell ref="D125:E125"/>
    <mergeCell ref="G126:G127"/>
    <mergeCell ref="J126:J127"/>
    <mergeCell ref="A127:B127"/>
    <mergeCell ref="D127:E127"/>
    <mergeCell ref="A113:B113"/>
    <mergeCell ref="D113:E113"/>
    <mergeCell ref="A114:B114"/>
    <mergeCell ref="D114:E114"/>
    <mergeCell ref="A115:B115"/>
    <mergeCell ref="D115:E115"/>
    <mergeCell ref="G156:G157"/>
    <mergeCell ref="J156:J157"/>
    <mergeCell ref="A157:B157"/>
    <mergeCell ref="D157:E157"/>
    <mergeCell ref="A143:B143"/>
    <mergeCell ref="D143:E143"/>
    <mergeCell ref="A144:B144"/>
    <mergeCell ref="D144:E144"/>
    <mergeCell ref="A145:B145"/>
    <mergeCell ref="D145:E145"/>
    <mergeCell ref="A139:B139"/>
    <mergeCell ref="D139:E139"/>
    <mergeCell ref="A140:B140"/>
    <mergeCell ref="D140:E140"/>
    <mergeCell ref="G141:G142"/>
    <mergeCell ref="J141:J142"/>
    <mergeCell ref="A142:B142"/>
    <mergeCell ref="D142:E142"/>
    <mergeCell ref="A147:B147"/>
    <mergeCell ref="D147:E147"/>
    <mergeCell ref="A148:B148"/>
    <mergeCell ref="D148:E148"/>
    <mergeCell ref="A150:B150"/>
    <mergeCell ref="D150:E150"/>
    <mergeCell ref="A155:B155"/>
    <mergeCell ref="D155:E155"/>
    <mergeCell ref="A151:B151"/>
    <mergeCell ref="D151:E151"/>
    <mergeCell ref="A152:B152"/>
    <mergeCell ref="D152:E152"/>
    <mergeCell ref="A153:B153"/>
    <mergeCell ref="D153:E153"/>
    <mergeCell ref="A173:B173"/>
    <mergeCell ref="D173:E173"/>
    <mergeCell ref="A174:B174"/>
    <mergeCell ref="D174:E174"/>
    <mergeCell ref="A175:B175"/>
    <mergeCell ref="D175:E175"/>
    <mergeCell ref="A169:B169"/>
    <mergeCell ref="D169:E169"/>
    <mergeCell ref="A170:B170"/>
    <mergeCell ref="D170:E170"/>
    <mergeCell ref="G171:G172"/>
    <mergeCell ref="J171:J172"/>
    <mergeCell ref="A172:B172"/>
    <mergeCell ref="D172:E172"/>
    <mergeCell ref="A158:B158"/>
    <mergeCell ref="D158:E158"/>
    <mergeCell ref="A159:B159"/>
    <mergeCell ref="D159:E159"/>
    <mergeCell ref="A160:B160"/>
    <mergeCell ref="D160:E160"/>
    <mergeCell ref="G201:G202"/>
    <mergeCell ref="J201:J202"/>
    <mergeCell ref="A202:B202"/>
    <mergeCell ref="D202:E202"/>
    <mergeCell ref="A188:B188"/>
    <mergeCell ref="D188:E188"/>
    <mergeCell ref="A189:B189"/>
    <mergeCell ref="D189:E189"/>
    <mergeCell ref="A190:B190"/>
    <mergeCell ref="D190:E190"/>
    <mergeCell ref="A184:B184"/>
    <mergeCell ref="D184:E184"/>
    <mergeCell ref="A185:B185"/>
    <mergeCell ref="D185:E185"/>
    <mergeCell ref="G186:G187"/>
    <mergeCell ref="J186:J187"/>
    <mergeCell ref="A187:B187"/>
    <mergeCell ref="D187:E187"/>
    <mergeCell ref="A192:B192"/>
    <mergeCell ref="D192:E192"/>
    <mergeCell ref="A193:B193"/>
    <mergeCell ref="D193:E193"/>
    <mergeCell ref="A195:B195"/>
    <mergeCell ref="D195:E195"/>
    <mergeCell ref="A200:B200"/>
    <mergeCell ref="D200:E200"/>
    <mergeCell ref="A196:B196"/>
    <mergeCell ref="D196:E196"/>
    <mergeCell ref="A197:B197"/>
    <mergeCell ref="D197:E197"/>
    <mergeCell ref="A198:B198"/>
    <mergeCell ref="D198:E198"/>
    <mergeCell ref="A218:B218"/>
    <mergeCell ref="D218:E218"/>
    <mergeCell ref="A219:B219"/>
    <mergeCell ref="D219:E219"/>
    <mergeCell ref="A220:B220"/>
    <mergeCell ref="D220:E220"/>
    <mergeCell ref="A214:B214"/>
    <mergeCell ref="D214:E214"/>
    <mergeCell ref="A215:B215"/>
    <mergeCell ref="D215:E215"/>
    <mergeCell ref="G216:G217"/>
    <mergeCell ref="J216:J217"/>
    <mergeCell ref="A217:B217"/>
    <mergeCell ref="D217:E217"/>
    <mergeCell ref="A203:B203"/>
    <mergeCell ref="D203:E203"/>
    <mergeCell ref="A204:B204"/>
    <mergeCell ref="D204:E204"/>
    <mergeCell ref="A205:B205"/>
    <mergeCell ref="D205:E205"/>
    <mergeCell ref="G246:G247"/>
    <mergeCell ref="J246:J247"/>
    <mergeCell ref="A247:B247"/>
    <mergeCell ref="D247:E247"/>
    <mergeCell ref="A233:B233"/>
    <mergeCell ref="D233:E233"/>
    <mergeCell ref="A234:B234"/>
    <mergeCell ref="D234:E234"/>
    <mergeCell ref="A235:B235"/>
    <mergeCell ref="D235:E235"/>
    <mergeCell ref="A229:B229"/>
    <mergeCell ref="D229:E229"/>
    <mergeCell ref="A230:B230"/>
    <mergeCell ref="D230:E230"/>
    <mergeCell ref="G231:G232"/>
    <mergeCell ref="J231:J232"/>
    <mergeCell ref="A232:B232"/>
    <mergeCell ref="D232:E232"/>
    <mergeCell ref="A237:B237"/>
    <mergeCell ref="D237:E237"/>
    <mergeCell ref="A238:B238"/>
    <mergeCell ref="D238:E238"/>
    <mergeCell ref="A240:B240"/>
    <mergeCell ref="D240:E240"/>
    <mergeCell ref="A245:B245"/>
    <mergeCell ref="D245:E245"/>
    <mergeCell ref="A241:B241"/>
    <mergeCell ref="D241:E241"/>
    <mergeCell ref="A242:B242"/>
    <mergeCell ref="D242:E242"/>
    <mergeCell ref="A243:B243"/>
    <mergeCell ref="D243:E243"/>
    <mergeCell ref="A263:B263"/>
    <mergeCell ref="D263:E263"/>
    <mergeCell ref="A264:B264"/>
    <mergeCell ref="D264:E264"/>
    <mergeCell ref="A265:B265"/>
    <mergeCell ref="D265:E265"/>
    <mergeCell ref="A259:B259"/>
    <mergeCell ref="D259:E259"/>
    <mergeCell ref="A260:B260"/>
    <mergeCell ref="D260:E260"/>
    <mergeCell ref="G261:G262"/>
    <mergeCell ref="J261:J262"/>
    <mergeCell ref="A262:B262"/>
    <mergeCell ref="D262:E262"/>
    <mergeCell ref="A248:B248"/>
    <mergeCell ref="D248:E248"/>
    <mergeCell ref="A249:B249"/>
    <mergeCell ref="D249:E249"/>
    <mergeCell ref="A250:B250"/>
    <mergeCell ref="D250:E250"/>
    <mergeCell ref="G291:G292"/>
    <mergeCell ref="J291:J292"/>
    <mergeCell ref="A292:B292"/>
    <mergeCell ref="D292:E292"/>
    <mergeCell ref="A278:B278"/>
    <mergeCell ref="D278:E278"/>
    <mergeCell ref="A279:B279"/>
    <mergeCell ref="D279:E279"/>
    <mergeCell ref="A280:B280"/>
    <mergeCell ref="D280:E280"/>
    <mergeCell ref="A274:B274"/>
    <mergeCell ref="D274:E274"/>
    <mergeCell ref="A275:B275"/>
    <mergeCell ref="D275:E275"/>
    <mergeCell ref="G276:G277"/>
    <mergeCell ref="J276:J277"/>
    <mergeCell ref="A277:B277"/>
    <mergeCell ref="D277:E277"/>
    <mergeCell ref="A282:B282"/>
    <mergeCell ref="D282:E282"/>
    <mergeCell ref="A283:B283"/>
    <mergeCell ref="D283:E283"/>
    <mergeCell ref="A285:B285"/>
    <mergeCell ref="D285:E285"/>
    <mergeCell ref="A290:B290"/>
    <mergeCell ref="D290:E290"/>
    <mergeCell ref="A286:B286"/>
    <mergeCell ref="D286:E286"/>
    <mergeCell ref="A287:B287"/>
    <mergeCell ref="D287:E287"/>
    <mergeCell ref="A288:B288"/>
    <mergeCell ref="D288:E288"/>
    <mergeCell ref="A308:B308"/>
    <mergeCell ref="D308:E308"/>
    <mergeCell ref="A309:B309"/>
    <mergeCell ref="D309:E309"/>
    <mergeCell ref="A310:B310"/>
    <mergeCell ref="D310:E310"/>
    <mergeCell ref="A304:B304"/>
    <mergeCell ref="D304:E304"/>
    <mergeCell ref="A305:B305"/>
    <mergeCell ref="D305:E305"/>
    <mergeCell ref="G306:G307"/>
    <mergeCell ref="J306:J307"/>
    <mergeCell ref="A307:B307"/>
    <mergeCell ref="D307:E307"/>
    <mergeCell ref="A293:B293"/>
    <mergeCell ref="D293:E293"/>
    <mergeCell ref="A294:B294"/>
    <mergeCell ref="D294:E294"/>
    <mergeCell ref="A295:B295"/>
    <mergeCell ref="D295:E295"/>
    <mergeCell ref="G336:G337"/>
    <mergeCell ref="J336:J337"/>
    <mergeCell ref="A337:B337"/>
    <mergeCell ref="D337:E337"/>
    <mergeCell ref="A323:B323"/>
    <mergeCell ref="D323:E323"/>
    <mergeCell ref="A324:B324"/>
    <mergeCell ref="D324:E324"/>
    <mergeCell ref="A325:B325"/>
    <mergeCell ref="D325:E325"/>
    <mergeCell ref="A319:B319"/>
    <mergeCell ref="D319:E319"/>
    <mergeCell ref="A320:B320"/>
    <mergeCell ref="D320:E320"/>
    <mergeCell ref="G321:G322"/>
    <mergeCell ref="J321:J322"/>
    <mergeCell ref="A322:B322"/>
    <mergeCell ref="D322:E322"/>
    <mergeCell ref="A327:B327"/>
    <mergeCell ref="D327:E327"/>
    <mergeCell ref="A328:B328"/>
    <mergeCell ref="D328:E328"/>
    <mergeCell ref="A330:B330"/>
    <mergeCell ref="D330:E330"/>
    <mergeCell ref="A335:B335"/>
    <mergeCell ref="D335:E335"/>
    <mergeCell ref="A331:B331"/>
    <mergeCell ref="D331:E331"/>
    <mergeCell ref="A332:B332"/>
    <mergeCell ref="D332:E332"/>
    <mergeCell ref="A333:B333"/>
    <mergeCell ref="D333:E333"/>
    <mergeCell ref="A353:B353"/>
    <mergeCell ref="D353:E353"/>
    <mergeCell ref="A354:B354"/>
    <mergeCell ref="D354:E354"/>
    <mergeCell ref="A355:B355"/>
    <mergeCell ref="D355:E355"/>
    <mergeCell ref="A349:B349"/>
    <mergeCell ref="D349:E349"/>
    <mergeCell ref="A350:B350"/>
    <mergeCell ref="D350:E350"/>
    <mergeCell ref="G351:G352"/>
    <mergeCell ref="J351:J352"/>
    <mergeCell ref="A352:B352"/>
    <mergeCell ref="D352:E352"/>
    <mergeCell ref="A338:B338"/>
    <mergeCell ref="D338:E338"/>
    <mergeCell ref="A339:B339"/>
    <mergeCell ref="D339:E339"/>
    <mergeCell ref="A340:B340"/>
    <mergeCell ref="D340:E340"/>
    <mergeCell ref="G381:G382"/>
    <mergeCell ref="J381:J382"/>
    <mergeCell ref="A382:B382"/>
    <mergeCell ref="D382:E382"/>
    <mergeCell ref="A368:B368"/>
    <mergeCell ref="D368:E368"/>
    <mergeCell ref="A369:B369"/>
    <mergeCell ref="D369:E369"/>
    <mergeCell ref="A370:B370"/>
    <mergeCell ref="D370:E370"/>
    <mergeCell ref="A364:B364"/>
    <mergeCell ref="D364:E364"/>
    <mergeCell ref="A365:B365"/>
    <mergeCell ref="D365:E365"/>
    <mergeCell ref="G366:G367"/>
    <mergeCell ref="J366:J367"/>
    <mergeCell ref="A367:B367"/>
    <mergeCell ref="D367:E367"/>
    <mergeCell ref="A372:B372"/>
    <mergeCell ref="D372:E372"/>
    <mergeCell ref="A373:B373"/>
    <mergeCell ref="D373:E373"/>
    <mergeCell ref="A375:B375"/>
    <mergeCell ref="D375:E375"/>
    <mergeCell ref="A380:B380"/>
    <mergeCell ref="D380:E380"/>
    <mergeCell ref="A376:B376"/>
    <mergeCell ref="D376:E376"/>
    <mergeCell ref="A377:B377"/>
    <mergeCell ref="D377:E377"/>
    <mergeCell ref="A378:B378"/>
    <mergeCell ref="D378:E378"/>
    <mergeCell ref="A398:B398"/>
    <mergeCell ref="D398:E398"/>
    <mergeCell ref="A399:B399"/>
    <mergeCell ref="D399:E399"/>
    <mergeCell ref="A400:B400"/>
    <mergeCell ref="D400:E400"/>
    <mergeCell ref="A394:B394"/>
    <mergeCell ref="D394:E394"/>
    <mergeCell ref="A395:B395"/>
    <mergeCell ref="D395:E395"/>
    <mergeCell ref="G396:G397"/>
    <mergeCell ref="J396:J397"/>
    <mergeCell ref="A397:B397"/>
    <mergeCell ref="D397:E397"/>
    <mergeCell ref="A383:B383"/>
    <mergeCell ref="D383:E383"/>
    <mergeCell ref="A384:B384"/>
    <mergeCell ref="D384:E384"/>
    <mergeCell ref="A385:B385"/>
    <mergeCell ref="D385:E385"/>
    <mergeCell ref="G426:G427"/>
    <mergeCell ref="J426:J427"/>
    <mergeCell ref="A427:B427"/>
    <mergeCell ref="D427:E427"/>
    <mergeCell ref="A413:B413"/>
    <mergeCell ref="D413:E413"/>
    <mergeCell ref="A414:B414"/>
    <mergeCell ref="D414:E414"/>
    <mergeCell ref="A415:B415"/>
    <mergeCell ref="D415:E415"/>
    <mergeCell ref="A409:B409"/>
    <mergeCell ref="D409:E409"/>
    <mergeCell ref="A410:B410"/>
    <mergeCell ref="D410:E410"/>
    <mergeCell ref="G411:G412"/>
    <mergeCell ref="J411:J412"/>
    <mergeCell ref="A412:B412"/>
    <mergeCell ref="D412:E412"/>
    <mergeCell ref="A417:B417"/>
    <mergeCell ref="D417:E417"/>
    <mergeCell ref="A418:B418"/>
    <mergeCell ref="D418:E418"/>
    <mergeCell ref="A420:B420"/>
    <mergeCell ref="D420:E420"/>
    <mergeCell ref="A425:B425"/>
    <mergeCell ref="D425:E425"/>
    <mergeCell ref="A421:B421"/>
    <mergeCell ref="D421:E421"/>
    <mergeCell ref="A422:B422"/>
    <mergeCell ref="D422:E422"/>
    <mergeCell ref="A423:B423"/>
    <mergeCell ref="D423:E423"/>
    <mergeCell ref="A443:B443"/>
    <mergeCell ref="D443:E443"/>
    <mergeCell ref="A444:B444"/>
    <mergeCell ref="D444:E444"/>
    <mergeCell ref="A445:B445"/>
    <mergeCell ref="D445:E445"/>
    <mergeCell ref="A439:B439"/>
    <mergeCell ref="D439:E439"/>
    <mergeCell ref="A440:B440"/>
    <mergeCell ref="D440:E440"/>
    <mergeCell ref="G441:G442"/>
    <mergeCell ref="J441:J442"/>
    <mergeCell ref="A442:B442"/>
    <mergeCell ref="D442:E442"/>
    <mergeCell ref="A428:B428"/>
    <mergeCell ref="D428:E428"/>
    <mergeCell ref="A429:B429"/>
    <mergeCell ref="D429:E429"/>
    <mergeCell ref="A430:B430"/>
    <mergeCell ref="D430:E430"/>
    <mergeCell ref="G471:G472"/>
    <mergeCell ref="J471:J472"/>
    <mergeCell ref="A472:B472"/>
    <mergeCell ref="D472:E472"/>
    <mergeCell ref="A458:B458"/>
    <mergeCell ref="D458:E458"/>
    <mergeCell ref="A459:B459"/>
    <mergeCell ref="D459:E459"/>
    <mergeCell ref="A460:B460"/>
    <mergeCell ref="D460:E460"/>
    <mergeCell ref="A454:B454"/>
    <mergeCell ref="D454:E454"/>
    <mergeCell ref="A455:B455"/>
    <mergeCell ref="D455:E455"/>
    <mergeCell ref="G456:G457"/>
    <mergeCell ref="J456:J457"/>
    <mergeCell ref="A457:B457"/>
    <mergeCell ref="D457:E457"/>
    <mergeCell ref="A462:B462"/>
    <mergeCell ref="D462:E462"/>
    <mergeCell ref="A463:B463"/>
    <mergeCell ref="D463:E463"/>
    <mergeCell ref="A465:B465"/>
    <mergeCell ref="D465:E465"/>
    <mergeCell ref="A470:B470"/>
    <mergeCell ref="D470:E470"/>
    <mergeCell ref="A466:B466"/>
    <mergeCell ref="D466:E466"/>
    <mergeCell ref="A467:B467"/>
    <mergeCell ref="D467:E467"/>
    <mergeCell ref="A468:B468"/>
    <mergeCell ref="D468:E468"/>
    <mergeCell ref="A488:B488"/>
    <mergeCell ref="D488:E488"/>
    <mergeCell ref="A489:B489"/>
    <mergeCell ref="D489:E489"/>
    <mergeCell ref="A490:B490"/>
    <mergeCell ref="D490:E490"/>
    <mergeCell ref="A484:B484"/>
    <mergeCell ref="D484:E484"/>
    <mergeCell ref="A485:B485"/>
    <mergeCell ref="D485:E485"/>
    <mergeCell ref="G486:G487"/>
    <mergeCell ref="J486:J487"/>
    <mergeCell ref="A487:B487"/>
    <mergeCell ref="D487:E487"/>
    <mergeCell ref="A473:B473"/>
    <mergeCell ref="D473:E473"/>
    <mergeCell ref="A474:B474"/>
    <mergeCell ref="D474:E474"/>
    <mergeCell ref="A475:B475"/>
    <mergeCell ref="D475:E475"/>
    <mergeCell ref="G501:G502"/>
    <mergeCell ref="J501:J502"/>
    <mergeCell ref="A502:B502"/>
    <mergeCell ref="D502:E502"/>
    <mergeCell ref="A507:B507"/>
    <mergeCell ref="D507:E507"/>
    <mergeCell ref="A508:B508"/>
    <mergeCell ref="D508:E508"/>
    <mergeCell ref="A510:B510"/>
    <mergeCell ref="D510:E510"/>
    <mergeCell ref="A515:B515"/>
    <mergeCell ref="D515:E515"/>
    <mergeCell ref="A511:B511"/>
    <mergeCell ref="D511:E511"/>
    <mergeCell ref="A512:B512"/>
    <mergeCell ref="D512:E512"/>
    <mergeCell ref="A513:B513"/>
    <mergeCell ref="D513:E513"/>
    <mergeCell ref="G531:G532"/>
    <mergeCell ref="J531:J532"/>
    <mergeCell ref="A532:B532"/>
    <mergeCell ref="D532:E532"/>
    <mergeCell ref="A518:B518"/>
    <mergeCell ref="D518:E518"/>
    <mergeCell ref="A519:B519"/>
    <mergeCell ref="D519:E519"/>
    <mergeCell ref="A520:B520"/>
    <mergeCell ref="D520:E520"/>
    <mergeCell ref="G516:G517"/>
    <mergeCell ref="J516:J517"/>
    <mergeCell ref="A517:B517"/>
    <mergeCell ref="D517:E517"/>
    <mergeCell ref="A503:B503"/>
    <mergeCell ref="D503:E503"/>
    <mergeCell ref="A504:B504"/>
    <mergeCell ref="D504:E504"/>
    <mergeCell ref="A505:B505"/>
    <mergeCell ref="D505:E505"/>
    <mergeCell ref="A556:B556"/>
    <mergeCell ref="D556:E556"/>
    <mergeCell ref="A557:B557"/>
    <mergeCell ref="D557:E557"/>
    <mergeCell ref="A558:B558"/>
    <mergeCell ref="D558:E558"/>
    <mergeCell ref="A533:B533"/>
    <mergeCell ref="D533:E533"/>
    <mergeCell ref="A534:B534"/>
    <mergeCell ref="D534:E534"/>
    <mergeCell ref="A535:B535"/>
    <mergeCell ref="D535:E535"/>
    <mergeCell ref="A529:B529"/>
    <mergeCell ref="D529:E529"/>
    <mergeCell ref="A530:B530"/>
    <mergeCell ref="D530:E530"/>
    <mergeCell ref="A548:B548"/>
    <mergeCell ref="D548:E548"/>
    <mergeCell ref="A549:B549"/>
    <mergeCell ref="D549:E549"/>
    <mergeCell ref="A550:B550"/>
    <mergeCell ref="D550:E550"/>
    <mergeCell ref="A544:B544"/>
    <mergeCell ref="D544:E544"/>
    <mergeCell ref="A545:B545"/>
    <mergeCell ref="D545:E545"/>
    <mergeCell ref="G546:G547"/>
    <mergeCell ref="J546:J547"/>
    <mergeCell ref="A547:B547"/>
    <mergeCell ref="D547:E547"/>
    <mergeCell ref="A552:B552"/>
    <mergeCell ref="D552:E552"/>
    <mergeCell ref="A553:B553"/>
    <mergeCell ref="D553:E553"/>
    <mergeCell ref="A580:B580"/>
    <mergeCell ref="D580:E580"/>
    <mergeCell ref="A574:B574"/>
    <mergeCell ref="D574:E574"/>
    <mergeCell ref="A575:B575"/>
    <mergeCell ref="D575:E575"/>
    <mergeCell ref="G576:G577"/>
    <mergeCell ref="J576:J577"/>
    <mergeCell ref="A577:B577"/>
    <mergeCell ref="D577:E577"/>
    <mergeCell ref="A563:B563"/>
    <mergeCell ref="D563:E563"/>
    <mergeCell ref="A564:B564"/>
    <mergeCell ref="D564:E564"/>
    <mergeCell ref="A565:B565"/>
    <mergeCell ref="D565:E565"/>
    <mergeCell ref="G561:G562"/>
    <mergeCell ref="J561:J562"/>
    <mergeCell ref="A562:B562"/>
    <mergeCell ref="D562:E562"/>
    <mergeCell ref="A555:B555"/>
    <mergeCell ref="D555:E555"/>
    <mergeCell ref="A560:B560"/>
    <mergeCell ref="D560:E560"/>
    <mergeCell ref="G606:G607"/>
    <mergeCell ref="J606:J607"/>
    <mergeCell ref="A607:B607"/>
    <mergeCell ref="D607:E607"/>
    <mergeCell ref="A593:B593"/>
    <mergeCell ref="D593:E593"/>
    <mergeCell ref="A594:B594"/>
    <mergeCell ref="D594:E594"/>
    <mergeCell ref="A595:B595"/>
    <mergeCell ref="D595:E595"/>
    <mergeCell ref="A589:B589"/>
    <mergeCell ref="D589:E589"/>
    <mergeCell ref="A590:B590"/>
    <mergeCell ref="D590:E590"/>
    <mergeCell ref="G591:G592"/>
    <mergeCell ref="J591:J592"/>
    <mergeCell ref="A592:B592"/>
    <mergeCell ref="D592:E592"/>
    <mergeCell ref="A597:B597"/>
    <mergeCell ref="D597:E597"/>
    <mergeCell ref="A598:B598"/>
    <mergeCell ref="D598:E598"/>
    <mergeCell ref="A600:B600"/>
    <mergeCell ref="D600:E600"/>
    <mergeCell ref="A605:B605"/>
    <mergeCell ref="D605:E605"/>
    <mergeCell ref="A601:B601"/>
    <mergeCell ref="D601:E601"/>
    <mergeCell ref="A602:B602"/>
    <mergeCell ref="D602:E602"/>
    <mergeCell ref="A603:B603"/>
    <mergeCell ref="D603:E603"/>
    <mergeCell ref="A623:B623"/>
    <mergeCell ref="D623:E623"/>
    <mergeCell ref="A624:B624"/>
    <mergeCell ref="D624:E624"/>
    <mergeCell ref="A625:B625"/>
    <mergeCell ref="D625:E625"/>
    <mergeCell ref="A619:B619"/>
    <mergeCell ref="D619:E619"/>
    <mergeCell ref="A620:B620"/>
    <mergeCell ref="D620:E620"/>
    <mergeCell ref="G621:G622"/>
    <mergeCell ref="J621:J622"/>
    <mergeCell ref="A622:B622"/>
    <mergeCell ref="D622:E622"/>
    <mergeCell ref="A608:B608"/>
    <mergeCell ref="D608:E608"/>
    <mergeCell ref="A609:B609"/>
    <mergeCell ref="D609:E609"/>
    <mergeCell ref="A610:B610"/>
    <mergeCell ref="D610:E610"/>
    <mergeCell ref="G651:G652"/>
    <mergeCell ref="J651:J652"/>
    <mergeCell ref="A652:B652"/>
    <mergeCell ref="D652:E652"/>
    <mergeCell ref="A638:B638"/>
    <mergeCell ref="D638:E638"/>
    <mergeCell ref="A639:B639"/>
    <mergeCell ref="D639:E639"/>
    <mergeCell ref="A640:B640"/>
    <mergeCell ref="D640:E640"/>
    <mergeCell ref="A634:B634"/>
    <mergeCell ref="D634:E634"/>
    <mergeCell ref="A635:B635"/>
    <mergeCell ref="D635:E635"/>
    <mergeCell ref="G636:G637"/>
    <mergeCell ref="J636:J637"/>
    <mergeCell ref="A637:B637"/>
    <mergeCell ref="D637:E637"/>
    <mergeCell ref="A642:B642"/>
    <mergeCell ref="D642:E642"/>
    <mergeCell ref="A643:B643"/>
    <mergeCell ref="D643:E643"/>
    <mergeCell ref="A645:B645"/>
    <mergeCell ref="D645:E645"/>
    <mergeCell ref="D16:E16"/>
    <mergeCell ref="D17:E17"/>
    <mergeCell ref="D18:E18"/>
    <mergeCell ref="A20:B20"/>
    <mergeCell ref="D20:E20"/>
    <mergeCell ref="A57:B57"/>
    <mergeCell ref="D57:E57"/>
    <mergeCell ref="A58:B58"/>
    <mergeCell ref="D58:E58"/>
    <mergeCell ref="A60:B60"/>
    <mergeCell ref="D60:E60"/>
    <mergeCell ref="A46:B46"/>
    <mergeCell ref="D46:E46"/>
    <mergeCell ref="A47:B47"/>
    <mergeCell ref="D47:E47"/>
    <mergeCell ref="A48:B48"/>
    <mergeCell ref="D48:E48"/>
    <mergeCell ref="A42:B42"/>
    <mergeCell ref="D42:E42"/>
    <mergeCell ref="A43:B43"/>
    <mergeCell ref="D43:E43"/>
    <mergeCell ref="A45:B45"/>
    <mergeCell ref="D45:E45"/>
    <mergeCell ref="A38:B38"/>
    <mergeCell ref="D38:E38"/>
    <mergeCell ref="A39:B39"/>
    <mergeCell ref="D39:E39"/>
    <mergeCell ref="A40:B40"/>
    <mergeCell ref="D40:E40"/>
    <mergeCell ref="A34:B34"/>
    <mergeCell ref="D34:E34"/>
    <mergeCell ref="A35:B35"/>
    <mergeCell ref="A91:B91"/>
    <mergeCell ref="D91:E91"/>
    <mergeCell ref="A92:B92"/>
    <mergeCell ref="D92:E92"/>
    <mergeCell ref="A93:B93"/>
    <mergeCell ref="D93:E93"/>
    <mergeCell ref="A87:B87"/>
    <mergeCell ref="D87:E87"/>
    <mergeCell ref="A88:B88"/>
    <mergeCell ref="D88:E88"/>
    <mergeCell ref="A90:B90"/>
    <mergeCell ref="D90:E90"/>
    <mergeCell ref="A121:B121"/>
    <mergeCell ref="D121:E121"/>
    <mergeCell ref="A122:B122"/>
    <mergeCell ref="D122:E122"/>
    <mergeCell ref="A123:B123"/>
    <mergeCell ref="D123:E123"/>
    <mergeCell ref="A117:B117"/>
    <mergeCell ref="D117:E117"/>
    <mergeCell ref="A118:B118"/>
    <mergeCell ref="D118:E118"/>
    <mergeCell ref="A120:B120"/>
    <mergeCell ref="D120:E120"/>
    <mergeCell ref="A109:B109"/>
    <mergeCell ref="D109:E109"/>
    <mergeCell ref="A136:B136"/>
    <mergeCell ref="D136:E136"/>
    <mergeCell ref="A137:B137"/>
    <mergeCell ref="D137:E137"/>
    <mergeCell ref="A138:B138"/>
    <mergeCell ref="D138:E138"/>
    <mergeCell ref="A132:B132"/>
    <mergeCell ref="D132:E132"/>
    <mergeCell ref="A133:B133"/>
    <mergeCell ref="D133:E133"/>
    <mergeCell ref="A135:B135"/>
    <mergeCell ref="D135:E135"/>
    <mergeCell ref="A166:B166"/>
    <mergeCell ref="D166:E166"/>
    <mergeCell ref="A167:B167"/>
    <mergeCell ref="D167:E167"/>
    <mergeCell ref="A168:B168"/>
    <mergeCell ref="D168:E168"/>
    <mergeCell ref="A162:B162"/>
    <mergeCell ref="D162:E162"/>
    <mergeCell ref="A163:B163"/>
    <mergeCell ref="D163:E163"/>
    <mergeCell ref="A165:B165"/>
    <mergeCell ref="D165:E165"/>
    <mergeCell ref="A154:B154"/>
    <mergeCell ref="D154:E154"/>
    <mergeCell ref="A181:B181"/>
    <mergeCell ref="D181:E181"/>
    <mergeCell ref="A182:B182"/>
    <mergeCell ref="D182:E182"/>
    <mergeCell ref="A183:B183"/>
    <mergeCell ref="D183:E183"/>
    <mergeCell ref="A177:B177"/>
    <mergeCell ref="D177:E177"/>
    <mergeCell ref="A178:B178"/>
    <mergeCell ref="D178:E178"/>
    <mergeCell ref="A180:B180"/>
    <mergeCell ref="D180:E180"/>
    <mergeCell ref="A211:B211"/>
    <mergeCell ref="D211:E211"/>
    <mergeCell ref="A212:B212"/>
    <mergeCell ref="D212:E212"/>
    <mergeCell ref="A213:B213"/>
    <mergeCell ref="D213:E213"/>
    <mergeCell ref="A207:B207"/>
    <mergeCell ref="D207:E207"/>
    <mergeCell ref="A208:B208"/>
    <mergeCell ref="D208:E208"/>
    <mergeCell ref="A210:B210"/>
    <mergeCell ref="D210:E210"/>
    <mergeCell ref="A199:B199"/>
    <mergeCell ref="D199:E199"/>
    <mergeCell ref="A226:B226"/>
    <mergeCell ref="D226:E226"/>
    <mergeCell ref="A227:B227"/>
    <mergeCell ref="D227:E227"/>
    <mergeCell ref="A228:B228"/>
    <mergeCell ref="D228:E228"/>
    <mergeCell ref="A222:B222"/>
    <mergeCell ref="D222:E222"/>
    <mergeCell ref="A223:B223"/>
    <mergeCell ref="D223:E223"/>
    <mergeCell ref="A225:B225"/>
    <mergeCell ref="D225:E225"/>
    <mergeCell ref="A256:B256"/>
    <mergeCell ref="D256:E256"/>
    <mergeCell ref="A257:B257"/>
    <mergeCell ref="D257:E257"/>
    <mergeCell ref="A258:B258"/>
    <mergeCell ref="D258:E258"/>
    <mergeCell ref="A252:B252"/>
    <mergeCell ref="D252:E252"/>
    <mergeCell ref="A253:B253"/>
    <mergeCell ref="D253:E253"/>
    <mergeCell ref="A255:B255"/>
    <mergeCell ref="D255:E255"/>
    <mergeCell ref="A244:B244"/>
    <mergeCell ref="D244:E244"/>
    <mergeCell ref="A271:B271"/>
    <mergeCell ref="D271:E271"/>
    <mergeCell ref="A272:B272"/>
    <mergeCell ref="D272:E272"/>
    <mergeCell ref="A273:B273"/>
    <mergeCell ref="D273:E273"/>
    <mergeCell ref="A267:B267"/>
    <mergeCell ref="D267:E267"/>
    <mergeCell ref="A268:B268"/>
    <mergeCell ref="D268:E268"/>
    <mergeCell ref="A270:B270"/>
    <mergeCell ref="D270:E270"/>
    <mergeCell ref="A301:B301"/>
    <mergeCell ref="D301:E301"/>
    <mergeCell ref="A302:B302"/>
    <mergeCell ref="D302:E302"/>
    <mergeCell ref="A303:B303"/>
    <mergeCell ref="D303:E303"/>
    <mergeCell ref="A297:B297"/>
    <mergeCell ref="D297:E297"/>
    <mergeCell ref="A298:B298"/>
    <mergeCell ref="D298:E298"/>
    <mergeCell ref="A300:B300"/>
    <mergeCell ref="D300:E300"/>
    <mergeCell ref="A289:B289"/>
    <mergeCell ref="D289:E289"/>
    <mergeCell ref="A316:B316"/>
    <mergeCell ref="D316:E316"/>
    <mergeCell ref="A317:B317"/>
    <mergeCell ref="D317:E317"/>
    <mergeCell ref="A318:B318"/>
    <mergeCell ref="D318:E318"/>
    <mergeCell ref="A312:B312"/>
    <mergeCell ref="D312:E312"/>
    <mergeCell ref="A313:B313"/>
    <mergeCell ref="D313:E313"/>
    <mergeCell ref="A315:B315"/>
    <mergeCell ref="D315:E315"/>
    <mergeCell ref="A346:B346"/>
    <mergeCell ref="D346:E346"/>
    <mergeCell ref="A347:B347"/>
    <mergeCell ref="D347:E347"/>
    <mergeCell ref="A348:B348"/>
    <mergeCell ref="D348:E348"/>
    <mergeCell ref="A342:B342"/>
    <mergeCell ref="D342:E342"/>
    <mergeCell ref="A343:B343"/>
    <mergeCell ref="D343:E343"/>
    <mergeCell ref="A345:B345"/>
    <mergeCell ref="D345:E345"/>
    <mergeCell ref="A334:B334"/>
    <mergeCell ref="D334:E334"/>
    <mergeCell ref="A361:B361"/>
    <mergeCell ref="D361:E361"/>
    <mergeCell ref="A362:B362"/>
    <mergeCell ref="D362:E362"/>
    <mergeCell ref="A363:B363"/>
    <mergeCell ref="D363:E363"/>
    <mergeCell ref="A357:B357"/>
    <mergeCell ref="D357:E357"/>
    <mergeCell ref="A358:B358"/>
    <mergeCell ref="D358:E358"/>
    <mergeCell ref="A360:B360"/>
    <mergeCell ref="D360:E360"/>
    <mergeCell ref="A391:B391"/>
    <mergeCell ref="D391:E391"/>
    <mergeCell ref="A392:B392"/>
    <mergeCell ref="D392:E392"/>
    <mergeCell ref="A393:B393"/>
    <mergeCell ref="D393:E393"/>
    <mergeCell ref="A387:B387"/>
    <mergeCell ref="D387:E387"/>
    <mergeCell ref="A388:B388"/>
    <mergeCell ref="D388:E388"/>
    <mergeCell ref="A390:B390"/>
    <mergeCell ref="D390:E390"/>
    <mergeCell ref="A379:B379"/>
    <mergeCell ref="D379:E379"/>
    <mergeCell ref="A406:B406"/>
    <mergeCell ref="D406:E406"/>
    <mergeCell ref="A407:B407"/>
    <mergeCell ref="D407:E407"/>
    <mergeCell ref="A408:B408"/>
    <mergeCell ref="D408:E408"/>
    <mergeCell ref="A402:B402"/>
    <mergeCell ref="D402:E402"/>
    <mergeCell ref="A403:B403"/>
    <mergeCell ref="D403:E403"/>
    <mergeCell ref="A405:B405"/>
    <mergeCell ref="D405:E405"/>
    <mergeCell ref="A436:B436"/>
    <mergeCell ref="D436:E436"/>
    <mergeCell ref="A437:B437"/>
    <mergeCell ref="D437:E437"/>
    <mergeCell ref="A438:B438"/>
    <mergeCell ref="D438:E438"/>
    <mergeCell ref="A432:B432"/>
    <mergeCell ref="D432:E432"/>
    <mergeCell ref="A433:B433"/>
    <mergeCell ref="D433:E433"/>
    <mergeCell ref="A435:B435"/>
    <mergeCell ref="D435:E435"/>
    <mergeCell ref="A424:B424"/>
    <mergeCell ref="D424:E424"/>
    <mergeCell ref="A451:B451"/>
    <mergeCell ref="D451:E451"/>
    <mergeCell ref="A452:B452"/>
    <mergeCell ref="D452:E452"/>
    <mergeCell ref="A453:B453"/>
    <mergeCell ref="D453:E453"/>
    <mergeCell ref="A447:B447"/>
    <mergeCell ref="D447:E447"/>
    <mergeCell ref="A448:B448"/>
    <mergeCell ref="D448:E448"/>
    <mergeCell ref="A450:B450"/>
    <mergeCell ref="D450:E450"/>
    <mergeCell ref="A481:B481"/>
    <mergeCell ref="D481:E481"/>
    <mergeCell ref="A482:B482"/>
    <mergeCell ref="D482:E482"/>
    <mergeCell ref="A483:B483"/>
    <mergeCell ref="D483:E483"/>
    <mergeCell ref="A477:B477"/>
    <mergeCell ref="D477:E477"/>
    <mergeCell ref="A478:B478"/>
    <mergeCell ref="D478:E478"/>
    <mergeCell ref="A480:B480"/>
    <mergeCell ref="D480:E480"/>
    <mergeCell ref="A469:B469"/>
    <mergeCell ref="D469:E469"/>
    <mergeCell ref="A496:B496"/>
    <mergeCell ref="D496:E496"/>
    <mergeCell ref="A497:B497"/>
    <mergeCell ref="D497:E497"/>
    <mergeCell ref="A498:B498"/>
    <mergeCell ref="D498:E498"/>
    <mergeCell ref="A492:B492"/>
    <mergeCell ref="D492:E492"/>
    <mergeCell ref="A493:B493"/>
    <mergeCell ref="D493:E493"/>
    <mergeCell ref="A495:B495"/>
    <mergeCell ref="D495:E495"/>
    <mergeCell ref="A526:B526"/>
    <mergeCell ref="D526:E526"/>
    <mergeCell ref="A527:B527"/>
    <mergeCell ref="D527:E527"/>
    <mergeCell ref="A528:B528"/>
    <mergeCell ref="D528:E528"/>
    <mergeCell ref="A522:B522"/>
    <mergeCell ref="D522:E522"/>
    <mergeCell ref="A523:B523"/>
    <mergeCell ref="D523:E523"/>
    <mergeCell ref="A525:B525"/>
    <mergeCell ref="D525:E525"/>
    <mergeCell ref="A514:B514"/>
    <mergeCell ref="D514:E514"/>
    <mergeCell ref="A499:B499"/>
    <mergeCell ref="D499:E499"/>
    <mergeCell ref="A500:B500"/>
    <mergeCell ref="D500:E500"/>
    <mergeCell ref="A604:B604"/>
    <mergeCell ref="D604:E604"/>
    <mergeCell ref="A541:B541"/>
    <mergeCell ref="D541:E541"/>
    <mergeCell ref="A542:B542"/>
    <mergeCell ref="D542:E542"/>
    <mergeCell ref="A543:B543"/>
    <mergeCell ref="D543:E543"/>
    <mergeCell ref="A537:B537"/>
    <mergeCell ref="D537:E537"/>
    <mergeCell ref="A538:B538"/>
    <mergeCell ref="D538:E538"/>
    <mergeCell ref="A540:B540"/>
    <mergeCell ref="D540:E540"/>
    <mergeCell ref="A571:B571"/>
    <mergeCell ref="D571:E571"/>
    <mergeCell ref="A572:B572"/>
    <mergeCell ref="D572:E572"/>
    <mergeCell ref="A573:B573"/>
    <mergeCell ref="D573:E573"/>
    <mergeCell ref="A567:B567"/>
    <mergeCell ref="D567:E567"/>
    <mergeCell ref="A568:B568"/>
    <mergeCell ref="D568:E568"/>
    <mergeCell ref="A570:B570"/>
    <mergeCell ref="D570:E570"/>
    <mergeCell ref="A559:B559"/>
    <mergeCell ref="D559:E559"/>
    <mergeCell ref="A578:B578"/>
    <mergeCell ref="D578:E578"/>
    <mergeCell ref="A579:B579"/>
    <mergeCell ref="D579:E579"/>
    <mergeCell ref="A654:B654"/>
    <mergeCell ref="D654:E654"/>
    <mergeCell ref="A655:B655"/>
    <mergeCell ref="D655:E655"/>
    <mergeCell ref="A649:B649"/>
    <mergeCell ref="D649:E649"/>
    <mergeCell ref="A650:B650"/>
    <mergeCell ref="D650:E650"/>
    <mergeCell ref="A586:B586"/>
    <mergeCell ref="D586:E586"/>
    <mergeCell ref="A587:B587"/>
    <mergeCell ref="D587:E587"/>
    <mergeCell ref="A588:B588"/>
    <mergeCell ref="D588:E588"/>
    <mergeCell ref="A582:B582"/>
    <mergeCell ref="D582:E582"/>
    <mergeCell ref="A583:B583"/>
    <mergeCell ref="D583:E583"/>
    <mergeCell ref="A585:B585"/>
    <mergeCell ref="D585:E585"/>
    <mergeCell ref="A616:B616"/>
    <mergeCell ref="D616:E616"/>
    <mergeCell ref="A617:B617"/>
    <mergeCell ref="D617:E617"/>
    <mergeCell ref="A618:B618"/>
    <mergeCell ref="D618:E618"/>
    <mergeCell ref="A612:B612"/>
    <mergeCell ref="D612:E612"/>
    <mergeCell ref="A613:B613"/>
    <mergeCell ref="D613:E613"/>
    <mergeCell ref="A615:B615"/>
    <mergeCell ref="D615:E615"/>
    <mergeCell ref="A631:B631"/>
    <mergeCell ref="D631:E631"/>
    <mergeCell ref="A632:B632"/>
    <mergeCell ref="D632:E632"/>
    <mergeCell ref="A633:B633"/>
    <mergeCell ref="D633:E633"/>
    <mergeCell ref="A627:B627"/>
    <mergeCell ref="D627:E627"/>
    <mergeCell ref="A628:B628"/>
    <mergeCell ref="D628:E628"/>
    <mergeCell ref="A630:B630"/>
    <mergeCell ref="D630:E630"/>
    <mergeCell ref="A661:B661"/>
    <mergeCell ref="D661:E661"/>
    <mergeCell ref="A662:B662"/>
    <mergeCell ref="D662:E662"/>
    <mergeCell ref="A663:B663"/>
    <mergeCell ref="D663:E663"/>
    <mergeCell ref="A657:B657"/>
    <mergeCell ref="D657:E657"/>
    <mergeCell ref="A658:B658"/>
    <mergeCell ref="D658:E658"/>
    <mergeCell ref="A660:B660"/>
    <mergeCell ref="D660:E660"/>
    <mergeCell ref="A646:B646"/>
    <mergeCell ref="D646:E646"/>
    <mergeCell ref="A647:B647"/>
    <mergeCell ref="D647:E647"/>
    <mergeCell ref="A648:B648"/>
    <mergeCell ref="D648:E648"/>
    <mergeCell ref="A653:B653"/>
    <mergeCell ref="D653:E653"/>
  </mergeCells>
  <pageMargins left="0.15748031496062992" right="7.874015748031496E-2" top="0" bottom="0.15748031496062992" header="0" footer="0"/>
  <pageSetup paperSize="345" fitToHeight="0" orientation="portrait" horizontalDpi="203" verticalDpi="203" r:id="rId1"/>
  <rowBreaks count="43" manualBreakCount="43">
    <brk id="18" max="16383" man="1"/>
    <brk id="33" max="16383" man="1"/>
    <brk id="48" max="16383" man="1"/>
    <brk id="63" max="16383" man="1"/>
    <brk id="78" max="16383" man="1"/>
    <brk id="93" max="16383" man="1"/>
    <brk id="108" max="16383" man="1"/>
    <brk id="123" max="16383" man="1"/>
    <brk id="138" max="16383" man="1"/>
    <brk id="153" max="16383" man="1"/>
    <brk id="168" max="16383" man="1"/>
    <brk id="183" max="16383" man="1"/>
    <brk id="198" max="16383" man="1"/>
    <brk id="213" max="16383" man="1"/>
    <brk id="228" max="16383" man="1"/>
    <brk id="243" max="16383" man="1"/>
    <brk id="258" max="16383" man="1"/>
    <brk id="273" max="16383" man="1"/>
    <brk id="288" max="16383" man="1"/>
    <brk id="303" max="16383" man="1"/>
    <brk id="318" max="16383" man="1"/>
    <brk id="333" max="16383" man="1"/>
    <brk id="348" max="16383" man="1"/>
    <brk id="363" max="16383" man="1"/>
    <brk id="378" max="16383" man="1"/>
    <brk id="393" max="16383" man="1"/>
    <brk id="408" max="16383" man="1"/>
    <brk id="423" max="16383" man="1"/>
    <brk id="438" max="16383" man="1"/>
    <brk id="453" max="16383" man="1"/>
    <brk id="468" max="16383" man="1"/>
    <brk id="483" max="16383" man="1"/>
    <brk id="498" max="16383" man="1"/>
    <brk id="513" max="16383" man="1"/>
    <brk id="528" max="16383" man="1"/>
    <brk id="543" max="16383" man="1"/>
    <brk id="558" max="16383" man="1"/>
    <brk id="573" max="16383" man="1"/>
    <brk id="588" max="16383" man="1"/>
    <brk id="603" max="16383" man="1"/>
    <brk id="618" max="4" man="1"/>
    <brk id="633" max="4" man="1"/>
    <brk id="648" max="4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>
    <pageSetUpPr fitToPage="1"/>
  </sheetPr>
  <dimension ref="A1:J1367"/>
  <sheetViews>
    <sheetView view="pageBreakPreview" topLeftCell="A400" zoomScale="130" zoomScaleSheetLayoutView="130" workbookViewId="0">
      <selection activeCell="G471" sqref="G471:G472"/>
    </sheetView>
  </sheetViews>
  <sheetFormatPr defaultColWidth="11.42578125" defaultRowHeight="13.35" customHeight="1"/>
  <cols>
    <col min="1" max="2" width="16.7109375" style="197" customWidth="1"/>
    <col min="3" max="3" width="2.28515625" style="198" customWidth="1"/>
    <col min="4" max="5" width="16.7109375" style="196" customWidth="1"/>
  </cols>
  <sheetData>
    <row r="1" spans="1:10" ht="13.35" customHeight="1">
      <c r="A1" s="613" t="s">
        <v>361</v>
      </c>
      <c r="B1" s="613"/>
      <c r="C1" s="613"/>
      <c r="D1" s="613"/>
      <c r="E1" s="613"/>
      <c r="G1" s="614" t="s">
        <v>402</v>
      </c>
      <c r="H1" s="191"/>
      <c r="I1" s="191"/>
      <c r="J1" s="614" t="s">
        <v>401</v>
      </c>
    </row>
    <row r="2" spans="1:10" ht="13.35" customHeight="1">
      <c r="A2" s="613"/>
      <c r="B2" s="613"/>
      <c r="C2" s="613"/>
      <c r="D2" s="613"/>
      <c r="E2" s="613"/>
      <c r="G2" s="615"/>
      <c r="H2" s="191"/>
      <c r="I2" s="191"/>
      <c r="J2" s="615"/>
    </row>
    <row r="3" spans="1:10" ht="13.35" customHeight="1" thickBot="1">
      <c r="A3" s="613"/>
      <c r="B3" s="613"/>
      <c r="C3" s="613"/>
      <c r="D3" s="613"/>
      <c r="E3" s="613"/>
      <c r="G3" s="616"/>
      <c r="H3" s="191"/>
      <c r="I3" s="191"/>
      <c r="J3" s="616"/>
    </row>
    <row r="4" spans="1:10" ht="13.35" customHeight="1">
      <c r="A4" s="610" t="e">
        <f>'DATOS ETIQ'!B$2&amp;"  "&amp;'DATOS ETIQ'!C$2&amp;"  "&amp;'DATOS ETIQ'!D$2&amp;'DATOS ETIQ'!Q$2</f>
        <v>#N/A</v>
      </c>
      <c r="B4" s="610"/>
      <c r="C4" s="200" t="s">
        <v>405</v>
      </c>
      <c r="D4" s="610" t="e">
        <f t="shared" ref="D4:D10" si="0">A4</f>
        <v>#N/A</v>
      </c>
      <c r="E4" s="610"/>
      <c r="G4" s="192"/>
      <c r="H4" s="193"/>
      <c r="I4" s="193"/>
      <c r="J4" s="192"/>
    </row>
    <row r="5" spans="1:10" ht="13.35" customHeight="1" thickBot="1">
      <c r="A5" s="610" t="e">
        <f>IF('DATOS ETIQ'!P$2=1,"Do: "&amp;'DATOS ETIQ'!F$2&amp;"mg   VolDo: "&amp;'DATOS ETIQ'!G$2&amp;"mL","Dilución 1/"&amp;'DATOS ETIQ'!P$2&amp;"  "&amp;'DATOS ETIQ'!E$2&amp;"mg/mL   Do: "&amp;'DATOS ETIQ'!F$2&amp;"mg   VolDo: "&amp;'DATOS ETIQ'!G$2&amp;"mL")</f>
        <v>#N/A</v>
      </c>
      <c r="B5" s="610"/>
      <c r="C5" s="200" t="s">
        <v>405</v>
      </c>
      <c r="D5" s="610" t="e">
        <f t="shared" si="0"/>
        <v>#N/A</v>
      </c>
      <c r="E5" s="610"/>
      <c r="G5" s="192"/>
      <c r="H5" s="193"/>
      <c r="I5" s="193"/>
      <c r="J5" s="192">
        <v>1</v>
      </c>
    </row>
    <row r="6" spans="1:10" ht="13.35" customHeight="1">
      <c r="A6" s="182" t="e">
        <f ca="1">'DATOS ETIQ'!H$2</f>
        <v>#N/A</v>
      </c>
      <c r="B6" s="183" t="str">
        <f>"Lt: "&amp;'DATOS ETIQ'!I$2</f>
        <v>Lt: 0</v>
      </c>
      <c r="C6" s="200" t="s">
        <v>405</v>
      </c>
      <c r="D6" s="182" t="e">
        <f t="shared" ca="1" si="0"/>
        <v>#N/A</v>
      </c>
      <c r="E6" s="183" t="str">
        <f>B6</f>
        <v>Lt: 0</v>
      </c>
      <c r="G6" s="611" t="e">
        <f>'FR PD 001 V1'!T6/4</f>
        <v>#N/A</v>
      </c>
      <c r="J6" s="611">
        <v>1</v>
      </c>
    </row>
    <row r="7" spans="1:10" ht="13.35" customHeight="1" thickBot="1">
      <c r="A7" s="610" t="str">
        <f>'DATOS ETIQ'!J$2&amp;"  "&amp;'DATOS ETIQ'!K$2</f>
        <v xml:space="preserve">  0</v>
      </c>
      <c r="B7" s="610"/>
      <c r="C7" s="200" t="s">
        <v>405</v>
      </c>
      <c r="D7" s="610" t="str">
        <f t="shared" si="0"/>
        <v xml:space="preserve">  0</v>
      </c>
      <c r="E7" s="610"/>
      <c r="G7" s="612"/>
      <c r="J7" s="612"/>
    </row>
    <row r="8" spans="1:10" ht="13.35" customHeight="1">
      <c r="A8" s="609" t="str">
        <f>"QFP: "&amp;'DATOS ETIQ'!L$2&amp;"   QFV: "&amp;'DATOS ETIQ'!M$2</f>
        <v>QFP: JGARCIA   QFV: ADELTORO</v>
      </c>
      <c r="B8" s="609"/>
      <c r="C8" s="200" t="s">
        <v>405</v>
      </c>
      <c r="D8" s="609" t="str">
        <f t="shared" si="0"/>
        <v>QFP: JGARCIA   QFV: ADELTORO</v>
      </c>
      <c r="E8" s="609"/>
      <c r="J8" s="190"/>
    </row>
    <row r="9" spans="1:10" ht="13.35" customHeight="1">
      <c r="A9" s="609" t="str">
        <f>'DATOS ETIQ'!N$2&amp;"   Cama: "&amp;'DATOS ETIQ'!O$2</f>
        <v>C.JPC/SEXTO NTE/SCOOP   Cama: NA</v>
      </c>
      <c r="B9" s="609"/>
      <c r="C9" s="200" t="s">
        <v>405</v>
      </c>
      <c r="D9" s="609" t="str">
        <f t="shared" si="0"/>
        <v>C.JPC/SEXTO NTE/SCOOP   Cama: NA</v>
      </c>
      <c r="E9" s="609"/>
      <c r="J9" s="190"/>
    </row>
    <row r="10" spans="1:10" ht="13.35" customHeight="1">
      <c r="A10" s="609" t="s">
        <v>167</v>
      </c>
      <c r="B10" s="609"/>
      <c r="C10" s="200" t="s">
        <v>405</v>
      </c>
      <c r="D10" s="609" t="str">
        <f t="shared" si="0"/>
        <v>UNIDOSSIS S.A.S.</v>
      </c>
      <c r="E10" s="609"/>
      <c r="J10" s="190"/>
    </row>
    <row r="11" spans="1:10" ht="13.35" customHeight="1">
      <c r="A11" s="199" t="s">
        <v>403</v>
      </c>
      <c r="B11" s="199" t="s">
        <v>403</v>
      </c>
      <c r="C11" s="200" t="s">
        <v>405</v>
      </c>
      <c r="D11" s="199" t="s">
        <v>404</v>
      </c>
      <c r="E11" s="199" t="s">
        <v>403</v>
      </c>
      <c r="J11" s="190"/>
    </row>
    <row r="12" spans="1:10" ht="13.35" customHeight="1">
      <c r="A12" s="610" t="e">
        <f t="shared" ref="A12:A18" si="1">A4</f>
        <v>#N/A</v>
      </c>
      <c r="B12" s="610"/>
      <c r="C12" s="200" t="s">
        <v>405</v>
      </c>
      <c r="D12" s="610" t="e">
        <f t="shared" ref="D12:D18" si="2">A12</f>
        <v>#N/A</v>
      </c>
      <c r="E12" s="610"/>
      <c r="J12" s="190"/>
    </row>
    <row r="13" spans="1:10" ht="13.35" customHeight="1">
      <c r="A13" s="610" t="e">
        <f t="shared" si="1"/>
        <v>#N/A</v>
      </c>
      <c r="B13" s="610"/>
      <c r="C13" s="200" t="s">
        <v>405</v>
      </c>
      <c r="D13" s="610" t="e">
        <f t="shared" si="2"/>
        <v>#N/A</v>
      </c>
      <c r="E13" s="610"/>
      <c r="J13" s="190"/>
    </row>
    <row r="14" spans="1:10" ht="13.35" customHeight="1">
      <c r="A14" s="182" t="e">
        <f t="shared" ca="1" si="1"/>
        <v>#N/A</v>
      </c>
      <c r="B14" s="183" t="str">
        <f>B6</f>
        <v>Lt: 0</v>
      </c>
      <c r="C14" s="200" t="s">
        <v>405</v>
      </c>
      <c r="D14" s="182" t="e">
        <f t="shared" ca="1" si="2"/>
        <v>#N/A</v>
      </c>
      <c r="E14" s="183" t="str">
        <f>B14</f>
        <v>Lt: 0</v>
      </c>
      <c r="J14" s="190"/>
    </row>
    <row r="15" spans="1:10" ht="13.35" customHeight="1">
      <c r="A15" s="610" t="str">
        <f t="shared" si="1"/>
        <v xml:space="preserve">  0</v>
      </c>
      <c r="B15" s="610"/>
      <c r="C15" s="200" t="s">
        <v>405</v>
      </c>
      <c r="D15" s="610" t="str">
        <f t="shared" si="2"/>
        <v xml:space="preserve">  0</v>
      </c>
      <c r="E15" s="610"/>
      <c r="J15" s="190"/>
    </row>
    <row r="16" spans="1:10" ht="13.35" customHeight="1">
      <c r="A16" s="609" t="str">
        <f t="shared" si="1"/>
        <v>QFP: JGARCIA   QFV: ADELTORO</v>
      </c>
      <c r="B16" s="609"/>
      <c r="C16" s="200" t="s">
        <v>405</v>
      </c>
      <c r="D16" s="609" t="str">
        <f t="shared" si="2"/>
        <v>QFP: JGARCIA   QFV: ADELTORO</v>
      </c>
      <c r="E16" s="609"/>
      <c r="J16" s="190"/>
    </row>
    <row r="17" spans="1:10" ht="13.35" customHeight="1">
      <c r="A17" s="609" t="str">
        <f t="shared" si="1"/>
        <v>C.JPC/SEXTO NTE/SCOOP   Cama: NA</v>
      </c>
      <c r="B17" s="609"/>
      <c r="C17" s="200" t="s">
        <v>405</v>
      </c>
      <c r="D17" s="609" t="str">
        <f t="shared" si="2"/>
        <v>C.JPC/SEXTO NTE/SCOOP   Cama: NA</v>
      </c>
      <c r="E17" s="609"/>
      <c r="J17" s="190"/>
    </row>
    <row r="18" spans="1:10" ht="13.35" customHeight="1">
      <c r="A18" s="609" t="str">
        <f t="shared" si="1"/>
        <v>UNIDOSSIS S.A.S.</v>
      </c>
      <c r="B18" s="609"/>
      <c r="C18" s="200" t="s">
        <v>405</v>
      </c>
      <c r="D18" s="609" t="str">
        <f t="shared" si="2"/>
        <v>UNIDOSSIS S.A.S.</v>
      </c>
      <c r="E18" s="609"/>
      <c r="J18" s="190"/>
    </row>
    <row r="19" spans="1:10" ht="13.35" customHeight="1">
      <c r="A19" s="199" t="s">
        <v>403</v>
      </c>
      <c r="B19" s="199" t="s">
        <v>403</v>
      </c>
      <c r="C19" s="200" t="s">
        <v>405</v>
      </c>
      <c r="D19" s="199" t="s">
        <v>404</v>
      </c>
      <c r="E19" s="199" t="s">
        <v>403</v>
      </c>
      <c r="J19" s="190"/>
    </row>
    <row r="20" spans="1:10" ht="13.35" customHeight="1">
      <c r="A20" s="610" t="e">
        <f t="shared" ref="A20:A26" si="3">A12</f>
        <v>#N/A</v>
      </c>
      <c r="B20" s="610"/>
      <c r="C20" s="200" t="s">
        <v>405</v>
      </c>
      <c r="D20" s="610" t="e">
        <f t="shared" ref="D20:D26" si="4">A20</f>
        <v>#N/A</v>
      </c>
      <c r="E20" s="610"/>
      <c r="J20" s="190"/>
    </row>
    <row r="21" spans="1:10" ht="13.35" customHeight="1">
      <c r="A21" s="610" t="e">
        <f t="shared" si="3"/>
        <v>#N/A</v>
      </c>
      <c r="B21" s="610"/>
      <c r="C21" s="200" t="s">
        <v>405</v>
      </c>
      <c r="D21" s="610" t="e">
        <f t="shared" si="4"/>
        <v>#N/A</v>
      </c>
      <c r="E21" s="610"/>
      <c r="J21" s="190"/>
    </row>
    <row r="22" spans="1:10" ht="13.35" customHeight="1">
      <c r="A22" s="182" t="e">
        <f t="shared" ca="1" si="3"/>
        <v>#N/A</v>
      </c>
      <c r="B22" s="183" t="str">
        <f>B14</f>
        <v>Lt: 0</v>
      </c>
      <c r="C22" s="200" t="s">
        <v>405</v>
      </c>
      <c r="D22" s="182" t="e">
        <f t="shared" ca="1" si="4"/>
        <v>#N/A</v>
      </c>
      <c r="E22" s="183" t="str">
        <f>B22</f>
        <v>Lt: 0</v>
      </c>
      <c r="J22" s="190"/>
    </row>
    <row r="23" spans="1:10" ht="13.35" customHeight="1">
      <c r="A23" s="610" t="str">
        <f t="shared" si="3"/>
        <v xml:space="preserve">  0</v>
      </c>
      <c r="B23" s="610"/>
      <c r="C23" s="200" t="s">
        <v>405</v>
      </c>
      <c r="D23" s="610" t="str">
        <f t="shared" si="4"/>
        <v xml:space="preserve">  0</v>
      </c>
      <c r="E23" s="610"/>
      <c r="J23" s="190"/>
    </row>
    <row r="24" spans="1:10" ht="13.35" customHeight="1">
      <c r="A24" s="609" t="str">
        <f t="shared" si="3"/>
        <v>QFP: JGARCIA   QFV: ADELTORO</v>
      </c>
      <c r="B24" s="609"/>
      <c r="C24" s="200" t="s">
        <v>405</v>
      </c>
      <c r="D24" s="609" t="str">
        <f t="shared" si="4"/>
        <v>QFP: JGARCIA   QFV: ADELTORO</v>
      </c>
      <c r="E24" s="609"/>
      <c r="J24" s="190"/>
    </row>
    <row r="25" spans="1:10" ht="13.35" customHeight="1">
      <c r="A25" s="609" t="str">
        <f t="shared" si="3"/>
        <v>C.JPC/SEXTO NTE/SCOOP   Cama: NA</v>
      </c>
      <c r="B25" s="609"/>
      <c r="C25" s="200" t="s">
        <v>405</v>
      </c>
      <c r="D25" s="609" t="str">
        <f t="shared" si="4"/>
        <v>C.JPC/SEXTO NTE/SCOOP   Cama: NA</v>
      </c>
      <c r="E25" s="609"/>
      <c r="J25" s="190"/>
    </row>
    <row r="26" spans="1:10" ht="13.35" customHeight="1">
      <c r="A26" s="609" t="str">
        <f t="shared" si="3"/>
        <v>UNIDOSSIS S.A.S.</v>
      </c>
      <c r="B26" s="609"/>
      <c r="C26" s="200" t="s">
        <v>405</v>
      </c>
      <c r="D26" s="609" t="str">
        <f t="shared" si="4"/>
        <v>UNIDOSSIS S.A.S.</v>
      </c>
      <c r="E26" s="609"/>
      <c r="J26" s="190"/>
    </row>
    <row r="27" spans="1:10" ht="13.35" customHeight="1">
      <c r="A27" s="199" t="s">
        <v>403</v>
      </c>
      <c r="B27" s="199" t="s">
        <v>403</v>
      </c>
      <c r="C27" s="200" t="s">
        <v>405</v>
      </c>
      <c r="D27" s="199" t="s">
        <v>404</v>
      </c>
      <c r="E27" s="199" t="s">
        <v>403</v>
      </c>
      <c r="J27" s="190"/>
    </row>
    <row r="28" spans="1:10" ht="13.35" customHeight="1">
      <c r="A28" s="610" t="e">
        <f t="shared" ref="A28:A34" si="5">A20</f>
        <v>#N/A</v>
      </c>
      <c r="B28" s="610"/>
      <c r="C28" s="200" t="s">
        <v>405</v>
      </c>
      <c r="D28" s="610" t="e">
        <f t="shared" ref="D28:D34" si="6">A28</f>
        <v>#N/A</v>
      </c>
      <c r="E28" s="610"/>
      <c r="J28" s="190"/>
    </row>
    <row r="29" spans="1:10" ht="13.35" customHeight="1">
      <c r="A29" s="610" t="e">
        <f t="shared" si="5"/>
        <v>#N/A</v>
      </c>
      <c r="B29" s="610"/>
      <c r="C29" s="200" t="s">
        <v>405</v>
      </c>
      <c r="D29" s="610" t="e">
        <f t="shared" si="6"/>
        <v>#N/A</v>
      </c>
      <c r="E29" s="610"/>
      <c r="J29" s="190"/>
    </row>
    <row r="30" spans="1:10" ht="13.35" customHeight="1">
      <c r="A30" s="182" t="e">
        <f t="shared" ca="1" si="5"/>
        <v>#N/A</v>
      </c>
      <c r="B30" s="183" t="str">
        <f>B22</f>
        <v>Lt: 0</v>
      </c>
      <c r="C30" s="200" t="s">
        <v>405</v>
      </c>
      <c r="D30" s="182" t="e">
        <f t="shared" ca="1" si="6"/>
        <v>#N/A</v>
      </c>
      <c r="E30" s="183" t="str">
        <f>B30</f>
        <v>Lt: 0</v>
      </c>
      <c r="J30" s="190"/>
    </row>
    <row r="31" spans="1:10" ht="13.35" customHeight="1">
      <c r="A31" s="610" t="str">
        <f t="shared" si="5"/>
        <v xml:space="preserve">  0</v>
      </c>
      <c r="B31" s="610"/>
      <c r="C31" s="200" t="s">
        <v>405</v>
      </c>
      <c r="D31" s="610" t="str">
        <f t="shared" si="6"/>
        <v xml:space="preserve">  0</v>
      </c>
      <c r="E31" s="610"/>
      <c r="J31" s="190"/>
    </row>
    <row r="32" spans="1:10" ht="13.35" customHeight="1">
      <c r="A32" s="609" t="str">
        <f t="shared" si="5"/>
        <v>QFP: JGARCIA   QFV: ADELTORO</v>
      </c>
      <c r="B32" s="609"/>
      <c r="C32" s="200" t="s">
        <v>405</v>
      </c>
      <c r="D32" s="609" t="str">
        <f t="shared" si="6"/>
        <v>QFP: JGARCIA   QFV: ADELTORO</v>
      </c>
      <c r="E32" s="609"/>
      <c r="J32" s="190"/>
    </row>
    <row r="33" spans="1:10" ht="13.35" customHeight="1">
      <c r="A33" s="609" t="str">
        <f t="shared" si="5"/>
        <v>C.JPC/SEXTO NTE/SCOOP   Cama: NA</v>
      </c>
      <c r="B33" s="609"/>
      <c r="C33" s="200" t="s">
        <v>405</v>
      </c>
      <c r="D33" s="609" t="str">
        <f t="shared" si="6"/>
        <v>C.JPC/SEXTO NTE/SCOOP   Cama: NA</v>
      </c>
      <c r="E33" s="609"/>
      <c r="J33" s="190"/>
    </row>
    <row r="34" spans="1:10" ht="13.35" customHeight="1">
      <c r="A34" s="609" t="str">
        <f t="shared" si="5"/>
        <v>UNIDOSSIS S.A.S.</v>
      </c>
      <c r="B34" s="609"/>
      <c r="C34" s="200" t="s">
        <v>405</v>
      </c>
      <c r="D34" s="609" t="str">
        <f t="shared" si="6"/>
        <v>UNIDOSSIS S.A.S.</v>
      </c>
      <c r="E34" s="609"/>
      <c r="J34" s="190"/>
    </row>
    <row r="35" spans="1:10" ht="13.35" customHeight="1">
      <c r="A35" s="610" t="e">
        <f>'DATOS ETIQ'!B$3&amp;"  "&amp;'DATOS ETIQ'!C$3&amp;"  "&amp;'DATOS ETIQ'!D$3&amp;'DATOS ETIQ'!Q$3</f>
        <v>#N/A</v>
      </c>
      <c r="B35" s="610"/>
      <c r="C35" s="200" t="s">
        <v>405</v>
      </c>
      <c r="D35" s="610" t="e">
        <f t="shared" ref="D35:D41" si="7">A35</f>
        <v>#N/A</v>
      </c>
      <c r="E35" s="610"/>
      <c r="J35" s="190"/>
    </row>
    <row r="36" spans="1:10" ht="13.35" customHeight="1" thickBot="1">
      <c r="A36" s="610" t="e">
        <f>IF('DATOS ETIQ'!P$3=1,"Do: "&amp;'DATOS ETIQ'!F$3&amp;"mg   VolDo: "&amp;'DATOS ETIQ'!G$3&amp;"mL","Dilución 1/"&amp;'DATOS ETIQ'!P$3&amp;"  "&amp;'DATOS ETIQ'!E$3&amp;"mg/mL   Do: "&amp;'DATOS ETIQ'!F$3&amp;"mg   VolDo: "&amp;'DATOS ETIQ'!G$3&amp;"mL")</f>
        <v>#N/A</v>
      </c>
      <c r="B36" s="610"/>
      <c r="C36" s="200" t="s">
        <v>405</v>
      </c>
      <c r="D36" s="610" t="e">
        <f t="shared" si="7"/>
        <v>#N/A</v>
      </c>
      <c r="E36" s="610"/>
      <c r="J36" s="190"/>
    </row>
    <row r="37" spans="1:10" ht="13.35" customHeight="1">
      <c r="A37" s="182" t="e">
        <f ca="1">'DATOS ETIQ'!H$3</f>
        <v>#N/A</v>
      </c>
      <c r="B37" s="183" t="str">
        <f>"Lt: "&amp;'DATOS ETIQ'!I$3</f>
        <v xml:space="preserve">Lt: </v>
      </c>
      <c r="C37" s="200" t="s">
        <v>405</v>
      </c>
      <c r="D37" s="182" t="e">
        <f t="shared" ca="1" si="7"/>
        <v>#N/A</v>
      </c>
      <c r="E37" s="183" t="str">
        <f>B37</f>
        <v xml:space="preserve">Lt: </v>
      </c>
      <c r="G37" s="611" t="e">
        <f>'FR PD 001 V1'!T7/4</f>
        <v>#N/A</v>
      </c>
      <c r="J37" s="611">
        <v>2</v>
      </c>
    </row>
    <row r="38" spans="1:10" ht="13.35" customHeight="1" thickBot="1">
      <c r="A38" s="610" t="str">
        <f>'DATOS ETIQ'!J$3&amp;"  "&amp;'DATOS ETIQ'!K$3</f>
        <v xml:space="preserve">  0</v>
      </c>
      <c r="B38" s="610"/>
      <c r="C38" s="200" t="s">
        <v>405</v>
      </c>
      <c r="D38" s="610" t="str">
        <f t="shared" si="7"/>
        <v xml:space="preserve">  0</v>
      </c>
      <c r="E38" s="610"/>
      <c r="G38" s="612"/>
      <c r="J38" s="612"/>
    </row>
    <row r="39" spans="1:10" ht="13.35" customHeight="1">
      <c r="A39" s="609" t="str">
        <f>"QFP: "&amp;'DATOS ETIQ'!L$3&amp;"   QFV: "&amp;'DATOS ETIQ'!M$3</f>
        <v>QFP: JGARCIA   QFV: ADELTORO</v>
      </c>
      <c r="B39" s="609"/>
      <c r="C39" s="200" t="s">
        <v>405</v>
      </c>
      <c r="D39" s="609" t="str">
        <f t="shared" si="7"/>
        <v>QFP: JGARCIA   QFV: ADELTORO</v>
      </c>
      <c r="E39" s="609"/>
      <c r="J39" s="190"/>
    </row>
    <row r="40" spans="1:10" ht="13.35" customHeight="1">
      <c r="A40" s="609" t="str">
        <f>'DATOS ETIQ'!N$3&amp;"   Cama: "&amp;'DATOS ETIQ'!O$3</f>
        <v>C.JPC/SEXTO NTE/SCOOP   Cama: NA</v>
      </c>
      <c r="B40" s="609"/>
      <c r="C40" s="200" t="s">
        <v>405</v>
      </c>
      <c r="D40" s="609" t="str">
        <f t="shared" si="7"/>
        <v>C.JPC/SEXTO NTE/SCOOP   Cama: NA</v>
      </c>
      <c r="E40" s="609"/>
      <c r="J40" s="190"/>
    </row>
    <row r="41" spans="1:10" ht="13.35" customHeight="1">
      <c r="A41" s="609" t="s">
        <v>167</v>
      </c>
      <c r="B41" s="609"/>
      <c r="C41" s="200" t="s">
        <v>405</v>
      </c>
      <c r="D41" s="609" t="str">
        <f t="shared" si="7"/>
        <v>UNIDOSSIS S.A.S.</v>
      </c>
      <c r="E41" s="609"/>
      <c r="J41" s="190"/>
    </row>
    <row r="42" spans="1:10" ht="13.35" customHeight="1">
      <c r="A42" s="199" t="s">
        <v>403</v>
      </c>
      <c r="B42" s="199" t="s">
        <v>403</v>
      </c>
      <c r="C42" s="200" t="s">
        <v>405</v>
      </c>
      <c r="D42" s="199" t="s">
        <v>404</v>
      </c>
      <c r="E42" s="199" t="s">
        <v>403</v>
      </c>
      <c r="J42" s="190"/>
    </row>
    <row r="43" spans="1:10" ht="13.35" customHeight="1">
      <c r="A43" s="610" t="e">
        <f t="shared" ref="A43:A65" si="8">A35</f>
        <v>#N/A</v>
      </c>
      <c r="B43" s="610"/>
      <c r="C43" s="200" t="s">
        <v>405</v>
      </c>
      <c r="D43" s="610" t="e">
        <f t="shared" ref="D43:D49" si="9">A43</f>
        <v>#N/A</v>
      </c>
      <c r="E43" s="610"/>
      <c r="J43" s="190"/>
    </row>
    <row r="44" spans="1:10" ht="13.35" customHeight="1">
      <c r="A44" s="610" t="e">
        <f t="shared" si="8"/>
        <v>#N/A</v>
      </c>
      <c r="B44" s="610"/>
      <c r="C44" s="200" t="s">
        <v>405</v>
      </c>
      <c r="D44" s="610" t="e">
        <f t="shared" si="9"/>
        <v>#N/A</v>
      </c>
      <c r="E44" s="610"/>
      <c r="J44" s="190"/>
    </row>
    <row r="45" spans="1:10" ht="13.35" customHeight="1">
      <c r="A45" s="182" t="e">
        <f t="shared" ca="1" si="8"/>
        <v>#N/A</v>
      </c>
      <c r="B45" s="183" t="str">
        <f>B37</f>
        <v xml:space="preserve">Lt: </v>
      </c>
      <c r="C45" s="200" t="s">
        <v>405</v>
      </c>
      <c r="D45" s="182" t="e">
        <f t="shared" ca="1" si="9"/>
        <v>#N/A</v>
      </c>
      <c r="E45" s="183" t="str">
        <f>B45</f>
        <v xml:space="preserve">Lt: </v>
      </c>
      <c r="J45" s="190"/>
    </row>
    <row r="46" spans="1:10" ht="13.35" customHeight="1">
      <c r="A46" s="610" t="str">
        <f t="shared" si="8"/>
        <v xml:space="preserve">  0</v>
      </c>
      <c r="B46" s="610"/>
      <c r="C46" s="200" t="s">
        <v>405</v>
      </c>
      <c r="D46" s="610" t="str">
        <f t="shared" si="9"/>
        <v xml:space="preserve">  0</v>
      </c>
      <c r="E46" s="610"/>
      <c r="J46" s="190"/>
    </row>
    <row r="47" spans="1:10" ht="13.35" customHeight="1">
      <c r="A47" s="609" t="str">
        <f t="shared" si="8"/>
        <v>QFP: JGARCIA   QFV: ADELTORO</v>
      </c>
      <c r="B47" s="609"/>
      <c r="C47" s="200" t="s">
        <v>405</v>
      </c>
      <c r="D47" s="609" t="str">
        <f t="shared" si="9"/>
        <v>QFP: JGARCIA   QFV: ADELTORO</v>
      </c>
      <c r="E47" s="609"/>
      <c r="J47" s="190"/>
    </row>
    <row r="48" spans="1:10" ht="13.35" customHeight="1">
      <c r="A48" s="609" t="str">
        <f t="shared" si="8"/>
        <v>C.JPC/SEXTO NTE/SCOOP   Cama: NA</v>
      </c>
      <c r="B48" s="609"/>
      <c r="C48" s="200" t="s">
        <v>405</v>
      </c>
      <c r="D48" s="609" t="str">
        <f t="shared" si="9"/>
        <v>C.JPC/SEXTO NTE/SCOOP   Cama: NA</v>
      </c>
      <c r="E48" s="609"/>
      <c r="J48" s="190"/>
    </row>
    <row r="49" spans="1:10" ht="13.35" customHeight="1">
      <c r="A49" s="609" t="str">
        <f t="shared" si="8"/>
        <v>UNIDOSSIS S.A.S.</v>
      </c>
      <c r="B49" s="609"/>
      <c r="C49" s="200" t="s">
        <v>405</v>
      </c>
      <c r="D49" s="609" t="str">
        <f t="shared" si="9"/>
        <v>UNIDOSSIS S.A.S.</v>
      </c>
      <c r="E49" s="609"/>
      <c r="J49" s="190"/>
    </row>
    <row r="50" spans="1:10" ht="13.35" customHeight="1">
      <c r="A50" s="199" t="s">
        <v>403</v>
      </c>
      <c r="B50" s="199" t="s">
        <v>403</v>
      </c>
      <c r="C50" s="200" t="s">
        <v>405</v>
      </c>
      <c r="D50" s="199" t="s">
        <v>404</v>
      </c>
      <c r="E50" s="199" t="s">
        <v>403</v>
      </c>
      <c r="J50" s="190"/>
    </row>
    <row r="51" spans="1:10" ht="13.35" customHeight="1">
      <c r="A51" s="610" t="e">
        <f t="shared" si="8"/>
        <v>#N/A</v>
      </c>
      <c r="B51" s="610"/>
      <c r="C51" s="200" t="s">
        <v>405</v>
      </c>
      <c r="D51" s="610" t="e">
        <f t="shared" ref="D51:D57" si="10">A51</f>
        <v>#N/A</v>
      </c>
      <c r="E51" s="610"/>
      <c r="J51" s="190"/>
    </row>
    <row r="52" spans="1:10" ht="13.35" customHeight="1">
      <c r="A52" s="610" t="e">
        <f t="shared" si="8"/>
        <v>#N/A</v>
      </c>
      <c r="B52" s="610"/>
      <c r="C52" s="200" t="s">
        <v>405</v>
      </c>
      <c r="D52" s="610" t="e">
        <f t="shared" si="10"/>
        <v>#N/A</v>
      </c>
      <c r="E52" s="610"/>
      <c r="J52" s="190"/>
    </row>
    <row r="53" spans="1:10" ht="13.35" customHeight="1">
      <c r="A53" s="182" t="e">
        <f t="shared" ca="1" si="8"/>
        <v>#N/A</v>
      </c>
      <c r="B53" s="183" t="str">
        <f>B45</f>
        <v xml:space="preserve">Lt: </v>
      </c>
      <c r="C53" s="200" t="s">
        <v>405</v>
      </c>
      <c r="D53" s="182" t="e">
        <f t="shared" ca="1" si="10"/>
        <v>#N/A</v>
      </c>
      <c r="E53" s="183" t="str">
        <f>B53</f>
        <v xml:space="preserve">Lt: </v>
      </c>
      <c r="J53" s="190"/>
    </row>
    <row r="54" spans="1:10" ht="13.35" customHeight="1">
      <c r="A54" s="610" t="str">
        <f t="shared" si="8"/>
        <v xml:space="preserve">  0</v>
      </c>
      <c r="B54" s="610"/>
      <c r="C54" s="200" t="s">
        <v>405</v>
      </c>
      <c r="D54" s="610" t="str">
        <f t="shared" si="10"/>
        <v xml:space="preserve">  0</v>
      </c>
      <c r="E54" s="610"/>
      <c r="J54" s="190"/>
    </row>
    <row r="55" spans="1:10" ht="13.35" customHeight="1">
      <c r="A55" s="609" t="str">
        <f t="shared" si="8"/>
        <v>QFP: JGARCIA   QFV: ADELTORO</v>
      </c>
      <c r="B55" s="609"/>
      <c r="C55" s="200" t="s">
        <v>405</v>
      </c>
      <c r="D55" s="609" t="str">
        <f t="shared" si="10"/>
        <v>QFP: JGARCIA   QFV: ADELTORO</v>
      </c>
      <c r="E55" s="609"/>
      <c r="J55" s="190"/>
    </row>
    <row r="56" spans="1:10" ht="13.35" customHeight="1">
      <c r="A56" s="609" t="str">
        <f t="shared" si="8"/>
        <v>C.JPC/SEXTO NTE/SCOOP   Cama: NA</v>
      </c>
      <c r="B56" s="609"/>
      <c r="C56" s="200" t="s">
        <v>405</v>
      </c>
      <c r="D56" s="609" t="str">
        <f t="shared" si="10"/>
        <v>C.JPC/SEXTO NTE/SCOOP   Cama: NA</v>
      </c>
      <c r="E56" s="609"/>
      <c r="J56" s="190"/>
    </row>
    <row r="57" spans="1:10" ht="13.35" customHeight="1">
      <c r="A57" s="609" t="str">
        <f t="shared" si="8"/>
        <v>UNIDOSSIS S.A.S.</v>
      </c>
      <c r="B57" s="609"/>
      <c r="C57" s="200" t="s">
        <v>405</v>
      </c>
      <c r="D57" s="609" t="str">
        <f t="shared" si="10"/>
        <v>UNIDOSSIS S.A.S.</v>
      </c>
      <c r="E57" s="609"/>
      <c r="J57" s="190"/>
    </row>
    <row r="58" spans="1:10" ht="13.35" customHeight="1">
      <c r="A58" s="199" t="s">
        <v>403</v>
      </c>
      <c r="B58" s="199" t="s">
        <v>403</v>
      </c>
      <c r="C58" s="200" t="s">
        <v>405</v>
      </c>
      <c r="D58" s="199" t="s">
        <v>404</v>
      </c>
      <c r="E58" s="199" t="s">
        <v>403</v>
      </c>
      <c r="J58" s="190"/>
    </row>
    <row r="59" spans="1:10" ht="13.35" customHeight="1">
      <c r="A59" s="610" t="e">
        <f t="shared" si="8"/>
        <v>#N/A</v>
      </c>
      <c r="B59" s="610"/>
      <c r="C59" s="200" t="s">
        <v>405</v>
      </c>
      <c r="D59" s="610" t="e">
        <f t="shared" ref="D59:D65" si="11">A59</f>
        <v>#N/A</v>
      </c>
      <c r="E59" s="610"/>
      <c r="J59" s="190"/>
    </row>
    <row r="60" spans="1:10" ht="13.35" customHeight="1">
      <c r="A60" s="610" t="e">
        <f t="shared" si="8"/>
        <v>#N/A</v>
      </c>
      <c r="B60" s="610"/>
      <c r="C60" s="200" t="s">
        <v>405</v>
      </c>
      <c r="D60" s="610" t="e">
        <f t="shared" si="11"/>
        <v>#N/A</v>
      </c>
      <c r="E60" s="610"/>
      <c r="J60" s="190"/>
    </row>
    <row r="61" spans="1:10" ht="13.35" customHeight="1">
      <c r="A61" s="182" t="e">
        <f t="shared" ca="1" si="8"/>
        <v>#N/A</v>
      </c>
      <c r="B61" s="183" t="str">
        <f>B53</f>
        <v xml:space="preserve">Lt: </v>
      </c>
      <c r="C61" s="200" t="s">
        <v>405</v>
      </c>
      <c r="D61" s="182" t="e">
        <f t="shared" ca="1" si="11"/>
        <v>#N/A</v>
      </c>
      <c r="E61" s="183" t="str">
        <f>B61</f>
        <v xml:space="preserve">Lt: </v>
      </c>
      <c r="J61" s="190"/>
    </row>
    <row r="62" spans="1:10" ht="13.35" customHeight="1">
      <c r="A62" s="610" t="str">
        <f t="shared" si="8"/>
        <v xml:space="preserve">  0</v>
      </c>
      <c r="B62" s="610"/>
      <c r="C62" s="200" t="s">
        <v>405</v>
      </c>
      <c r="D62" s="610" t="str">
        <f t="shared" si="11"/>
        <v xml:space="preserve">  0</v>
      </c>
      <c r="E62" s="610"/>
      <c r="J62" s="190"/>
    </row>
    <row r="63" spans="1:10" ht="13.35" customHeight="1">
      <c r="A63" s="609" t="str">
        <f t="shared" si="8"/>
        <v>QFP: JGARCIA   QFV: ADELTORO</v>
      </c>
      <c r="B63" s="609"/>
      <c r="C63" s="200" t="s">
        <v>405</v>
      </c>
      <c r="D63" s="609" t="str">
        <f t="shared" si="11"/>
        <v>QFP: JGARCIA   QFV: ADELTORO</v>
      </c>
      <c r="E63" s="609"/>
      <c r="J63" s="190"/>
    </row>
    <row r="64" spans="1:10" ht="13.35" customHeight="1">
      <c r="A64" s="609" t="str">
        <f t="shared" si="8"/>
        <v>C.JPC/SEXTO NTE/SCOOP   Cama: NA</v>
      </c>
      <c r="B64" s="609"/>
      <c r="C64" s="200" t="s">
        <v>405</v>
      </c>
      <c r="D64" s="609" t="str">
        <f t="shared" si="11"/>
        <v>C.JPC/SEXTO NTE/SCOOP   Cama: NA</v>
      </c>
      <c r="E64" s="609"/>
      <c r="J64" s="190"/>
    </row>
    <row r="65" spans="1:10" ht="13.35" customHeight="1">
      <c r="A65" s="609" t="str">
        <f t="shared" si="8"/>
        <v>UNIDOSSIS S.A.S.</v>
      </c>
      <c r="B65" s="609"/>
      <c r="C65" s="200" t="s">
        <v>405</v>
      </c>
      <c r="D65" s="609" t="str">
        <f t="shared" si="11"/>
        <v>UNIDOSSIS S.A.S.</v>
      </c>
      <c r="E65" s="609"/>
      <c r="J65" s="190"/>
    </row>
    <row r="66" spans="1:10" ht="13.35" customHeight="1">
      <c r="A66" s="610" t="e">
        <f>'DATOS ETIQ'!B$4&amp;"  "&amp;'DATOS ETIQ'!C$4&amp;"  "&amp;'DATOS ETIQ'!D$4&amp;'DATOS ETIQ'!Q$4</f>
        <v>#N/A</v>
      </c>
      <c r="B66" s="610"/>
      <c r="C66" s="200" t="s">
        <v>405</v>
      </c>
      <c r="D66" s="610" t="e">
        <f t="shared" ref="D66:D72" si="12">A66</f>
        <v>#N/A</v>
      </c>
      <c r="E66" s="610"/>
      <c r="J66" s="190"/>
    </row>
    <row r="67" spans="1:10" ht="13.35" customHeight="1" thickBot="1">
      <c r="A67" s="610" t="e">
        <f>IF('DATOS ETIQ'!P$4=1,"Do: "&amp;'DATOS ETIQ'!F$4&amp;"mg   VolDo: "&amp;'DATOS ETIQ'!G$4&amp;"mL","Dilución 1/"&amp;'DATOS ETIQ'!P$4&amp;"  "&amp;'DATOS ETIQ'!E$4&amp;"mg/mL   Do: "&amp;'DATOS ETIQ'!F$4&amp;"mg   VolDo: "&amp;'DATOS ETIQ'!G$4&amp;"mL")</f>
        <v>#N/A</v>
      </c>
      <c r="B67" s="610"/>
      <c r="C67" s="200" t="s">
        <v>405</v>
      </c>
      <c r="D67" s="610" t="e">
        <f t="shared" si="12"/>
        <v>#N/A</v>
      </c>
      <c r="E67" s="610"/>
      <c r="J67" s="190"/>
    </row>
    <row r="68" spans="1:10" ht="13.35" customHeight="1">
      <c r="A68" s="182" t="e">
        <f ca="1">'DATOS ETIQ'!H$4</f>
        <v>#N/A</v>
      </c>
      <c r="B68" s="183" t="str">
        <f>"Lt: "&amp;'DATOS ETIQ'!I$4</f>
        <v xml:space="preserve">Lt: </v>
      </c>
      <c r="C68" s="200" t="s">
        <v>405</v>
      </c>
      <c r="D68" s="182" t="e">
        <f t="shared" ca="1" si="12"/>
        <v>#N/A</v>
      </c>
      <c r="E68" s="183" t="str">
        <f>B68</f>
        <v xml:space="preserve">Lt: </v>
      </c>
      <c r="G68" s="611" t="e">
        <f>'FR PD 001 V1'!T8/4</f>
        <v>#N/A</v>
      </c>
      <c r="J68" s="611">
        <v>3</v>
      </c>
    </row>
    <row r="69" spans="1:10" ht="13.35" customHeight="1" thickBot="1">
      <c r="A69" s="610" t="str">
        <f>'DATOS ETIQ'!J$4&amp;"  "&amp;'DATOS ETIQ'!K$4</f>
        <v xml:space="preserve">  0</v>
      </c>
      <c r="B69" s="610"/>
      <c r="C69" s="200" t="s">
        <v>405</v>
      </c>
      <c r="D69" s="610" t="str">
        <f t="shared" si="12"/>
        <v xml:space="preserve">  0</v>
      </c>
      <c r="E69" s="610"/>
      <c r="G69" s="612"/>
      <c r="J69" s="612"/>
    </row>
    <row r="70" spans="1:10" ht="13.35" customHeight="1">
      <c r="A70" s="609" t="str">
        <f>"QFP: "&amp;'DATOS ETIQ'!L$4&amp;"   QFV: "&amp;'DATOS ETIQ'!M$4</f>
        <v>QFP: JGARCIA   QFV: ADELTORO</v>
      </c>
      <c r="B70" s="609"/>
      <c r="C70" s="200" t="s">
        <v>405</v>
      </c>
      <c r="D70" s="609" t="str">
        <f t="shared" si="12"/>
        <v>QFP: JGARCIA   QFV: ADELTORO</v>
      </c>
      <c r="E70" s="609"/>
      <c r="J70" s="190"/>
    </row>
    <row r="71" spans="1:10" ht="13.35" customHeight="1">
      <c r="A71" s="609" t="str">
        <f>'DATOS ETIQ'!N$4&amp;"   Cama: "&amp;'DATOS ETIQ'!O$4</f>
        <v>C.JPC/SEXTO NTE/SCOOP   Cama: NA</v>
      </c>
      <c r="B71" s="609"/>
      <c r="C71" s="200" t="s">
        <v>405</v>
      </c>
      <c r="D71" s="609" t="str">
        <f t="shared" si="12"/>
        <v>C.JPC/SEXTO NTE/SCOOP   Cama: NA</v>
      </c>
      <c r="E71" s="609"/>
      <c r="J71" s="190"/>
    </row>
    <row r="72" spans="1:10" ht="13.35" customHeight="1">
      <c r="A72" s="609" t="s">
        <v>167</v>
      </c>
      <c r="B72" s="609"/>
      <c r="C72" s="200" t="s">
        <v>405</v>
      </c>
      <c r="D72" s="609" t="str">
        <f t="shared" si="12"/>
        <v>UNIDOSSIS S.A.S.</v>
      </c>
      <c r="E72" s="609"/>
      <c r="J72" s="190"/>
    </row>
    <row r="73" spans="1:10" ht="13.35" customHeight="1">
      <c r="A73" s="199" t="s">
        <v>403</v>
      </c>
      <c r="B73" s="199" t="s">
        <v>403</v>
      </c>
      <c r="C73" s="200" t="s">
        <v>405</v>
      </c>
      <c r="D73" s="199" t="s">
        <v>404</v>
      </c>
      <c r="E73" s="199" t="s">
        <v>403</v>
      </c>
      <c r="J73" s="190"/>
    </row>
    <row r="74" spans="1:10" ht="13.35" customHeight="1">
      <c r="A74" s="610" t="e">
        <f t="shared" ref="A74:A96" si="13">A66</f>
        <v>#N/A</v>
      </c>
      <c r="B74" s="610"/>
      <c r="C74" s="200" t="s">
        <v>405</v>
      </c>
      <c r="D74" s="610" t="e">
        <f t="shared" ref="D74:D80" si="14">A74</f>
        <v>#N/A</v>
      </c>
      <c r="E74" s="610"/>
      <c r="J74" s="190"/>
    </row>
    <row r="75" spans="1:10" ht="13.35" customHeight="1">
      <c r="A75" s="610" t="e">
        <f t="shared" si="13"/>
        <v>#N/A</v>
      </c>
      <c r="B75" s="610"/>
      <c r="C75" s="200" t="s">
        <v>405</v>
      </c>
      <c r="D75" s="610" t="e">
        <f t="shared" si="14"/>
        <v>#N/A</v>
      </c>
      <c r="E75" s="610"/>
      <c r="J75" s="190"/>
    </row>
    <row r="76" spans="1:10" ht="13.35" customHeight="1">
      <c r="A76" s="182" t="e">
        <f t="shared" ca="1" si="13"/>
        <v>#N/A</v>
      </c>
      <c r="B76" s="183" t="str">
        <f>B68</f>
        <v xml:space="preserve">Lt: </v>
      </c>
      <c r="C76" s="200" t="s">
        <v>405</v>
      </c>
      <c r="D76" s="182" t="e">
        <f t="shared" ca="1" si="14"/>
        <v>#N/A</v>
      </c>
      <c r="E76" s="183" t="str">
        <f>B76</f>
        <v xml:space="preserve">Lt: </v>
      </c>
      <c r="J76" s="190"/>
    </row>
    <row r="77" spans="1:10" ht="13.35" customHeight="1">
      <c r="A77" s="610" t="str">
        <f t="shared" si="13"/>
        <v xml:space="preserve">  0</v>
      </c>
      <c r="B77" s="610"/>
      <c r="C77" s="200" t="s">
        <v>405</v>
      </c>
      <c r="D77" s="610" t="str">
        <f t="shared" si="14"/>
        <v xml:space="preserve">  0</v>
      </c>
      <c r="E77" s="610"/>
      <c r="J77" s="190"/>
    </row>
    <row r="78" spans="1:10" ht="13.35" customHeight="1">
      <c r="A78" s="609" t="str">
        <f t="shared" si="13"/>
        <v>QFP: JGARCIA   QFV: ADELTORO</v>
      </c>
      <c r="B78" s="609"/>
      <c r="C78" s="200" t="s">
        <v>405</v>
      </c>
      <c r="D78" s="609" t="str">
        <f t="shared" si="14"/>
        <v>QFP: JGARCIA   QFV: ADELTORO</v>
      </c>
      <c r="E78" s="609"/>
      <c r="J78" s="190"/>
    </row>
    <row r="79" spans="1:10" ht="13.35" customHeight="1">
      <c r="A79" s="609" t="str">
        <f t="shared" si="13"/>
        <v>C.JPC/SEXTO NTE/SCOOP   Cama: NA</v>
      </c>
      <c r="B79" s="609"/>
      <c r="C79" s="200" t="s">
        <v>405</v>
      </c>
      <c r="D79" s="609" t="str">
        <f t="shared" si="14"/>
        <v>C.JPC/SEXTO NTE/SCOOP   Cama: NA</v>
      </c>
      <c r="E79" s="609"/>
      <c r="J79" s="190"/>
    </row>
    <row r="80" spans="1:10" ht="13.35" customHeight="1">
      <c r="A80" s="609" t="str">
        <f t="shared" si="13"/>
        <v>UNIDOSSIS S.A.S.</v>
      </c>
      <c r="B80" s="609"/>
      <c r="C80" s="200" t="s">
        <v>405</v>
      </c>
      <c r="D80" s="609" t="str">
        <f t="shared" si="14"/>
        <v>UNIDOSSIS S.A.S.</v>
      </c>
      <c r="E80" s="609"/>
      <c r="J80" s="190"/>
    </row>
    <row r="81" spans="1:10" ht="13.35" customHeight="1">
      <c r="A81" s="199" t="s">
        <v>403</v>
      </c>
      <c r="B81" s="199" t="s">
        <v>403</v>
      </c>
      <c r="C81" s="200" t="s">
        <v>405</v>
      </c>
      <c r="D81" s="199" t="s">
        <v>404</v>
      </c>
      <c r="E81" s="199" t="s">
        <v>403</v>
      </c>
      <c r="J81" s="190"/>
    </row>
    <row r="82" spans="1:10" ht="13.35" customHeight="1">
      <c r="A82" s="610" t="e">
        <f t="shared" si="13"/>
        <v>#N/A</v>
      </c>
      <c r="B82" s="610"/>
      <c r="C82" s="200" t="s">
        <v>405</v>
      </c>
      <c r="D82" s="610" t="e">
        <f t="shared" ref="D82:D88" si="15">A82</f>
        <v>#N/A</v>
      </c>
      <c r="E82" s="610"/>
      <c r="J82" s="190"/>
    </row>
    <row r="83" spans="1:10" ht="13.35" customHeight="1">
      <c r="A83" s="610" t="e">
        <f t="shared" si="13"/>
        <v>#N/A</v>
      </c>
      <c r="B83" s="610"/>
      <c r="C83" s="200" t="s">
        <v>405</v>
      </c>
      <c r="D83" s="610" t="e">
        <f t="shared" si="15"/>
        <v>#N/A</v>
      </c>
      <c r="E83" s="610"/>
      <c r="J83" s="190"/>
    </row>
    <row r="84" spans="1:10" ht="13.35" customHeight="1">
      <c r="A84" s="182" t="e">
        <f t="shared" ca="1" si="13"/>
        <v>#N/A</v>
      </c>
      <c r="B84" s="183" t="str">
        <f>B76</f>
        <v xml:space="preserve">Lt: </v>
      </c>
      <c r="C84" s="200" t="s">
        <v>405</v>
      </c>
      <c r="D84" s="182" t="e">
        <f t="shared" ca="1" si="15"/>
        <v>#N/A</v>
      </c>
      <c r="E84" s="183" t="str">
        <f>B84</f>
        <v xml:space="preserve">Lt: </v>
      </c>
      <c r="J84" s="190"/>
    </row>
    <row r="85" spans="1:10" ht="13.35" customHeight="1">
      <c r="A85" s="610" t="str">
        <f t="shared" si="13"/>
        <v xml:space="preserve">  0</v>
      </c>
      <c r="B85" s="610"/>
      <c r="C85" s="200" t="s">
        <v>405</v>
      </c>
      <c r="D85" s="610" t="str">
        <f t="shared" si="15"/>
        <v xml:space="preserve">  0</v>
      </c>
      <c r="E85" s="610"/>
      <c r="J85" s="190"/>
    </row>
    <row r="86" spans="1:10" ht="13.35" customHeight="1">
      <c r="A86" s="609" t="str">
        <f t="shared" si="13"/>
        <v>QFP: JGARCIA   QFV: ADELTORO</v>
      </c>
      <c r="B86" s="609"/>
      <c r="C86" s="200" t="s">
        <v>405</v>
      </c>
      <c r="D86" s="609" t="str">
        <f t="shared" si="15"/>
        <v>QFP: JGARCIA   QFV: ADELTORO</v>
      </c>
      <c r="E86" s="609"/>
      <c r="J86" s="190"/>
    </row>
    <row r="87" spans="1:10" ht="13.35" customHeight="1">
      <c r="A87" s="609" t="str">
        <f t="shared" si="13"/>
        <v>C.JPC/SEXTO NTE/SCOOP   Cama: NA</v>
      </c>
      <c r="B87" s="609"/>
      <c r="C87" s="200" t="s">
        <v>405</v>
      </c>
      <c r="D87" s="609" t="str">
        <f t="shared" si="15"/>
        <v>C.JPC/SEXTO NTE/SCOOP   Cama: NA</v>
      </c>
      <c r="E87" s="609"/>
      <c r="J87" s="190"/>
    </row>
    <row r="88" spans="1:10" ht="13.35" customHeight="1">
      <c r="A88" s="609" t="str">
        <f t="shared" si="13"/>
        <v>UNIDOSSIS S.A.S.</v>
      </c>
      <c r="B88" s="609"/>
      <c r="C88" s="200" t="s">
        <v>405</v>
      </c>
      <c r="D88" s="609" t="str">
        <f t="shared" si="15"/>
        <v>UNIDOSSIS S.A.S.</v>
      </c>
      <c r="E88" s="609"/>
      <c r="J88" s="190"/>
    </row>
    <row r="89" spans="1:10" ht="13.35" customHeight="1">
      <c r="A89" s="199" t="s">
        <v>403</v>
      </c>
      <c r="B89" s="199" t="s">
        <v>403</v>
      </c>
      <c r="C89" s="200" t="s">
        <v>405</v>
      </c>
      <c r="D89" s="199" t="s">
        <v>404</v>
      </c>
      <c r="E89" s="199" t="s">
        <v>403</v>
      </c>
      <c r="J89" s="190"/>
    </row>
    <row r="90" spans="1:10" ht="13.35" customHeight="1">
      <c r="A90" s="610" t="e">
        <f t="shared" si="13"/>
        <v>#N/A</v>
      </c>
      <c r="B90" s="610"/>
      <c r="C90" s="200" t="s">
        <v>405</v>
      </c>
      <c r="D90" s="610" t="e">
        <f t="shared" ref="D90:D96" si="16">A90</f>
        <v>#N/A</v>
      </c>
      <c r="E90" s="610"/>
      <c r="J90" s="190"/>
    </row>
    <row r="91" spans="1:10" ht="13.35" customHeight="1">
      <c r="A91" s="610" t="e">
        <f t="shared" si="13"/>
        <v>#N/A</v>
      </c>
      <c r="B91" s="610"/>
      <c r="C91" s="200" t="s">
        <v>405</v>
      </c>
      <c r="D91" s="610" t="e">
        <f t="shared" si="16"/>
        <v>#N/A</v>
      </c>
      <c r="E91" s="610"/>
      <c r="J91" s="190"/>
    </row>
    <row r="92" spans="1:10" ht="13.35" customHeight="1">
      <c r="A92" s="182" t="e">
        <f t="shared" ca="1" si="13"/>
        <v>#N/A</v>
      </c>
      <c r="B92" s="183" t="str">
        <f>B84</f>
        <v xml:space="preserve">Lt: </v>
      </c>
      <c r="C92" s="200" t="s">
        <v>405</v>
      </c>
      <c r="D92" s="182" t="e">
        <f t="shared" ca="1" si="16"/>
        <v>#N/A</v>
      </c>
      <c r="E92" s="183" t="str">
        <f>B92</f>
        <v xml:space="preserve">Lt: </v>
      </c>
      <c r="J92" s="190"/>
    </row>
    <row r="93" spans="1:10" ht="13.35" customHeight="1">
      <c r="A93" s="610" t="str">
        <f t="shared" si="13"/>
        <v xml:space="preserve">  0</v>
      </c>
      <c r="B93" s="610"/>
      <c r="C93" s="200" t="s">
        <v>405</v>
      </c>
      <c r="D93" s="610" t="str">
        <f t="shared" si="16"/>
        <v xml:space="preserve">  0</v>
      </c>
      <c r="E93" s="610"/>
      <c r="J93" s="190"/>
    </row>
    <row r="94" spans="1:10" ht="13.35" customHeight="1">
      <c r="A94" s="609" t="str">
        <f t="shared" si="13"/>
        <v>QFP: JGARCIA   QFV: ADELTORO</v>
      </c>
      <c r="B94" s="609"/>
      <c r="C94" s="200" t="s">
        <v>405</v>
      </c>
      <c r="D94" s="609" t="str">
        <f t="shared" si="16"/>
        <v>QFP: JGARCIA   QFV: ADELTORO</v>
      </c>
      <c r="E94" s="609"/>
      <c r="J94" s="190"/>
    </row>
    <row r="95" spans="1:10" ht="13.35" customHeight="1">
      <c r="A95" s="609" t="str">
        <f t="shared" si="13"/>
        <v>C.JPC/SEXTO NTE/SCOOP   Cama: NA</v>
      </c>
      <c r="B95" s="609"/>
      <c r="C95" s="200" t="s">
        <v>405</v>
      </c>
      <c r="D95" s="609" t="str">
        <f t="shared" si="16"/>
        <v>C.JPC/SEXTO NTE/SCOOP   Cama: NA</v>
      </c>
      <c r="E95" s="609"/>
      <c r="J95" s="190"/>
    </row>
    <row r="96" spans="1:10" ht="13.35" customHeight="1">
      <c r="A96" s="609" t="str">
        <f t="shared" si="13"/>
        <v>UNIDOSSIS S.A.S.</v>
      </c>
      <c r="B96" s="609"/>
      <c r="C96" s="200" t="s">
        <v>405</v>
      </c>
      <c r="D96" s="609" t="str">
        <f t="shared" si="16"/>
        <v>UNIDOSSIS S.A.S.</v>
      </c>
      <c r="E96" s="609"/>
      <c r="J96" s="190"/>
    </row>
    <row r="97" spans="1:10" ht="13.35" customHeight="1">
      <c r="A97" s="610" t="e">
        <f>'DATOS ETIQ'!B$5&amp;"  "&amp;'DATOS ETIQ'!C$5&amp;"  "&amp;'DATOS ETIQ'!D$5&amp;'DATOS ETIQ'!Q$5</f>
        <v>#N/A</v>
      </c>
      <c r="B97" s="610"/>
      <c r="C97" s="200" t="s">
        <v>405</v>
      </c>
      <c r="D97" s="610" t="e">
        <f t="shared" ref="D97:D103" si="17">A97</f>
        <v>#N/A</v>
      </c>
      <c r="E97" s="610"/>
      <c r="J97" s="190"/>
    </row>
    <row r="98" spans="1:10" ht="13.35" customHeight="1" thickBot="1">
      <c r="A98" s="610" t="e">
        <f>IF('DATOS ETIQ'!P$5=1,"Do: "&amp;'DATOS ETIQ'!F$5&amp;"mg   VolDo: "&amp;'DATOS ETIQ'!G$5&amp;"mL","Dilución 1/"&amp;'DATOS ETIQ'!P$5&amp;"  "&amp;'DATOS ETIQ'!E$5&amp;"mg/mL   Do: "&amp;'DATOS ETIQ'!F$5&amp;"mg   VolDo: "&amp;'DATOS ETIQ'!G$5&amp;"mL")</f>
        <v>#N/A</v>
      </c>
      <c r="B98" s="610"/>
      <c r="C98" s="200" t="s">
        <v>405</v>
      </c>
      <c r="D98" s="610" t="e">
        <f t="shared" si="17"/>
        <v>#N/A</v>
      </c>
      <c r="E98" s="610"/>
      <c r="J98" s="190"/>
    </row>
    <row r="99" spans="1:10" ht="13.35" customHeight="1">
      <c r="A99" s="182" t="e">
        <f ca="1">'DATOS ETIQ'!H$5</f>
        <v>#N/A</v>
      </c>
      <c r="B99" s="183" t="str">
        <f>"Lt: "&amp;'DATOS ETIQ'!I$5</f>
        <v xml:space="preserve">Lt: </v>
      </c>
      <c r="C99" s="200" t="s">
        <v>405</v>
      </c>
      <c r="D99" s="182" t="e">
        <f t="shared" ca="1" si="17"/>
        <v>#N/A</v>
      </c>
      <c r="E99" s="183" t="str">
        <f>B99</f>
        <v xml:space="preserve">Lt: </v>
      </c>
      <c r="G99" s="611" t="e">
        <f>'FR PD 001 V1'!T9/4</f>
        <v>#N/A</v>
      </c>
      <c r="J99" s="611">
        <v>4</v>
      </c>
    </row>
    <row r="100" spans="1:10" ht="13.35" customHeight="1" thickBot="1">
      <c r="A100" s="610" t="str">
        <f>'DATOS ETIQ'!J$5&amp;"  "&amp;'DATOS ETIQ'!K$5</f>
        <v xml:space="preserve">  0</v>
      </c>
      <c r="B100" s="610"/>
      <c r="C100" s="200" t="s">
        <v>405</v>
      </c>
      <c r="D100" s="610" t="str">
        <f t="shared" si="17"/>
        <v xml:space="preserve">  0</v>
      </c>
      <c r="E100" s="610"/>
      <c r="G100" s="612"/>
      <c r="J100" s="612"/>
    </row>
    <row r="101" spans="1:10" ht="13.35" customHeight="1">
      <c r="A101" s="609" t="str">
        <f>"QFP: "&amp;'DATOS ETIQ'!L$5&amp;"   QFV: "&amp;'DATOS ETIQ'!M$5</f>
        <v>QFP: JGARCIA   QFV: ADELTORO</v>
      </c>
      <c r="B101" s="609"/>
      <c r="C101" s="200" t="s">
        <v>405</v>
      </c>
      <c r="D101" s="609" t="str">
        <f t="shared" si="17"/>
        <v>QFP: JGARCIA   QFV: ADELTORO</v>
      </c>
      <c r="E101" s="609"/>
      <c r="J101" s="190"/>
    </row>
    <row r="102" spans="1:10" ht="13.35" customHeight="1">
      <c r="A102" s="609" t="str">
        <f>'DATOS ETIQ'!N$5&amp;"   Cama: "&amp;'DATOS ETIQ'!O$5</f>
        <v>C.JPC/SEXTO NTE/SCOOP   Cama: NA</v>
      </c>
      <c r="B102" s="609"/>
      <c r="C102" s="200" t="s">
        <v>405</v>
      </c>
      <c r="D102" s="609" t="str">
        <f t="shared" si="17"/>
        <v>C.JPC/SEXTO NTE/SCOOP   Cama: NA</v>
      </c>
      <c r="E102" s="609"/>
      <c r="J102" s="190"/>
    </row>
    <row r="103" spans="1:10" ht="13.35" customHeight="1">
      <c r="A103" s="609" t="s">
        <v>167</v>
      </c>
      <c r="B103" s="609"/>
      <c r="C103" s="200" t="s">
        <v>405</v>
      </c>
      <c r="D103" s="609" t="str">
        <f t="shared" si="17"/>
        <v>UNIDOSSIS S.A.S.</v>
      </c>
      <c r="E103" s="609"/>
      <c r="J103" s="190"/>
    </row>
    <row r="104" spans="1:10" ht="13.35" customHeight="1">
      <c r="A104" s="199" t="s">
        <v>403</v>
      </c>
      <c r="B104" s="199" t="s">
        <v>403</v>
      </c>
      <c r="C104" s="200" t="s">
        <v>405</v>
      </c>
      <c r="D104" s="199" t="s">
        <v>404</v>
      </c>
      <c r="E104" s="199" t="s">
        <v>403</v>
      </c>
      <c r="J104" s="190"/>
    </row>
    <row r="105" spans="1:10" ht="13.35" customHeight="1">
      <c r="A105" s="610" t="e">
        <f t="shared" ref="A105:A127" si="18">A97</f>
        <v>#N/A</v>
      </c>
      <c r="B105" s="610"/>
      <c r="C105" s="200" t="s">
        <v>405</v>
      </c>
      <c r="D105" s="610" t="e">
        <f t="shared" ref="D105:D111" si="19">A105</f>
        <v>#N/A</v>
      </c>
      <c r="E105" s="610"/>
      <c r="J105" s="190"/>
    </row>
    <row r="106" spans="1:10" ht="13.35" customHeight="1">
      <c r="A106" s="610" t="e">
        <f t="shared" si="18"/>
        <v>#N/A</v>
      </c>
      <c r="B106" s="610"/>
      <c r="C106" s="200" t="s">
        <v>405</v>
      </c>
      <c r="D106" s="610" t="e">
        <f t="shared" si="19"/>
        <v>#N/A</v>
      </c>
      <c r="E106" s="610"/>
      <c r="J106" s="190"/>
    </row>
    <row r="107" spans="1:10" ht="13.35" customHeight="1">
      <c r="A107" s="182" t="e">
        <f t="shared" ca="1" si="18"/>
        <v>#N/A</v>
      </c>
      <c r="B107" s="183" t="str">
        <f>B99</f>
        <v xml:space="preserve">Lt: </v>
      </c>
      <c r="C107" s="200" t="s">
        <v>405</v>
      </c>
      <c r="D107" s="182" t="e">
        <f t="shared" ca="1" si="19"/>
        <v>#N/A</v>
      </c>
      <c r="E107" s="183" t="str">
        <f>B107</f>
        <v xml:space="preserve">Lt: </v>
      </c>
      <c r="J107" s="190"/>
    </row>
    <row r="108" spans="1:10" ht="13.35" customHeight="1">
      <c r="A108" s="610" t="str">
        <f t="shared" si="18"/>
        <v xml:space="preserve">  0</v>
      </c>
      <c r="B108" s="610"/>
      <c r="C108" s="200" t="s">
        <v>405</v>
      </c>
      <c r="D108" s="610" t="str">
        <f t="shared" si="19"/>
        <v xml:space="preserve">  0</v>
      </c>
      <c r="E108" s="610"/>
      <c r="J108" s="190"/>
    </row>
    <row r="109" spans="1:10" ht="13.35" customHeight="1">
      <c r="A109" s="609" t="str">
        <f t="shared" si="18"/>
        <v>QFP: JGARCIA   QFV: ADELTORO</v>
      </c>
      <c r="B109" s="609"/>
      <c r="C109" s="200" t="s">
        <v>405</v>
      </c>
      <c r="D109" s="609" t="str">
        <f t="shared" si="19"/>
        <v>QFP: JGARCIA   QFV: ADELTORO</v>
      </c>
      <c r="E109" s="609"/>
      <c r="J109" s="190"/>
    </row>
    <row r="110" spans="1:10" ht="13.35" customHeight="1">
      <c r="A110" s="609" t="str">
        <f t="shared" si="18"/>
        <v>C.JPC/SEXTO NTE/SCOOP   Cama: NA</v>
      </c>
      <c r="B110" s="609"/>
      <c r="C110" s="200" t="s">
        <v>405</v>
      </c>
      <c r="D110" s="609" t="str">
        <f t="shared" si="19"/>
        <v>C.JPC/SEXTO NTE/SCOOP   Cama: NA</v>
      </c>
      <c r="E110" s="609"/>
      <c r="J110" s="190"/>
    </row>
    <row r="111" spans="1:10" ht="13.35" customHeight="1">
      <c r="A111" s="609" t="str">
        <f t="shared" si="18"/>
        <v>UNIDOSSIS S.A.S.</v>
      </c>
      <c r="B111" s="609"/>
      <c r="C111" s="200" t="s">
        <v>405</v>
      </c>
      <c r="D111" s="609" t="str">
        <f t="shared" si="19"/>
        <v>UNIDOSSIS S.A.S.</v>
      </c>
      <c r="E111" s="609"/>
      <c r="J111" s="190"/>
    </row>
    <row r="112" spans="1:10" ht="13.35" customHeight="1">
      <c r="A112" s="199" t="s">
        <v>403</v>
      </c>
      <c r="B112" s="199" t="s">
        <v>403</v>
      </c>
      <c r="C112" s="200" t="s">
        <v>405</v>
      </c>
      <c r="D112" s="199" t="s">
        <v>404</v>
      </c>
      <c r="E112" s="199" t="s">
        <v>403</v>
      </c>
      <c r="J112" s="190"/>
    </row>
    <row r="113" spans="1:10" ht="13.35" customHeight="1">
      <c r="A113" s="610" t="e">
        <f t="shared" si="18"/>
        <v>#N/A</v>
      </c>
      <c r="B113" s="610"/>
      <c r="C113" s="200" t="s">
        <v>405</v>
      </c>
      <c r="D113" s="610" t="e">
        <f t="shared" ref="D113:D119" si="20">A113</f>
        <v>#N/A</v>
      </c>
      <c r="E113" s="610"/>
      <c r="J113" s="190"/>
    </row>
    <row r="114" spans="1:10" ht="13.35" customHeight="1">
      <c r="A114" s="610" t="e">
        <f t="shared" si="18"/>
        <v>#N/A</v>
      </c>
      <c r="B114" s="610"/>
      <c r="C114" s="200" t="s">
        <v>405</v>
      </c>
      <c r="D114" s="610" t="e">
        <f t="shared" si="20"/>
        <v>#N/A</v>
      </c>
      <c r="E114" s="610"/>
      <c r="J114" s="190"/>
    </row>
    <row r="115" spans="1:10" ht="13.35" customHeight="1">
      <c r="A115" s="182" t="e">
        <f t="shared" ca="1" si="18"/>
        <v>#N/A</v>
      </c>
      <c r="B115" s="183" t="str">
        <f>B107</f>
        <v xml:space="preserve">Lt: </v>
      </c>
      <c r="C115" s="200" t="s">
        <v>405</v>
      </c>
      <c r="D115" s="182" t="e">
        <f t="shared" ca="1" si="20"/>
        <v>#N/A</v>
      </c>
      <c r="E115" s="183" t="str">
        <f>B115</f>
        <v xml:space="preserve">Lt: </v>
      </c>
      <c r="J115" s="190"/>
    </row>
    <row r="116" spans="1:10" ht="13.35" customHeight="1">
      <c r="A116" s="610" t="str">
        <f t="shared" si="18"/>
        <v xml:space="preserve">  0</v>
      </c>
      <c r="B116" s="610"/>
      <c r="C116" s="200" t="s">
        <v>405</v>
      </c>
      <c r="D116" s="610" t="str">
        <f t="shared" si="20"/>
        <v xml:space="preserve">  0</v>
      </c>
      <c r="E116" s="610"/>
      <c r="J116" s="190"/>
    </row>
    <row r="117" spans="1:10" ht="13.35" customHeight="1">
      <c r="A117" s="609" t="str">
        <f t="shared" si="18"/>
        <v>QFP: JGARCIA   QFV: ADELTORO</v>
      </c>
      <c r="B117" s="609"/>
      <c r="C117" s="200" t="s">
        <v>405</v>
      </c>
      <c r="D117" s="609" t="str">
        <f t="shared" si="20"/>
        <v>QFP: JGARCIA   QFV: ADELTORO</v>
      </c>
      <c r="E117" s="609"/>
      <c r="J117" s="190"/>
    </row>
    <row r="118" spans="1:10" ht="13.35" customHeight="1">
      <c r="A118" s="609" t="str">
        <f t="shared" si="18"/>
        <v>C.JPC/SEXTO NTE/SCOOP   Cama: NA</v>
      </c>
      <c r="B118" s="609"/>
      <c r="C118" s="200" t="s">
        <v>405</v>
      </c>
      <c r="D118" s="609" t="str">
        <f t="shared" si="20"/>
        <v>C.JPC/SEXTO NTE/SCOOP   Cama: NA</v>
      </c>
      <c r="E118" s="609"/>
      <c r="J118" s="190"/>
    </row>
    <row r="119" spans="1:10" ht="13.35" customHeight="1">
      <c r="A119" s="609" t="str">
        <f t="shared" si="18"/>
        <v>UNIDOSSIS S.A.S.</v>
      </c>
      <c r="B119" s="609"/>
      <c r="C119" s="200" t="s">
        <v>405</v>
      </c>
      <c r="D119" s="609" t="str">
        <f t="shared" si="20"/>
        <v>UNIDOSSIS S.A.S.</v>
      </c>
      <c r="E119" s="609"/>
      <c r="J119" s="190"/>
    </row>
    <row r="120" spans="1:10" ht="13.35" customHeight="1">
      <c r="A120" s="199" t="s">
        <v>403</v>
      </c>
      <c r="B120" s="199" t="s">
        <v>403</v>
      </c>
      <c r="C120" s="200" t="s">
        <v>405</v>
      </c>
      <c r="D120" s="199" t="s">
        <v>404</v>
      </c>
      <c r="E120" s="199" t="s">
        <v>403</v>
      </c>
      <c r="J120" s="190"/>
    </row>
    <row r="121" spans="1:10" ht="13.35" customHeight="1">
      <c r="A121" s="610" t="e">
        <f t="shared" si="18"/>
        <v>#N/A</v>
      </c>
      <c r="B121" s="610"/>
      <c r="C121" s="200" t="s">
        <v>405</v>
      </c>
      <c r="D121" s="610" t="e">
        <f t="shared" ref="D121:D127" si="21">A121</f>
        <v>#N/A</v>
      </c>
      <c r="E121" s="610"/>
      <c r="J121" s="190"/>
    </row>
    <row r="122" spans="1:10" ht="13.35" customHeight="1">
      <c r="A122" s="610" t="e">
        <f t="shared" si="18"/>
        <v>#N/A</v>
      </c>
      <c r="B122" s="610"/>
      <c r="C122" s="200" t="s">
        <v>405</v>
      </c>
      <c r="D122" s="610" t="e">
        <f t="shared" si="21"/>
        <v>#N/A</v>
      </c>
      <c r="E122" s="610"/>
      <c r="J122" s="190"/>
    </row>
    <row r="123" spans="1:10" ht="13.35" customHeight="1">
      <c r="A123" s="182" t="e">
        <f t="shared" ca="1" si="18"/>
        <v>#N/A</v>
      </c>
      <c r="B123" s="183" t="str">
        <f>B115</f>
        <v xml:space="preserve">Lt: </v>
      </c>
      <c r="C123" s="200" t="s">
        <v>405</v>
      </c>
      <c r="D123" s="182" t="e">
        <f t="shared" ca="1" si="21"/>
        <v>#N/A</v>
      </c>
      <c r="E123" s="183" t="str">
        <f>B123</f>
        <v xml:space="preserve">Lt: </v>
      </c>
      <c r="J123" s="190"/>
    </row>
    <row r="124" spans="1:10" ht="13.35" customHeight="1">
      <c r="A124" s="610" t="str">
        <f t="shared" si="18"/>
        <v xml:space="preserve">  0</v>
      </c>
      <c r="B124" s="610"/>
      <c r="C124" s="200" t="s">
        <v>405</v>
      </c>
      <c r="D124" s="610" t="str">
        <f t="shared" si="21"/>
        <v xml:space="preserve">  0</v>
      </c>
      <c r="E124" s="610"/>
      <c r="J124" s="190"/>
    </row>
    <row r="125" spans="1:10" ht="13.35" customHeight="1">
      <c r="A125" s="609" t="str">
        <f t="shared" si="18"/>
        <v>QFP: JGARCIA   QFV: ADELTORO</v>
      </c>
      <c r="B125" s="609"/>
      <c r="C125" s="200" t="s">
        <v>405</v>
      </c>
      <c r="D125" s="609" t="str">
        <f t="shared" si="21"/>
        <v>QFP: JGARCIA   QFV: ADELTORO</v>
      </c>
      <c r="E125" s="609"/>
      <c r="J125" s="190"/>
    </row>
    <row r="126" spans="1:10" ht="13.35" customHeight="1">
      <c r="A126" s="609" t="str">
        <f t="shared" si="18"/>
        <v>C.JPC/SEXTO NTE/SCOOP   Cama: NA</v>
      </c>
      <c r="B126" s="609"/>
      <c r="C126" s="200" t="s">
        <v>405</v>
      </c>
      <c r="D126" s="609" t="str">
        <f t="shared" si="21"/>
        <v>C.JPC/SEXTO NTE/SCOOP   Cama: NA</v>
      </c>
      <c r="E126" s="609"/>
      <c r="J126" s="190"/>
    </row>
    <row r="127" spans="1:10" ht="13.35" customHeight="1">
      <c r="A127" s="609" t="str">
        <f t="shared" si="18"/>
        <v>UNIDOSSIS S.A.S.</v>
      </c>
      <c r="B127" s="609"/>
      <c r="C127" s="200" t="s">
        <v>405</v>
      </c>
      <c r="D127" s="609" t="str">
        <f t="shared" si="21"/>
        <v>UNIDOSSIS S.A.S.</v>
      </c>
      <c r="E127" s="609"/>
      <c r="J127" s="190"/>
    </row>
    <row r="128" spans="1:10" ht="13.35" customHeight="1">
      <c r="A128" s="610" t="e">
        <f>'DATOS ETIQ'!B$6&amp;"  "&amp;'DATOS ETIQ'!C$6&amp;"  "&amp;'DATOS ETIQ'!D$6&amp;'DATOS ETIQ'!Q$6</f>
        <v>#N/A</v>
      </c>
      <c r="B128" s="610"/>
      <c r="C128" s="200" t="s">
        <v>405</v>
      </c>
      <c r="D128" s="610" t="e">
        <f t="shared" ref="D128:D134" si="22">A128</f>
        <v>#N/A</v>
      </c>
      <c r="E128" s="610"/>
      <c r="J128" s="190"/>
    </row>
    <row r="129" spans="1:10" ht="13.35" customHeight="1" thickBot="1">
      <c r="A129" s="610" t="e">
        <f>IF('DATOS ETIQ'!P$6=1,"Do: "&amp;'DATOS ETIQ'!F$6&amp;"mg   VolDo: "&amp;'DATOS ETIQ'!G$6&amp;"mL","Dilución 1/"&amp;'DATOS ETIQ'!P$6&amp;"  "&amp;'DATOS ETIQ'!E$6&amp;"mg/mL   Do: "&amp;'DATOS ETIQ'!F$6&amp;"mg   VolDo: "&amp;'DATOS ETIQ'!G$6&amp;"mL")</f>
        <v>#N/A</v>
      </c>
      <c r="B129" s="610"/>
      <c r="C129" s="200" t="s">
        <v>405</v>
      </c>
      <c r="D129" s="610" t="e">
        <f t="shared" si="22"/>
        <v>#N/A</v>
      </c>
      <c r="E129" s="610"/>
      <c r="J129" s="190"/>
    </row>
    <row r="130" spans="1:10" ht="13.35" customHeight="1">
      <c r="A130" s="182" t="e">
        <f ca="1">'DATOS ETIQ'!H$6</f>
        <v>#N/A</v>
      </c>
      <c r="B130" s="183" t="str">
        <f>"Lt: "&amp;'DATOS ETIQ'!I$6</f>
        <v xml:space="preserve">Lt: </v>
      </c>
      <c r="C130" s="200" t="s">
        <v>405</v>
      </c>
      <c r="D130" s="182" t="e">
        <f t="shared" ca="1" si="22"/>
        <v>#N/A</v>
      </c>
      <c r="E130" s="183" t="str">
        <f>B130</f>
        <v xml:space="preserve">Lt: </v>
      </c>
      <c r="G130" s="611" t="e">
        <f>'FR PD 001 V1'!T10/4</f>
        <v>#N/A</v>
      </c>
      <c r="J130" s="611">
        <v>5</v>
      </c>
    </row>
    <row r="131" spans="1:10" ht="13.35" customHeight="1" thickBot="1">
      <c r="A131" s="610" t="str">
        <f>'DATOS ETIQ'!J$6&amp;"  "&amp;'DATOS ETIQ'!K$6</f>
        <v xml:space="preserve">  0</v>
      </c>
      <c r="B131" s="610"/>
      <c r="C131" s="200" t="s">
        <v>405</v>
      </c>
      <c r="D131" s="610" t="str">
        <f t="shared" si="22"/>
        <v xml:space="preserve">  0</v>
      </c>
      <c r="E131" s="610"/>
      <c r="G131" s="612"/>
      <c r="J131" s="612"/>
    </row>
    <row r="132" spans="1:10" ht="13.35" customHeight="1">
      <c r="A132" s="609" t="str">
        <f>"QFP: "&amp;'DATOS ETIQ'!L$6&amp;"   QFV: "&amp;'DATOS ETIQ'!M$6</f>
        <v>QFP: JGARCIA   QFV: ADELTORO</v>
      </c>
      <c r="B132" s="609"/>
      <c r="C132" s="200" t="s">
        <v>405</v>
      </c>
      <c r="D132" s="609" t="str">
        <f t="shared" si="22"/>
        <v>QFP: JGARCIA   QFV: ADELTORO</v>
      </c>
      <c r="E132" s="609"/>
      <c r="J132" s="190"/>
    </row>
    <row r="133" spans="1:10" ht="13.35" customHeight="1">
      <c r="A133" s="609" t="str">
        <f>'DATOS ETIQ'!N$6&amp;"   Cama: "&amp;'DATOS ETIQ'!O$6</f>
        <v>C.JPC/SEXTO NTE/SCOOP   Cama: NA</v>
      </c>
      <c r="B133" s="609"/>
      <c r="C133" s="200" t="s">
        <v>405</v>
      </c>
      <c r="D133" s="609" t="str">
        <f t="shared" si="22"/>
        <v>C.JPC/SEXTO NTE/SCOOP   Cama: NA</v>
      </c>
      <c r="E133" s="609"/>
      <c r="J133" s="190"/>
    </row>
    <row r="134" spans="1:10" ht="13.35" customHeight="1">
      <c r="A134" s="609" t="s">
        <v>167</v>
      </c>
      <c r="B134" s="609"/>
      <c r="C134" s="200" t="s">
        <v>405</v>
      </c>
      <c r="D134" s="609" t="str">
        <f t="shared" si="22"/>
        <v>UNIDOSSIS S.A.S.</v>
      </c>
      <c r="E134" s="609"/>
      <c r="J134" s="190"/>
    </row>
    <row r="135" spans="1:10" ht="13.35" customHeight="1">
      <c r="A135" s="199" t="s">
        <v>403</v>
      </c>
      <c r="B135" s="199" t="s">
        <v>403</v>
      </c>
      <c r="C135" s="200" t="s">
        <v>405</v>
      </c>
      <c r="D135" s="199" t="s">
        <v>404</v>
      </c>
      <c r="E135" s="199" t="s">
        <v>403</v>
      </c>
      <c r="J135" s="190"/>
    </row>
    <row r="136" spans="1:10" ht="13.35" customHeight="1">
      <c r="A136" s="610" t="e">
        <f t="shared" ref="A136:A158" si="23">A128</f>
        <v>#N/A</v>
      </c>
      <c r="B136" s="610"/>
      <c r="C136" s="200" t="s">
        <v>405</v>
      </c>
      <c r="D136" s="610" t="e">
        <f t="shared" ref="D136:D142" si="24">A136</f>
        <v>#N/A</v>
      </c>
      <c r="E136" s="610"/>
      <c r="J136" s="190"/>
    </row>
    <row r="137" spans="1:10" ht="13.35" customHeight="1">
      <c r="A137" s="610" t="e">
        <f t="shared" si="23"/>
        <v>#N/A</v>
      </c>
      <c r="B137" s="610"/>
      <c r="C137" s="200" t="s">
        <v>405</v>
      </c>
      <c r="D137" s="610" t="e">
        <f t="shared" si="24"/>
        <v>#N/A</v>
      </c>
      <c r="E137" s="610"/>
      <c r="J137" s="190"/>
    </row>
    <row r="138" spans="1:10" ht="13.35" customHeight="1">
      <c r="A138" s="182" t="e">
        <f t="shared" ca="1" si="23"/>
        <v>#N/A</v>
      </c>
      <c r="B138" s="183" t="str">
        <f>B130</f>
        <v xml:space="preserve">Lt: </v>
      </c>
      <c r="C138" s="200" t="s">
        <v>405</v>
      </c>
      <c r="D138" s="182" t="e">
        <f t="shared" ca="1" si="24"/>
        <v>#N/A</v>
      </c>
      <c r="E138" s="183" t="str">
        <f>B138</f>
        <v xml:space="preserve">Lt: </v>
      </c>
      <c r="J138" s="190"/>
    </row>
    <row r="139" spans="1:10" ht="13.35" customHeight="1">
      <c r="A139" s="610" t="str">
        <f t="shared" si="23"/>
        <v xml:space="preserve">  0</v>
      </c>
      <c r="B139" s="610"/>
      <c r="C139" s="200" t="s">
        <v>405</v>
      </c>
      <c r="D139" s="610" t="str">
        <f t="shared" si="24"/>
        <v xml:space="preserve">  0</v>
      </c>
      <c r="E139" s="610"/>
      <c r="J139" s="190"/>
    </row>
    <row r="140" spans="1:10" ht="13.35" customHeight="1">
      <c r="A140" s="609" t="str">
        <f t="shared" si="23"/>
        <v>QFP: JGARCIA   QFV: ADELTORO</v>
      </c>
      <c r="B140" s="609"/>
      <c r="C140" s="200" t="s">
        <v>405</v>
      </c>
      <c r="D140" s="609" t="str">
        <f t="shared" si="24"/>
        <v>QFP: JGARCIA   QFV: ADELTORO</v>
      </c>
      <c r="E140" s="609"/>
      <c r="J140" s="190"/>
    </row>
    <row r="141" spans="1:10" ht="13.35" customHeight="1">
      <c r="A141" s="609" t="str">
        <f t="shared" si="23"/>
        <v>C.JPC/SEXTO NTE/SCOOP   Cama: NA</v>
      </c>
      <c r="B141" s="609"/>
      <c r="C141" s="200" t="s">
        <v>405</v>
      </c>
      <c r="D141" s="609" t="str">
        <f t="shared" si="24"/>
        <v>C.JPC/SEXTO NTE/SCOOP   Cama: NA</v>
      </c>
      <c r="E141" s="609"/>
      <c r="J141" s="190"/>
    </row>
    <row r="142" spans="1:10" ht="13.35" customHeight="1">
      <c r="A142" s="609" t="str">
        <f t="shared" si="23"/>
        <v>UNIDOSSIS S.A.S.</v>
      </c>
      <c r="B142" s="609"/>
      <c r="C142" s="200" t="s">
        <v>405</v>
      </c>
      <c r="D142" s="609" t="str">
        <f t="shared" si="24"/>
        <v>UNIDOSSIS S.A.S.</v>
      </c>
      <c r="E142" s="609"/>
      <c r="J142" s="190"/>
    </row>
    <row r="143" spans="1:10" ht="13.35" customHeight="1">
      <c r="A143" s="199" t="s">
        <v>403</v>
      </c>
      <c r="B143" s="199" t="s">
        <v>403</v>
      </c>
      <c r="C143" s="200" t="s">
        <v>405</v>
      </c>
      <c r="D143" s="199" t="s">
        <v>404</v>
      </c>
      <c r="E143" s="199" t="s">
        <v>403</v>
      </c>
      <c r="J143" s="190"/>
    </row>
    <row r="144" spans="1:10" ht="13.35" customHeight="1">
      <c r="A144" s="610" t="e">
        <f t="shared" si="23"/>
        <v>#N/A</v>
      </c>
      <c r="B144" s="610"/>
      <c r="C144" s="200" t="s">
        <v>405</v>
      </c>
      <c r="D144" s="610" t="e">
        <f t="shared" ref="D144:D150" si="25">A144</f>
        <v>#N/A</v>
      </c>
      <c r="E144" s="610"/>
      <c r="J144" s="190"/>
    </row>
    <row r="145" spans="1:10" ht="13.35" customHeight="1">
      <c r="A145" s="610" t="e">
        <f t="shared" si="23"/>
        <v>#N/A</v>
      </c>
      <c r="B145" s="610"/>
      <c r="C145" s="200" t="s">
        <v>405</v>
      </c>
      <c r="D145" s="610" t="e">
        <f t="shared" si="25"/>
        <v>#N/A</v>
      </c>
      <c r="E145" s="610"/>
      <c r="J145" s="190"/>
    </row>
    <row r="146" spans="1:10" ht="13.35" customHeight="1">
      <c r="A146" s="182" t="e">
        <f t="shared" ca="1" si="23"/>
        <v>#N/A</v>
      </c>
      <c r="B146" s="183" t="str">
        <f>B138</f>
        <v xml:space="preserve">Lt: </v>
      </c>
      <c r="C146" s="200" t="s">
        <v>405</v>
      </c>
      <c r="D146" s="182" t="e">
        <f t="shared" ca="1" si="25"/>
        <v>#N/A</v>
      </c>
      <c r="E146" s="183" t="str">
        <f>B146</f>
        <v xml:space="preserve">Lt: </v>
      </c>
      <c r="J146" s="190"/>
    </row>
    <row r="147" spans="1:10" ht="13.35" customHeight="1">
      <c r="A147" s="610" t="str">
        <f t="shared" si="23"/>
        <v xml:space="preserve">  0</v>
      </c>
      <c r="B147" s="610"/>
      <c r="C147" s="200" t="s">
        <v>405</v>
      </c>
      <c r="D147" s="610" t="str">
        <f t="shared" si="25"/>
        <v xml:space="preserve">  0</v>
      </c>
      <c r="E147" s="610"/>
      <c r="J147" s="190"/>
    </row>
    <row r="148" spans="1:10" ht="13.35" customHeight="1">
      <c r="A148" s="609" t="str">
        <f t="shared" si="23"/>
        <v>QFP: JGARCIA   QFV: ADELTORO</v>
      </c>
      <c r="B148" s="609"/>
      <c r="C148" s="200" t="s">
        <v>405</v>
      </c>
      <c r="D148" s="609" t="str">
        <f t="shared" si="25"/>
        <v>QFP: JGARCIA   QFV: ADELTORO</v>
      </c>
      <c r="E148" s="609"/>
      <c r="J148" s="190"/>
    </row>
    <row r="149" spans="1:10" ht="13.35" customHeight="1">
      <c r="A149" s="609" t="str">
        <f t="shared" si="23"/>
        <v>C.JPC/SEXTO NTE/SCOOP   Cama: NA</v>
      </c>
      <c r="B149" s="609"/>
      <c r="C149" s="200" t="s">
        <v>405</v>
      </c>
      <c r="D149" s="609" t="str">
        <f t="shared" si="25"/>
        <v>C.JPC/SEXTO NTE/SCOOP   Cama: NA</v>
      </c>
      <c r="E149" s="609"/>
      <c r="J149" s="190"/>
    </row>
    <row r="150" spans="1:10" ht="13.35" customHeight="1">
      <c r="A150" s="609" t="str">
        <f t="shared" si="23"/>
        <v>UNIDOSSIS S.A.S.</v>
      </c>
      <c r="B150" s="609"/>
      <c r="C150" s="200" t="s">
        <v>405</v>
      </c>
      <c r="D150" s="609" t="str">
        <f t="shared" si="25"/>
        <v>UNIDOSSIS S.A.S.</v>
      </c>
      <c r="E150" s="609"/>
      <c r="J150" s="190"/>
    </row>
    <row r="151" spans="1:10" ht="13.35" customHeight="1">
      <c r="A151" s="199" t="s">
        <v>403</v>
      </c>
      <c r="B151" s="199" t="s">
        <v>403</v>
      </c>
      <c r="C151" s="200" t="s">
        <v>405</v>
      </c>
      <c r="D151" s="199" t="s">
        <v>404</v>
      </c>
      <c r="E151" s="199" t="s">
        <v>403</v>
      </c>
      <c r="J151" s="190"/>
    </row>
    <row r="152" spans="1:10" ht="13.35" customHeight="1">
      <c r="A152" s="610" t="e">
        <f t="shared" si="23"/>
        <v>#N/A</v>
      </c>
      <c r="B152" s="610"/>
      <c r="C152" s="200" t="s">
        <v>405</v>
      </c>
      <c r="D152" s="610" t="e">
        <f t="shared" ref="D152:D158" si="26">A152</f>
        <v>#N/A</v>
      </c>
      <c r="E152" s="610"/>
      <c r="J152" s="190"/>
    </row>
    <row r="153" spans="1:10" ht="13.35" customHeight="1">
      <c r="A153" s="610" t="e">
        <f t="shared" si="23"/>
        <v>#N/A</v>
      </c>
      <c r="B153" s="610"/>
      <c r="C153" s="200" t="s">
        <v>405</v>
      </c>
      <c r="D153" s="610" t="e">
        <f t="shared" si="26"/>
        <v>#N/A</v>
      </c>
      <c r="E153" s="610"/>
      <c r="J153" s="190"/>
    </row>
    <row r="154" spans="1:10" ht="13.35" customHeight="1">
      <c r="A154" s="182" t="e">
        <f t="shared" ca="1" si="23"/>
        <v>#N/A</v>
      </c>
      <c r="B154" s="183" t="str">
        <f>B146</f>
        <v xml:space="preserve">Lt: </v>
      </c>
      <c r="C154" s="200" t="s">
        <v>405</v>
      </c>
      <c r="D154" s="182" t="e">
        <f t="shared" ca="1" si="26"/>
        <v>#N/A</v>
      </c>
      <c r="E154" s="183" t="str">
        <f>B154</f>
        <v xml:space="preserve">Lt: </v>
      </c>
      <c r="J154" s="190"/>
    </row>
    <row r="155" spans="1:10" ht="13.35" customHeight="1">
      <c r="A155" s="610" t="str">
        <f t="shared" si="23"/>
        <v xml:space="preserve">  0</v>
      </c>
      <c r="B155" s="610"/>
      <c r="C155" s="200" t="s">
        <v>405</v>
      </c>
      <c r="D155" s="610" t="str">
        <f t="shared" si="26"/>
        <v xml:space="preserve">  0</v>
      </c>
      <c r="E155" s="610"/>
      <c r="J155" s="190"/>
    </row>
    <row r="156" spans="1:10" ht="13.35" customHeight="1">
      <c r="A156" s="609" t="str">
        <f t="shared" si="23"/>
        <v>QFP: JGARCIA   QFV: ADELTORO</v>
      </c>
      <c r="B156" s="609"/>
      <c r="C156" s="200" t="s">
        <v>405</v>
      </c>
      <c r="D156" s="609" t="str">
        <f t="shared" si="26"/>
        <v>QFP: JGARCIA   QFV: ADELTORO</v>
      </c>
      <c r="E156" s="609"/>
      <c r="J156" s="190"/>
    </row>
    <row r="157" spans="1:10" ht="13.35" customHeight="1">
      <c r="A157" s="609" t="str">
        <f t="shared" si="23"/>
        <v>C.JPC/SEXTO NTE/SCOOP   Cama: NA</v>
      </c>
      <c r="B157" s="609"/>
      <c r="C157" s="200" t="s">
        <v>405</v>
      </c>
      <c r="D157" s="609" t="str">
        <f t="shared" si="26"/>
        <v>C.JPC/SEXTO NTE/SCOOP   Cama: NA</v>
      </c>
      <c r="E157" s="609"/>
      <c r="J157" s="190"/>
    </row>
    <row r="158" spans="1:10" ht="13.35" customHeight="1">
      <c r="A158" s="609" t="str">
        <f t="shared" si="23"/>
        <v>UNIDOSSIS S.A.S.</v>
      </c>
      <c r="B158" s="609"/>
      <c r="C158" s="200" t="s">
        <v>405</v>
      </c>
      <c r="D158" s="609" t="str">
        <f t="shared" si="26"/>
        <v>UNIDOSSIS S.A.S.</v>
      </c>
      <c r="E158" s="609"/>
      <c r="J158" s="190"/>
    </row>
    <row r="159" spans="1:10" ht="13.35" customHeight="1">
      <c r="A159" s="610" t="e">
        <f>'DATOS ETIQ'!B$7&amp;"  "&amp;'DATOS ETIQ'!C$7&amp;"  "&amp;'DATOS ETIQ'!D$7&amp;'DATOS ETIQ'!Q$7</f>
        <v>#N/A</v>
      </c>
      <c r="B159" s="610"/>
      <c r="C159" s="200" t="s">
        <v>405</v>
      </c>
      <c r="D159" s="610" t="e">
        <f t="shared" ref="D159:D165" si="27">A159</f>
        <v>#N/A</v>
      </c>
      <c r="E159" s="610"/>
      <c r="J159" s="190"/>
    </row>
    <row r="160" spans="1:10" ht="13.35" customHeight="1" thickBot="1">
      <c r="A160" s="610" t="e">
        <f>IF('DATOS ETIQ'!P$7=1,"Do: "&amp;'DATOS ETIQ'!F$7&amp;"mg   VolDo: "&amp;'DATOS ETIQ'!G$7&amp;"mL","Dilución 1/"&amp;'DATOS ETIQ'!P$7&amp;"  "&amp;'DATOS ETIQ'!E$7&amp;"mg/mL   Do: "&amp;'DATOS ETIQ'!F$7&amp;"mg   VolDo: "&amp;'DATOS ETIQ'!G$7&amp;"mL")</f>
        <v>#N/A</v>
      </c>
      <c r="B160" s="610"/>
      <c r="C160" s="200" t="s">
        <v>405</v>
      </c>
      <c r="D160" s="610" t="e">
        <f t="shared" si="27"/>
        <v>#N/A</v>
      </c>
      <c r="E160" s="610"/>
      <c r="J160" s="190"/>
    </row>
    <row r="161" spans="1:10" ht="13.35" customHeight="1">
      <c r="A161" s="182" t="e">
        <f ca="1">'DATOS ETIQ'!H$7</f>
        <v>#N/A</v>
      </c>
      <c r="B161" s="183" t="str">
        <f>"Lt: "&amp;'DATOS ETIQ'!I$7</f>
        <v xml:space="preserve">Lt: </v>
      </c>
      <c r="C161" s="200" t="s">
        <v>405</v>
      </c>
      <c r="D161" s="182" t="e">
        <f t="shared" ca="1" si="27"/>
        <v>#N/A</v>
      </c>
      <c r="E161" s="183" t="str">
        <f>B161</f>
        <v xml:space="preserve">Lt: </v>
      </c>
      <c r="G161" s="611" t="e">
        <f>'FR PD 001 V1'!T11/4</f>
        <v>#N/A</v>
      </c>
      <c r="J161" s="611">
        <v>6</v>
      </c>
    </row>
    <row r="162" spans="1:10" ht="13.35" customHeight="1" thickBot="1">
      <c r="A162" s="610" t="str">
        <f>'DATOS ETIQ'!J$7&amp;"  "&amp;'DATOS ETIQ'!K$7</f>
        <v xml:space="preserve">  0</v>
      </c>
      <c r="B162" s="610"/>
      <c r="C162" s="200" t="s">
        <v>405</v>
      </c>
      <c r="D162" s="610" t="str">
        <f t="shared" si="27"/>
        <v xml:space="preserve">  0</v>
      </c>
      <c r="E162" s="610"/>
      <c r="G162" s="612"/>
      <c r="J162" s="612"/>
    </row>
    <row r="163" spans="1:10" ht="13.35" customHeight="1">
      <c r="A163" s="609" t="str">
        <f>"QFP: "&amp;'DATOS ETIQ'!L$7&amp;"   QFV: "&amp;'DATOS ETIQ'!M$7</f>
        <v>QFP: JGARCIA   QFV: ADELTORO</v>
      </c>
      <c r="B163" s="609"/>
      <c r="C163" s="200" t="s">
        <v>405</v>
      </c>
      <c r="D163" s="609" t="str">
        <f t="shared" si="27"/>
        <v>QFP: JGARCIA   QFV: ADELTORO</v>
      </c>
      <c r="E163" s="609"/>
      <c r="J163" s="190"/>
    </row>
    <row r="164" spans="1:10" ht="13.35" customHeight="1">
      <c r="A164" s="609" t="str">
        <f>'DATOS ETIQ'!N$7&amp;"   Cama: "&amp;'DATOS ETIQ'!O$7</f>
        <v>C.JPC/SEXTO NTE/SCOOP   Cama: NA</v>
      </c>
      <c r="B164" s="609"/>
      <c r="C164" s="200" t="s">
        <v>405</v>
      </c>
      <c r="D164" s="609" t="str">
        <f t="shared" si="27"/>
        <v>C.JPC/SEXTO NTE/SCOOP   Cama: NA</v>
      </c>
      <c r="E164" s="609"/>
      <c r="J164" s="190"/>
    </row>
    <row r="165" spans="1:10" ht="13.35" customHeight="1">
      <c r="A165" s="609" t="s">
        <v>167</v>
      </c>
      <c r="B165" s="609"/>
      <c r="C165" s="200" t="s">
        <v>405</v>
      </c>
      <c r="D165" s="609" t="str">
        <f t="shared" si="27"/>
        <v>UNIDOSSIS S.A.S.</v>
      </c>
      <c r="E165" s="609"/>
      <c r="J165" s="190"/>
    </row>
    <row r="166" spans="1:10" ht="13.35" customHeight="1">
      <c r="A166" s="199" t="s">
        <v>403</v>
      </c>
      <c r="B166" s="199" t="s">
        <v>403</v>
      </c>
      <c r="C166" s="200" t="s">
        <v>405</v>
      </c>
      <c r="D166" s="199" t="s">
        <v>404</v>
      </c>
      <c r="E166" s="199" t="s">
        <v>403</v>
      </c>
      <c r="J166" s="190"/>
    </row>
    <row r="167" spans="1:10" ht="13.35" customHeight="1">
      <c r="A167" s="610" t="e">
        <f t="shared" ref="A167:A189" si="28">A159</f>
        <v>#N/A</v>
      </c>
      <c r="B167" s="610"/>
      <c r="C167" s="200" t="s">
        <v>405</v>
      </c>
      <c r="D167" s="610" t="e">
        <f t="shared" ref="D167:D173" si="29">A167</f>
        <v>#N/A</v>
      </c>
      <c r="E167" s="610"/>
      <c r="J167" s="190"/>
    </row>
    <row r="168" spans="1:10" ht="13.35" customHeight="1">
      <c r="A168" s="610" t="e">
        <f t="shared" si="28"/>
        <v>#N/A</v>
      </c>
      <c r="B168" s="610"/>
      <c r="C168" s="200" t="s">
        <v>405</v>
      </c>
      <c r="D168" s="610" t="e">
        <f t="shared" si="29"/>
        <v>#N/A</v>
      </c>
      <c r="E168" s="610"/>
      <c r="J168" s="190"/>
    </row>
    <row r="169" spans="1:10" ht="13.35" customHeight="1">
      <c r="A169" s="182" t="e">
        <f t="shared" ca="1" si="28"/>
        <v>#N/A</v>
      </c>
      <c r="B169" s="183" t="str">
        <f>B161</f>
        <v xml:space="preserve">Lt: </v>
      </c>
      <c r="C169" s="200" t="s">
        <v>405</v>
      </c>
      <c r="D169" s="182" t="e">
        <f t="shared" ca="1" si="29"/>
        <v>#N/A</v>
      </c>
      <c r="E169" s="183" t="str">
        <f>B169</f>
        <v xml:space="preserve">Lt: </v>
      </c>
      <c r="J169" s="190"/>
    </row>
    <row r="170" spans="1:10" ht="13.35" customHeight="1">
      <c r="A170" s="610" t="str">
        <f t="shared" si="28"/>
        <v xml:space="preserve">  0</v>
      </c>
      <c r="B170" s="610"/>
      <c r="C170" s="200" t="s">
        <v>405</v>
      </c>
      <c r="D170" s="610" t="str">
        <f t="shared" si="29"/>
        <v xml:space="preserve">  0</v>
      </c>
      <c r="E170" s="610"/>
      <c r="J170" s="190"/>
    </row>
    <row r="171" spans="1:10" ht="13.35" customHeight="1">
      <c r="A171" s="609" t="str">
        <f t="shared" si="28"/>
        <v>QFP: JGARCIA   QFV: ADELTORO</v>
      </c>
      <c r="B171" s="609"/>
      <c r="C171" s="200" t="s">
        <v>405</v>
      </c>
      <c r="D171" s="609" t="str">
        <f t="shared" si="29"/>
        <v>QFP: JGARCIA   QFV: ADELTORO</v>
      </c>
      <c r="E171" s="609"/>
      <c r="J171" s="190"/>
    </row>
    <row r="172" spans="1:10" ht="13.35" customHeight="1">
      <c r="A172" s="609" t="str">
        <f t="shared" si="28"/>
        <v>C.JPC/SEXTO NTE/SCOOP   Cama: NA</v>
      </c>
      <c r="B172" s="609"/>
      <c r="C172" s="200" t="s">
        <v>405</v>
      </c>
      <c r="D172" s="609" t="str">
        <f t="shared" si="29"/>
        <v>C.JPC/SEXTO NTE/SCOOP   Cama: NA</v>
      </c>
      <c r="E172" s="609"/>
      <c r="J172" s="190"/>
    </row>
    <row r="173" spans="1:10" ht="13.35" customHeight="1">
      <c r="A173" s="609" t="str">
        <f t="shared" si="28"/>
        <v>UNIDOSSIS S.A.S.</v>
      </c>
      <c r="B173" s="609"/>
      <c r="C173" s="200" t="s">
        <v>405</v>
      </c>
      <c r="D173" s="609" t="str">
        <f t="shared" si="29"/>
        <v>UNIDOSSIS S.A.S.</v>
      </c>
      <c r="E173" s="609"/>
      <c r="J173" s="190"/>
    </row>
    <row r="174" spans="1:10" ht="13.35" customHeight="1">
      <c r="A174" s="199" t="s">
        <v>403</v>
      </c>
      <c r="B174" s="199" t="s">
        <v>403</v>
      </c>
      <c r="C174" s="200" t="s">
        <v>405</v>
      </c>
      <c r="D174" s="199" t="s">
        <v>404</v>
      </c>
      <c r="E174" s="199" t="s">
        <v>403</v>
      </c>
      <c r="J174" s="190"/>
    </row>
    <row r="175" spans="1:10" ht="13.35" customHeight="1">
      <c r="A175" s="610" t="e">
        <f t="shared" si="28"/>
        <v>#N/A</v>
      </c>
      <c r="B175" s="610"/>
      <c r="C175" s="200" t="s">
        <v>405</v>
      </c>
      <c r="D175" s="610" t="e">
        <f t="shared" ref="D175:D181" si="30">A175</f>
        <v>#N/A</v>
      </c>
      <c r="E175" s="610"/>
      <c r="J175" s="190"/>
    </row>
    <row r="176" spans="1:10" ht="13.35" customHeight="1">
      <c r="A176" s="610" t="e">
        <f t="shared" si="28"/>
        <v>#N/A</v>
      </c>
      <c r="B176" s="610"/>
      <c r="C176" s="200" t="s">
        <v>405</v>
      </c>
      <c r="D176" s="610" t="e">
        <f t="shared" si="30"/>
        <v>#N/A</v>
      </c>
      <c r="E176" s="610"/>
      <c r="J176" s="190"/>
    </row>
    <row r="177" spans="1:10" ht="13.35" customHeight="1">
      <c r="A177" s="182" t="e">
        <f t="shared" ca="1" si="28"/>
        <v>#N/A</v>
      </c>
      <c r="B177" s="183" t="str">
        <f>B169</f>
        <v xml:space="preserve">Lt: </v>
      </c>
      <c r="C177" s="200" t="s">
        <v>405</v>
      </c>
      <c r="D177" s="182" t="e">
        <f t="shared" ca="1" si="30"/>
        <v>#N/A</v>
      </c>
      <c r="E177" s="183" t="str">
        <f>B177</f>
        <v xml:space="preserve">Lt: </v>
      </c>
      <c r="J177" s="190"/>
    </row>
    <row r="178" spans="1:10" ht="13.35" customHeight="1">
      <c r="A178" s="610" t="str">
        <f t="shared" si="28"/>
        <v xml:space="preserve">  0</v>
      </c>
      <c r="B178" s="610"/>
      <c r="C178" s="200" t="s">
        <v>405</v>
      </c>
      <c r="D178" s="610" t="str">
        <f t="shared" si="30"/>
        <v xml:space="preserve">  0</v>
      </c>
      <c r="E178" s="610"/>
      <c r="J178" s="190"/>
    </row>
    <row r="179" spans="1:10" ht="13.35" customHeight="1">
      <c r="A179" s="609" t="str">
        <f t="shared" si="28"/>
        <v>QFP: JGARCIA   QFV: ADELTORO</v>
      </c>
      <c r="B179" s="609"/>
      <c r="C179" s="200" t="s">
        <v>405</v>
      </c>
      <c r="D179" s="609" t="str">
        <f t="shared" si="30"/>
        <v>QFP: JGARCIA   QFV: ADELTORO</v>
      </c>
      <c r="E179" s="609"/>
      <c r="J179" s="190"/>
    </row>
    <row r="180" spans="1:10" ht="13.35" customHeight="1">
      <c r="A180" s="609" t="str">
        <f t="shared" si="28"/>
        <v>C.JPC/SEXTO NTE/SCOOP   Cama: NA</v>
      </c>
      <c r="B180" s="609"/>
      <c r="C180" s="200" t="s">
        <v>405</v>
      </c>
      <c r="D180" s="609" t="str">
        <f t="shared" si="30"/>
        <v>C.JPC/SEXTO NTE/SCOOP   Cama: NA</v>
      </c>
      <c r="E180" s="609"/>
      <c r="J180" s="190"/>
    </row>
    <row r="181" spans="1:10" ht="13.35" customHeight="1">
      <c r="A181" s="609" t="str">
        <f t="shared" si="28"/>
        <v>UNIDOSSIS S.A.S.</v>
      </c>
      <c r="B181" s="609"/>
      <c r="C181" s="200" t="s">
        <v>405</v>
      </c>
      <c r="D181" s="609" t="str">
        <f t="shared" si="30"/>
        <v>UNIDOSSIS S.A.S.</v>
      </c>
      <c r="E181" s="609"/>
      <c r="J181" s="190"/>
    </row>
    <row r="182" spans="1:10" ht="13.35" customHeight="1">
      <c r="A182" s="199" t="s">
        <v>403</v>
      </c>
      <c r="B182" s="199" t="s">
        <v>403</v>
      </c>
      <c r="C182" s="200" t="s">
        <v>405</v>
      </c>
      <c r="D182" s="199" t="s">
        <v>404</v>
      </c>
      <c r="E182" s="199" t="s">
        <v>403</v>
      </c>
      <c r="J182" s="190"/>
    </row>
    <row r="183" spans="1:10" ht="13.35" customHeight="1">
      <c r="A183" s="610" t="e">
        <f t="shared" si="28"/>
        <v>#N/A</v>
      </c>
      <c r="B183" s="610"/>
      <c r="C183" s="200" t="s">
        <v>405</v>
      </c>
      <c r="D183" s="610" t="e">
        <f t="shared" ref="D183:D189" si="31">A183</f>
        <v>#N/A</v>
      </c>
      <c r="E183" s="610"/>
      <c r="J183" s="190"/>
    </row>
    <row r="184" spans="1:10" ht="13.35" customHeight="1">
      <c r="A184" s="610" t="e">
        <f t="shared" si="28"/>
        <v>#N/A</v>
      </c>
      <c r="B184" s="610"/>
      <c r="C184" s="200" t="s">
        <v>405</v>
      </c>
      <c r="D184" s="610" t="e">
        <f t="shared" si="31"/>
        <v>#N/A</v>
      </c>
      <c r="E184" s="610"/>
      <c r="J184" s="190"/>
    </row>
    <row r="185" spans="1:10" ht="13.35" customHeight="1">
      <c r="A185" s="182" t="e">
        <f t="shared" ca="1" si="28"/>
        <v>#N/A</v>
      </c>
      <c r="B185" s="183" t="str">
        <f>B177</f>
        <v xml:space="preserve">Lt: </v>
      </c>
      <c r="C185" s="200" t="s">
        <v>405</v>
      </c>
      <c r="D185" s="182" t="e">
        <f t="shared" ca="1" si="31"/>
        <v>#N/A</v>
      </c>
      <c r="E185" s="183" t="str">
        <f>B185</f>
        <v xml:space="preserve">Lt: </v>
      </c>
      <c r="J185" s="190"/>
    </row>
    <row r="186" spans="1:10" ht="13.35" customHeight="1">
      <c r="A186" s="610" t="str">
        <f t="shared" si="28"/>
        <v xml:space="preserve">  0</v>
      </c>
      <c r="B186" s="610"/>
      <c r="C186" s="200" t="s">
        <v>405</v>
      </c>
      <c r="D186" s="610" t="str">
        <f t="shared" si="31"/>
        <v xml:space="preserve">  0</v>
      </c>
      <c r="E186" s="610"/>
      <c r="J186" s="190"/>
    </row>
    <row r="187" spans="1:10" ht="13.35" customHeight="1">
      <c r="A187" s="609" t="str">
        <f t="shared" si="28"/>
        <v>QFP: JGARCIA   QFV: ADELTORO</v>
      </c>
      <c r="B187" s="609"/>
      <c r="C187" s="200" t="s">
        <v>405</v>
      </c>
      <c r="D187" s="609" t="str">
        <f t="shared" si="31"/>
        <v>QFP: JGARCIA   QFV: ADELTORO</v>
      </c>
      <c r="E187" s="609"/>
      <c r="J187" s="190"/>
    </row>
    <row r="188" spans="1:10" ht="13.35" customHeight="1">
      <c r="A188" s="609" t="str">
        <f t="shared" si="28"/>
        <v>C.JPC/SEXTO NTE/SCOOP   Cama: NA</v>
      </c>
      <c r="B188" s="609"/>
      <c r="C188" s="200" t="s">
        <v>405</v>
      </c>
      <c r="D188" s="609" t="str">
        <f t="shared" si="31"/>
        <v>C.JPC/SEXTO NTE/SCOOP   Cama: NA</v>
      </c>
      <c r="E188" s="609"/>
      <c r="J188" s="190"/>
    </row>
    <row r="189" spans="1:10" ht="13.35" customHeight="1">
      <c r="A189" s="609" t="str">
        <f t="shared" si="28"/>
        <v>UNIDOSSIS S.A.S.</v>
      </c>
      <c r="B189" s="609"/>
      <c r="C189" s="200" t="s">
        <v>405</v>
      </c>
      <c r="D189" s="609" t="str">
        <f t="shared" si="31"/>
        <v>UNIDOSSIS S.A.S.</v>
      </c>
      <c r="E189" s="609"/>
      <c r="J189" s="190"/>
    </row>
    <row r="190" spans="1:10" ht="13.35" customHeight="1">
      <c r="A190" s="610" t="e">
        <f>'DATOS ETIQ'!B$8&amp;"  "&amp;'DATOS ETIQ'!C$8&amp;"  "&amp;'DATOS ETIQ'!D$8&amp;'DATOS ETIQ'!Q$8</f>
        <v>#N/A</v>
      </c>
      <c r="B190" s="610"/>
      <c r="C190" s="200" t="s">
        <v>405</v>
      </c>
      <c r="D190" s="610" t="e">
        <f t="shared" ref="D190:D196" si="32">A190</f>
        <v>#N/A</v>
      </c>
      <c r="E190" s="610"/>
      <c r="J190" s="190"/>
    </row>
    <row r="191" spans="1:10" ht="13.35" customHeight="1" thickBot="1">
      <c r="A191" s="610" t="e">
        <f>IF('DATOS ETIQ'!P$8=1,"Do: "&amp;'DATOS ETIQ'!F$8&amp;"mg   VolDo: "&amp;'DATOS ETIQ'!G$8&amp;"mL","Dilución 1/"&amp;'DATOS ETIQ'!P$8&amp;"  "&amp;'DATOS ETIQ'!E$8&amp;"mg/mL   Do: "&amp;'DATOS ETIQ'!F$8&amp;"mg   VolDo: "&amp;'DATOS ETIQ'!G$8&amp;"mL")</f>
        <v>#N/A</v>
      </c>
      <c r="B191" s="610"/>
      <c r="C191" s="200" t="s">
        <v>405</v>
      </c>
      <c r="D191" s="610" t="e">
        <f t="shared" si="32"/>
        <v>#N/A</v>
      </c>
      <c r="E191" s="610"/>
      <c r="J191" s="190"/>
    </row>
    <row r="192" spans="1:10" ht="13.35" customHeight="1">
      <c r="A192" s="182" t="e">
        <f ca="1">'DATOS ETIQ'!H$8</f>
        <v>#N/A</v>
      </c>
      <c r="B192" s="183" t="str">
        <f>"Lt: "&amp;'DATOS ETIQ'!I$8</f>
        <v xml:space="preserve">Lt: </v>
      </c>
      <c r="C192" s="200" t="s">
        <v>405</v>
      </c>
      <c r="D192" s="182" t="e">
        <f t="shared" ca="1" si="32"/>
        <v>#N/A</v>
      </c>
      <c r="E192" s="183" t="str">
        <f>B192</f>
        <v xml:space="preserve">Lt: </v>
      </c>
      <c r="G192" s="611" t="e">
        <f>'FR PD 001 V1'!T12/4</f>
        <v>#N/A</v>
      </c>
      <c r="J192" s="611">
        <v>7</v>
      </c>
    </row>
    <row r="193" spans="1:10" ht="13.35" customHeight="1" thickBot="1">
      <c r="A193" s="610" t="str">
        <f>'DATOS ETIQ'!J$8&amp;"  "&amp;'DATOS ETIQ'!K$8</f>
        <v xml:space="preserve">  0</v>
      </c>
      <c r="B193" s="610"/>
      <c r="C193" s="200" t="s">
        <v>405</v>
      </c>
      <c r="D193" s="610" t="str">
        <f t="shared" si="32"/>
        <v xml:space="preserve">  0</v>
      </c>
      <c r="E193" s="610"/>
      <c r="G193" s="612"/>
      <c r="J193" s="612"/>
    </row>
    <row r="194" spans="1:10" ht="13.35" customHeight="1">
      <c r="A194" s="609" t="str">
        <f>"QFP: "&amp;'DATOS ETIQ'!L$8&amp;"   QFV: "&amp;'DATOS ETIQ'!M$8</f>
        <v>QFP: JGARCIA   QFV: ADELTORO</v>
      </c>
      <c r="B194" s="609"/>
      <c r="C194" s="200" t="s">
        <v>405</v>
      </c>
      <c r="D194" s="609" t="str">
        <f t="shared" si="32"/>
        <v>QFP: JGARCIA   QFV: ADELTORO</v>
      </c>
      <c r="E194" s="609"/>
      <c r="J194" s="190"/>
    </row>
    <row r="195" spans="1:10" ht="13.35" customHeight="1">
      <c r="A195" s="609" t="str">
        <f>'DATOS ETIQ'!N$8&amp;"   Cama: "&amp;'DATOS ETIQ'!O$8</f>
        <v>C.JPC/SEXTO NTE/SCOOP   Cama: NA</v>
      </c>
      <c r="B195" s="609"/>
      <c r="C195" s="200" t="s">
        <v>405</v>
      </c>
      <c r="D195" s="609" t="str">
        <f t="shared" si="32"/>
        <v>C.JPC/SEXTO NTE/SCOOP   Cama: NA</v>
      </c>
      <c r="E195" s="609"/>
      <c r="J195" s="190"/>
    </row>
    <row r="196" spans="1:10" ht="13.35" customHeight="1">
      <c r="A196" s="609" t="s">
        <v>167</v>
      </c>
      <c r="B196" s="609"/>
      <c r="C196" s="200" t="s">
        <v>405</v>
      </c>
      <c r="D196" s="609" t="str">
        <f t="shared" si="32"/>
        <v>UNIDOSSIS S.A.S.</v>
      </c>
      <c r="E196" s="609"/>
      <c r="J196" s="190"/>
    </row>
    <row r="197" spans="1:10" ht="13.35" customHeight="1">
      <c r="A197" s="199" t="s">
        <v>403</v>
      </c>
      <c r="B197" s="199" t="s">
        <v>403</v>
      </c>
      <c r="C197" s="200" t="s">
        <v>405</v>
      </c>
      <c r="D197" s="199" t="s">
        <v>404</v>
      </c>
      <c r="E197" s="199" t="s">
        <v>403</v>
      </c>
      <c r="J197" s="190"/>
    </row>
    <row r="198" spans="1:10" ht="13.35" customHeight="1">
      <c r="A198" s="610" t="e">
        <f t="shared" ref="A198:A220" si="33">A190</f>
        <v>#N/A</v>
      </c>
      <c r="B198" s="610"/>
      <c r="C198" s="200" t="s">
        <v>405</v>
      </c>
      <c r="D198" s="610" t="e">
        <f t="shared" ref="D198:D204" si="34">A198</f>
        <v>#N/A</v>
      </c>
      <c r="E198" s="610"/>
      <c r="J198" s="190"/>
    </row>
    <row r="199" spans="1:10" ht="13.35" customHeight="1">
      <c r="A199" s="610" t="e">
        <f t="shared" si="33"/>
        <v>#N/A</v>
      </c>
      <c r="B199" s="610"/>
      <c r="C199" s="200" t="s">
        <v>405</v>
      </c>
      <c r="D199" s="610" t="e">
        <f t="shared" si="34"/>
        <v>#N/A</v>
      </c>
      <c r="E199" s="610"/>
      <c r="J199" s="190"/>
    </row>
    <row r="200" spans="1:10" ht="13.35" customHeight="1">
      <c r="A200" s="182" t="e">
        <f t="shared" ca="1" si="33"/>
        <v>#N/A</v>
      </c>
      <c r="B200" s="183" t="str">
        <f>B192</f>
        <v xml:space="preserve">Lt: </v>
      </c>
      <c r="C200" s="200" t="s">
        <v>405</v>
      </c>
      <c r="D200" s="182" t="e">
        <f t="shared" ca="1" si="34"/>
        <v>#N/A</v>
      </c>
      <c r="E200" s="183" t="str">
        <f>B200</f>
        <v xml:space="preserve">Lt: </v>
      </c>
      <c r="J200" s="190"/>
    </row>
    <row r="201" spans="1:10" ht="13.35" customHeight="1">
      <c r="A201" s="610" t="str">
        <f t="shared" si="33"/>
        <v xml:space="preserve">  0</v>
      </c>
      <c r="B201" s="610"/>
      <c r="C201" s="200" t="s">
        <v>405</v>
      </c>
      <c r="D201" s="610" t="str">
        <f t="shared" si="34"/>
        <v xml:space="preserve">  0</v>
      </c>
      <c r="E201" s="610"/>
      <c r="J201" s="190"/>
    </row>
    <row r="202" spans="1:10" ht="13.35" customHeight="1">
      <c r="A202" s="609" t="str">
        <f t="shared" si="33"/>
        <v>QFP: JGARCIA   QFV: ADELTORO</v>
      </c>
      <c r="B202" s="609"/>
      <c r="C202" s="200" t="s">
        <v>405</v>
      </c>
      <c r="D202" s="609" t="str">
        <f t="shared" si="34"/>
        <v>QFP: JGARCIA   QFV: ADELTORO</v>
      </c>
      <c r="E202" s="609"/>
      <c r="J202" s="190"/>
    </row>
    <row r="203" spans="1:10" ht="13.35" customHeight="1">
      <c r="A203" s="609" t="str">
        <f t="shared" si="33"/>
        <v>C.JPC/SEXTO NTE/SCOOP   Cama: NA</v>
      </c>
      <c r="B203" s="609"/>
      <c r="C203" s="200" t="s">
        <v>405</v>
      </c>
      <c r="D203" s="609" t="str">
        <f t="shared" si="34"/>
        <v>C.JPC/SEXTO NTE/SCOOP   Cama: NA</v>
      </c>
      <c r="E203" s="609"/>
      <c r="J203" s="190"/>
    </row>
    <row r="204" spans="1:10" ht="13.35" customHeight="1">
      <c r="A204" s="609" t="str">
        <f t="shared" si="33"/>
        <v>UNIDOSSIS S.A.S.</v>
      </c>
      <c r="B204" s="609"/>
      <c r="C204" s="200" t="s">
        <v>405</v>
      </c>
      <c r="D204" s="609" t="str">
        <f t="shared" si="34"/>
        <v>UNIDOSSIS S.A.S.</v>
      </c>
      <c r="E204" s="609"/>
      <c r="J204" s="190"/>
    </row>
    <row r="205" spans="1:10" ht="13.35" customHeight="1">
      <c r="A205" s="199" t="s">
        <v>403</v>
      </c>
      <c r="B205" s="199" t="s">
        <v>403</v>
      </c>
      <c r="C205" s="200" t="s">
        <v>405</v>
      </c>
      <c r="D205" s="199" t="s">
        <v>404</v>
      </c>
      <c r="E205" s="199" t="s">
        <v>403</v>
      </c>
      <c r="J205" s="190"/>
    </row>
    <row r="206" spans="1:10" ht="13.35" customHeight="1">
      <c r="A206" s="610" t="e">
        <f t="shared" si="33"/>
        <v>#N/A</v>
      </c>
      <c r="B206" s="610"/>
      <c r="C206" s="200" t="s">
        <v>405</v>
      </c>
      <c r="D206" s="610" t="e">
        <f t="shared" ref="D206:D212" si="35">A206</f>
        <v>#N/A</v>
      </c>
      <c r="E206" s="610"/>
      <c r="J206" s="190"/>
    </row>
    <row r="207" spans="1:10" ht="13.35" customHeight="1">
      <c r="A207" s="610" t="e">
        <f t="shared" si="33"/>
        <v>#N/A</v>
      </c>
      <c r="B207" s="610"/>
      <c r="C207" s="200" t="s">
        <v>405</v>
      </c>
      <c r="D207" s="610" t="e">
        <f t="shared" si="35"/>
        <v>#N/A</v>
      </c>
      <c r="E207" s="610"/>
      <c r="J207" s="190"/>
    </row>
    <row r="208" spans="1:10" ht="13.35" customHeight="1">
      <c r="A208" s="182" t="e">
        <f t="shared" ca="1" si="33"/>
        <v>#N/A</v>
      </c>
      <c r="B208" s="183" t="str">
        <f>B200</f>
        <v xml:space="preserve">Lt: </v>
      </c>
      <c r="C208" s="200" t="s">
        <v>405</v>
      </c>
      <c r="D208" s="182" t="e">
        <f t="shared" ca="1" si="35"/>
        <v>#N/A</v>
      </c>
      <c r="E208" s="183" t="str">
        <f>B208</f>
        <v xml:space="preserve">Lt: </v>
      </c>
      <c r="J208" s="190"/>
    </row>
    <row r="209" spans="1:10" ht="13.35" customHeight="1">
      <c r="A209" s="610" t="str">
        <f t="shared" si="33"/>
        <v xml:space="preserve">  0</v>
      </c>
      <c r="B209" s="610"/>
      <c r="C209" s="200" t="s">
        <v>405</v>
      </c>
      <c r="D209" s="610" t="str">
        <f t="shared" si="35"/>
        <v xml:space="preserve">  0</v>
      </c>
      <c r="E209" s="610"/>
      <c r="J209" s="190"/>
    </row>
    <row r="210" spans="1:10" ht="13.35" customHeight="1">
      <c r="A210" s="609" t="str">
        <f t="shared" si="33"/>
        <v>QFP: JGARCIA   QFV: ADELTORO</v>
      </c>
      <c r="B210" s="609"/>
      <c r="C210" s="200" t="s">
        <v>405</v>
      </c>
      <c r="D210" s="609" t="str">
        <f t="shared" si="35"/>
        <v>QFP: JGARCIA   QFV: ADELTORO</v>
      </c>
      <c r="E210" s="609"/>
      <c r="J210" s="190"/>
    </row>
    <row r="211" spans="1:10" ht="13.35" customHeight="1">
      <c r="A211" s="609" t="str">
        <f t="shared" si="33"/>
        <v>C.JPC/SEXTO NTE/SCOOP   Cama: NA</v>
      </c>
      <c r="B211" s="609"/>
      <c r="C211" s="200" t="s">
        <v>405</v>
      </c>
      <c r="D211" s="609" t="str">
        <f t="shared" si="35"/>
        <v>C.JPC/SEXTO NTE/SCOOP   Cama: NA</v>
      </c>
      <c r="E211" s="609"/>
      <c r="J211" s="190"/>
    </row>
    <row r="212" spans="1:10" ht="13.35" customHeight="1">
      <c r="A212" s="609" t="str">
        <f t="shared" si="33"/>
        <v>UNIDOSSIS S.A.S.</v>
      </c>
      <c r="B212" s="609"/>
      <c r="C212" s="200" t="s">
        <v>405</v>
      </c>
      <c r="D212" s="609" t="str">
        <f t="shared" si="35"/>
        <v>UNIDOSSIS S.A.S.</v>
      </c>
      <c r="E212" s="609"/>
      <c r="J212" s="190"/>
    </row>
    <row r="213" spans="1:10" ht="13.35" customHeight="1">
      <c r="A213" s="199" t="s">
        <v>403</v>
      </c>
      <c r="B213" s="199" t="s">
        <v>403</v>
      </c>
      <c r="C213" s="200" t="s">
        <v>405</v>
      </c>
      <c r="D213" s="199" t="s">
        <v>404</v>
      </c>
      <c r="E213" s="199" t="s">
        <v>403</v>
      </c>
      <c r="J213" s="190"/>
    </row>
    <row r="214" spans="1:10" ht="13.35" customHeight="1">
      <c r="A214" s="610" t="e">
        <f t="shared" si="33"/>
        <v>#N/A</v>
      </c>
      <c r="B214" s="610"/>
      <c r="C214" s="200" t="s">
        <v>405</v>
      </c>
      <c r="D214" s="610" t="e">
        <f t="shared" ref="D214:D220" si="36">A214</f>
        <v>#N/A</v>
      </c>
      <c r="E214" s="610"/>
      <c r="J214" s="190"/>
    </row>
    <row r="215" spans="1:10" ht="13.35" customHeight="1">
      <c r="A215" s="610" t="e">
        <f t="shared" si="33"/>
        <v>#N/A</v>
      </c>
      <c r="B215" s="610"/>
      <c r="C215" s="200" t="s">
        <v>405</v>
      </c>
      <c r="D215" s="610" t="e">
        <f t="shared" si="36"/>
        <v>#N/A</v>
      </c>
      <c r="E215" s="610"/>
      <c r="J215" s="190"/>
    </row>
    <row r="216" spans="1:10" ht="13.35" customHeight="1">
      <c r="A216" s="182" t="e">
        <f t="shared" ca="1" si="33"/>
        <v>#N/A</v>
      </c>
      <c r="B216" s="183" t="str">
        <f>B208</f>
        <v xml:space="preserve">Lt: </v>
      </c>
      <c r="C216" s="200" t="s">
        <v>405</v>
      </c>
      <c r="D216" s="182" t="e">
        <f t="shared" ca="1" si="36"/>
        <v>#N/A</v>
      </c>
      <c r="E216" s="183" t="str">
        <f>B216</f>
        <v xml:space="preserve">Lt: </v>
      </c>
      <c r="J216" s="190"/>
    </row>
    <row r="217" spans="1:10" ht="13.35" customHeight="1">
      <c r="A217" s="610" t="str">
        <f t="shared" si="33"/>
        <v xml:space="preserve">  0</v>
      </c>
      <c r="B217" s="610"/>
      <c r="C217" s="200" t="s">
        <v>405</v>
      </c>
      <c r="D217" s="610" t="str">
        <f t="shared" si="36"/>
        <v xml:space="preserve">  0</v>
      </c>
      <c r="E217" s="610"/>
      <c r="J217" s="190"/>
    </row>
    <row r="218" spans="1:10" ht="13.35" customHeight="1">
      <c r="A218" s="609" t="str">
        <f t="shared" si="33"/>
        <v>QFP: JGARCIA   QFV: ADELTORO</v>
      </c>
      <c r="B218" s="609"/>
      <c r="C218" s="200" t="s">
        <v>405</v>
      </c>
      <c r="D218" s="609" t="str">
        <f t="shared" si="36"/>
        <v>QFP: JGARCIA   QFV: ADELTORO</v>
      </c>
      <c r="E218" s="609"/>
      <c r="J218" s="190"/>
    </row>
    <row r="219" spans="1:10" ht="13.35" customHeight="1">
      <c r="A219" s="609" t="str">
        <f t="shared" si="33"/>
        <v>C.JPC/SEXTO NTE/SCOOP   Cama: NA</v>
      </c>
      <c r="B219" s="609"/>
      <c r="C219" s="200" t="s">
        <v>405</v>
      </c>
      <c r="D219" s="609" t="str">
        <f t="shared" si="36"/>
        <v>C.JPC/SEXTO NTE/SCOOP   Cama: NA</v>
      </c>
      <c r="E219" s="609"/>
      <c r="J219" s="190"/>
    </row>
    <row r="220" spans="1:10" ht="13.35" customHeight="1">
      <c r="A220" s="609" t="str">
        <f t="shared" si="33"/>
        <v>UNIDOSSIS S.A.S.</v>
      </c>
      <c r="B220" s="609"/>
      <c r="C220" s="200" t="s">
        <v>405</v>
      </c>
      <c r="D220" s="609" t="str">
        <f t="shared" si="36"/>
        <v>UNIDOSSIS S.A.S.</v>
      </c>
      <c r="E220" s="609"/>
      <c r="J220" s="190"/>
    </row>
    <row r="221" spans="1:10" ht="13.35" customHeight="1">
      <c r="A221" s="610" t="e">
        <f>'DATOS ETIQ'!B$9&amp;"  "&amp;'DATOS ETIQ'!C$9&amp;"  "&amp;'DATOS ETIQ'!D$9&amp;'DATOS ETIQ'!Q$9</f>
        <v>#N/A</v>
      </c>
      <c r="B221" s="610"/>
      <c r="C221" s="200" t="s">
        <v>405</v>
      </c>
      <c r="D221" s="610" t="e">
        <f t="shared" ref="D221:D227" si="37">A221</f>
        <v>#N/A</v>
      </c>
      <c r="E221" s="610"/>
      <c r="J221" s="190"/>
    </row>
    <row r="222" spans="1:10" ht="13.35" customHeight="1" thickBot="1">
      <c r="A222" s="610" t="e">
        <f>IF('DATOS ETIQ'!P$9=1,"Do: "&amp;'DATOS ETIQ'!F$9&amp;"mg   VolDo: "&amp;'DATOS ETIQ'!G$9&amp;"mL","Dilución 1/"&amp;'DATOS ETIQ'!P$9&amp;"  "&amp;'DATOS ETIQ'!E$9&amp;"mg/mL   Do: "&amp;'DATOS ETIQ'!F$9&amp;"mg   VolDo: "&amp;'DATOS ETIQ'!G$9&amp;"mL")</f>
        <v>#N/A</v>
      </c>
      <c r="B222" s="610"/>
      <c r="C222" s="200" t="s">
        <v>405</v>
      </c>
      <c r="D222" s="610" t="e">
        <f t="shared" si="37"/>
        <v>#N/A</v>
      </c>
      <c r="E222" s="610"/>
      <c r="J222" s="190"/>
    </row>
    <row r="223" spans="1:10" ht="13.35" customHeight="1">
      <c r="A223" s="182" t="e">
        <f ca="1">'DATOS ETIQ'!H$9</f>
        <v>#N/A</v>
      </c>
      <c r="B223" s="183" t="str">
        <f>"Lt: "&amp;'DATOS ETIQ'!I$9</f>
        <v xml:space="preserve">Lt: </v>
      </c>
      <c r="C223" s="200" t="s">
        <v>405</v>
      </c>
      <c r="D223" s="182" t="e">
        <f t="shared" ca="1" si="37"/>
        <v>#N/A</v>
      </c>
      <c r="E223" s="183" t="str">
        <f>B223</f>
        <v xml:space="preserve">Lt: </v>
      </c>
      <c r="G223" s="611" t="e">
        <f>'FR PD 001 V1'!T13/4</f>
        <v>#N/A</v>
      </c>
      <c r="J223" s="611">
        <v>8</v>
      </c>
    </row>
    <row r="224" spans="1:10" ht="13.35" customHeight="1" thickBot="1">
      <c r="A224" s="610" t="str">
        <f>'DATOS ETIQ'!J$9&amp;"  "&amp;'DATOS ETIQ'!K$9</f>
        <v xml:space="preserve">  0</v>
      </c>
      <c r="B224" s="610"/>
      <c r="C224" s="200" t="s">
        <v>405</v>
      </c>
      <c r="D224" s="610" t="str">
        <f t="shared" si="37"/>
        <v xml:space="preserve">  0</v>
      </c>
      <c r="E224" s="610"/>
      <c r="G224" s="612"/>
      <c r="J224" s="612"/>
    </row>
    <row r="225" spans="1:10" ht="13.35" customHeight="1">
      <c r="A225" s="609" t="str">
        <f>"QFP: "&amp;'DATOS ETIQ'!L$9&amp;"   QFV: "&amp;'DATOS ETIQ'!M$9</f>
        <v>QFP: JGARCIA   QFV: ADELTORO</v>
      </c>
      <c r="B225" s="609"/>
      <c r="C225" s="200" t="s">
        <v>405</v>
      </c>
      <c r="D225" s="609" t="str">
        <f t="shared" si="37"/>
        <v>QFP: JGARCIA   QFV: ADELTORO</v>
      </c>
      <c r="E225" s="609"/>
      <c r="J225" s="190"/>
    </row>
    <row r="226" spans="1:10" ht="13.35" customHeight="1">
      <c r="A226" s="609" t="str">
        <f>'DATOS ETIQ'!N$9&amp;"   Cama: "&amp;'DATOS ETIQ'!O$9</f>
        <v>C.JPC/SEXTO NTE/SCOOP   Cama: NA</v>
      </c>
      <c r="B226" s="609"/>
      <c r="C226" s="200" t="s">
        <v>405</v>
      </c>
      <c r="D226" s="609" t="str">
        <f t="shared" si="37"/>
        <v>C.JPC/SEXTO NTE/SCOOP   Cama: NA</v>
      </c>
      <c r="E226" s="609"/>
      <c r="J226" s="190"/>
    </row>
    <row r="227" spans="1:10" ht="13.35" customHeight="1">
      <c r="A227" s="609" t="s">
        <v>167</v>
      </c>
      <c r="B227" s="609"/>
      <c r="C227" s="200" t="s">
        <v>405</v>
      </c>
      <c r="D227" s="609" t="str">
        <f t="shared" si="37"/>
        <v>UNIDOSSIS S.A.S.</v>
      </c>
      <c r="E227" s="609"/>
      <c r="J227" s="190"/>
    </row>
    <row r="228" spans="1:10" ht="13.35" customHeight="1">
      <c r="A228" s="199" t="s">
        <v>403</v>
      </c>
      <c r="B228" s="199" t="s">
        <v>403</v>
      </c>
      <c r="C228" s="200" t="s">
        <v>405</v>
      </c>
      <c r="D228" s="199" t="s">
        <v>404</v>
      </c>
      <c r="E228" s="199" t="s">
        <v>403</v>
      </c>
      <c r="J228" s="190"/>
    </row>
    <row r="229" spans="1:10" ht="13.35" customHeight="1">
      <c r="A229" s="610" t="e">
        <f t="shared" ref="A229:A251" si="38">A221</f>
        <v>#N/A</v>
      </c>
      <c r="B229" s="610"/>
      <c r="C229" s="200" t="s">
        <v>405</v>
      </c>
      <c r="D229" s="610" t="e">
        <f t="shared" ref="D229:D235" si="39">A229</f>
        <v>#N/A</v>
      </c>
      <c r="E229" s="610"/>
      <c r="J229" s="190"/>
    </row>
    <row r="230" spans="1:10" ht="13.35" customHeight="1">
      <c r="A230" s="610" t="e">
        <f t="shared" si="38"/>
        <v>#N/A</v>
      </c>
      <c r="B230" s="610"/>
      <c r="C230" s="200" t="s">
        <v>405</v>
      </c>
      <c r="D230" s="610" t="e">
        <f t="shared" si="39"/>
        <v>#N/A</v>
      </c>
      <c r="E230" s="610"/>
      <c r="J230" s="190"/>
    </row>
    <row r="231" spans="1:10" ht="13.35" customHeight="1">
      <c r="A231" s="182" t="e">
        <f t="shared" ca="1" si="38"/>
        <v>#N/A</v>
      </c>
      <c r="B231" s="183" t="str">
        <f>B223</f>
        <v xml:space="preserve">Lt: </v>
      </c>
      <c r="C231" s="200" t="s">
        <v>405</v>
      </c>
      <c r="D231" s="182" t="e">
        <f t="shared" ca="1" si="39"/>
        <v>#N/A</v>
      </c>
      <c r="E231" s="183" t="str">
        <f>B231</f>
        <v xml:space="preserve">Lt: </v>
      </c>
      <c r="J231" s="190"/>
    </row>
    <row r="232" spans="1:10" ht="13.35" customHeight="1">
      <c r="A232" s="610" t="str">
        <f t="shared" si="38"/>
        <v xml:space="preserve">  0</v>
      </c>
      <c r="B232" s="610"/>
      <c r="C232" s="200" t="s">
        <v>405</v>
      </c>
      <c r="D232" s="610" t="str">
        <f t="shared" si="39"/>
        <v xml:space="preserve">  0</v>
      </c>
      <c r="E232" s="610"/>
      <c r="J232" s="190"/>
    </row>
    <row r="233" spans="1:10" ht="13.35" customHeight="1">
      <c r="A233" s="609" t="str">
        <f t="shared" si="38"/>
        <v>QFP: JGARCIA   QFV: ADELTORO</v>
      </c>
      <c r="B233" s="609"/>
      <c r="C233" s="200" t="s">
        <v>405</v>
      </c>
      <c r="D233" s="609" t="str">
        <f t="shared" si="39"/>
        <v>QFP: JGARCIA   QFV: ADELTORO</v>
      </c>
      <c r="E233" s="609"/>
      <c r="J233" s="190"/>
    </row>
    <row r="234" spans="1:10" ht="13.35" customHeight="1">
      <c r="A234" s="609" t="str">
        <f t="shared" si="38"/>
        <v>C.JPC/SEXTO NTE/SCOOP   Cama: NA</v>
      </c>
      <c r="B234" s="609"/>
      <c r="C234" s="200" t="s">
        <v>405</v>
      </c>
      <c r="D234" s="609" t="str">
        <f t="shared" si="39"/>
        <v>C.JPC/SEXTO NTE/SCOOP   Cama: NA</v>
      </c>
      <c r="E234" s="609"/>
      <c r="J234" s="190"/>
    </row>
    <row r="235" spans="1:10" ht="13.35" customHeight="1">
      <c r="A235" s="609" t="str">
        <f t="shared" si="38"/>
        <v>UNIDOSSIS S.A.S.</v>
      </c>
      <c r="B235" s="609"/>
      <c r="C235" s="200" t="s">
        <v>405</v>
      </c>
      <c r="D235" s="609" t="str">
        <f t="shared" si="39"/>
        <v>UNIDOSSIS S.A.S.</v>
      </c>
      <c r="E235" s="609"/>
      <c r="J235" s="190"/>
    </row>
    <row r="236" spans="1:10" ht="13.35" customHeight="1">
      <c r="A236" s="199" t="s">
        <v>403</v>
      </c>
      <c r="B236" s="199" t="s">
        <v>403</v>
      </c>
      <c r="C236" s="200" t="s">
        <v>405</v>
      </c>
      <c r="D236" s="199" t="s">
        <v>404</v>
      </c>
      <c r="E236" s="199" t="s">
        <v>403</v>
      </c>
      <c r="J236" s="190"/>
    </row>
    <row r="237" spans="1:10" ht="13.35" customHeight="1">
      <c r="A237" s="610" t="e">
        <f t="shared" si="38"/>
        <v>#N/A</v>
      </c>
      <c r="B237" s="610"/>
      <c r="C237" s="200" t="s">
        <v>405</v>
      </c>
      <c r="D237" s="610" t="e">
        <f t="shared" ref="D237:D243" si="40">A237</f>
        <v>#N/A</v>
      </c>
      <c r="E237" s="610"/>
      <c r="J237" s="190"/>
    </row>
    <row r="238" spans="1:10" ht="13.35" customHeight="1">
      <c r="A238" s="610" t="e">
        <f t="shared" si="38"/>
        <v>#N/A</v>
      </c>
      <c r="B238" s="610"/>
      <c r="C238" s="200" t="s">
        <v>405</v>
      </c>
      <c r="D238" s="610" t="e">
        <f t="shared" si="40"/>
        <v>#N/A</v>
      </c>
      <c r="E238" s="610"/>
      <c r="J238" s="190"/>
    </row>
    <row r="239" spans="1:10" ht="13.35" customHeight="1">
      <c r="A239" s="182" t="e">
        <f t="shared" ca="1" si="38"/>
        <v>#N/A</v>
      </c>
      <c r="B239" s="183" t="str">
        <f>B231</f>
        <v xml:space="preserve">Lt: </v>
      </c>
      <c r="C239" s="200" t="s">
        <v>405</v>
      </c>
      <c r="D239" s="182" t="e">
        <f t="shared" ca="1" si="40"/>
        <v>#N/A</v>
      </c>
      <c r="E239" s="183" t="str">
        <f>B239</f>
        <v xml:space="preserve">Lt: </v>
      </c>
      <c r="J239" s="190"/>
    </row>
    <row r="240" spans="1:10" ht="13.35" customHeight="1">
      <c r="A240" s="610" t="str">
        <f t="shared" si="38"/>
        <v xml:space="preserve">  0</v>
      </c>
      <c r="B240" s="610"/>
      <c r="C240" s="200" t="s">
        <v>405</v>
      </c>
      <c r="D240" s="610" t="str">
        <f t="shared" si="40"/>
        <v xml:space="preserve">  0</v>
      </c>
      <c r="E240" s="610"/>
      <c r="J240" s="190"/>
    </row>
    <row r="241" spans="1:10" ht="13.35" customHeight="1">
      <c r="A241" s="609" t="str">
        <f t="shared" si="38"/>
        <v>QFP: JGARCIA   QFV: ADELTORO</v>
      </c>
      <c r="B241" s="609"/>
      <c r="C241" s="200" t="s">
        <v>405</v>
      </c>
      <c r="D241" s="609" t="str">
        <f t="shared" si="40"/>
        <v>QFP: JGARCIA   QFV: ADELTORO</v>
      </c>
      <c r="E241" s="609"/>
      <c r="J241" s="190"/>
    </row>
    <row r="242" spans="1:10" ht="13.35" customHeight="1">
      <c r="A242" s="609" t="str">
        <f t="shared" si="38"/>
        <v>C.JPC/SEXTO NTE/SCOOP   Cama: NA</v>
      </c>
      <c r="B242" s="609"/>
      <c r="C242" s="200" t="s">
        <v>405</v>
      </c>
      <c r="D242" s="609" t="str">
        <f t="shared" si="40"/>
        <v>C.JPC/SEXTO NTE/SCOOP   Cama: NA</v>
      </c>
      <c r="E242" s="609"/>
      <c r="J242" s="190"/>
    </row>
    <row r="243" spans="1:10" ht="13.35" customHeight="1">
      <c r="A243" s="609" t="str">
        <f t="shared" si="38"/>
        <v>UNIDOSSIS S.A.S.</v>
      </c>
      <c r="B243" s="609"/>
      <c r="C243" s="200" t="s">
        <v>405</v>
      </c>
      <c r="D243" s="609" t="str">
        <f t="shared" si="40"/>
        <v>UNIDOSSIS S.A.S.</v>
      </c>
      <c r="E243" s="609"/>
      <c r="J243" s="190"/>
    </row>
    <row r="244" spans="1:10" ht="13.35" customHeight="1">
      <c r="A244" s="199" t="s">
        <v>403</v>
      </c>
      <c r="B244" s="199" t="s">
        <v>403</v>
      </c>
      <c r="C244" s="200" t="s">
        <v>405</v>
      </c>
      <c r="D244" s="199" t="s">
        <v>404</v>
      </c>
      <c r="E244" s="199" t="s">
        <v>403</v>
      </c>
      <c r="J244" s="190"/>
    </row>
    <row r="245" spans="1:10" ht="13.35" customHeight="1">
      <c r="A245" s="610" t="e">
        <f t="shared" si="38"/>
        <v>#N/A</v>
      </c>
      <c r="B245" s="610"/>
      <c r="C245" s="200" t="s">
        <v>405</v>
      </c>
      <c r="D245" s="610" t="e">
        <f t="shared" ref="D245:D251" si="41">A245</f>
        <v>#N/A</v>
      </c>
      <c r="E245" s="610"/>
      <c r="J245" s="190"/>
    </row>
    <row r="246" spans="1:10" ht="13.35" customHeight="1">
      <c r="A246" s="610" t="e">
        <f t="shared" si="38"/>
        <v>#N/A</v>
      </c>
      <c r="B246" s="610"/>
      <c r="C246" s="200" t="s">
        <v>405</v>
      </c>
      <c r="D246" s="610" t="e">
        <f t="shared" si="41"/>
        <v>#N/A</v>
      </c>
      <c r="E246" s="610"/>
      <c r="J246" s="190"/>
    </row>
    <row r="247" spans="1:10" ht="13.35" customHeight="1">
      <c r="A247" s="182" t="e">
        <f t="shared" ca="1" si="38"/>
        <v>#N/A</v>
      </c>
      <c r="B247" s="183" t="str">
        <f>B239</f>
        <v xml:space="preserve">Lt: </v>
      </c>
      <c r="C247" s="200" t="s">
        <v>405</v>
      </c>
      <c r="D247" s="182" t="e">
        <f t="shared" ca="1" si="41"/>
        <v>#N/A</v>
      </c>
      <c r="E247" s="183" t="str">
        <f>B247</f>
        <v xml:space="preserve">Lt: </v>
      </c>
      <c r="J247" s="190"/>
    </row>
    <row r="248" spans="1:10" ht="13.35" customHeight="1">
      <c r="A248" s="610" t="str">
        <f t="shared" si="38"/>
        <v xml:space="preserve">  0</v>
      </c>
      <c r="B248" s="610"/>
      <c r="C248" s="200" t="s">
        <v>405</v>
      </c>
      <c r="D248" s="610" t="str">
        <f t="shared" si="41"/>
        <v xml:space="preserve">  0</v>
      </c>
      <c r="E248" s="610"/>
      <c r="J248" s="190"/>
    </row>
    <row r="249" spans="1:10" ht="13.35" customHeight="1">
      <c r="A249" s="609" t="str">
        <f t="shared" si="38"/>
        <v>QFP: JGARCIA   QFV: ADELTORO</v>
      </c>
      <c r="B249" s="609"/>
      <c r="C249" s="200" t="s">
        <v>405</v>
      </c>
      <c r="D249" s="609" t="str">
        <f t="shared" si="41"/>
        <v>QFP: JGARCIA   QFV: ADELTORO</v>
      </c>
      <c r="E249" s="609"/>
      <c r="J249" s="190"/>
    </row>
    <row r="250" spans="1:10" ht="13.35" customHeight="1">
      <c r="A250" s="609" t="str">
        <f t="shared" si="38"/>
        <v>C.JPC/SEXTO NTE/SCOOP   Cama: NA</v>
      </c>
      <c r="B250" s="609"/>
      <c r="C250" s="200" t="s">
        <v>405</v>
      </c>
      <c r="D250" s="609" t="str">
        <f t="shared" si="41"/>
        <v>C.JPC/SEXTO NTE/SCOOP   Cama: NA</v>
      </c>
      <c r="E250" s="609"/>
      <c r="J250" s="190"/>
    </row>
    <row r="251" spans="1:10" ht="13.35" customHeight="1">
      <c r="A251" s="609" t="str">
        <f t="shared" si="38"/>
        <v>UNIDOSSIS S.A.S.</v>
      </c>
      <c r="B251" s="609"/>
      <c r="C251" s="200" t="s">
        <v>405</v>
      </c>
      <c r="D251" s="609" t="str">
        <f t="shared" si="41"/>
        <v>UNIDOSSIS S.A.S.</v>
      </c>
      <c r="E251" s="609"/>
      <c r="J251" s="190"/>
    </row>
    <row r="252" spans="1:10" ht="13.35" customHeight="1">
      <c r="A252" s="610" t="e">
        <f>'DATOS ETIQ'!B$10&amp;"  "&amp;'DATOS ETIQ'!C$10&amp;"  "&amp;'DATOS ETIQ'!D$10&amp;'DATOS ETIQ'!Q$10</f>
        <v>#N/A</v>
      </c>
      <c r="B252" s="610"/>
      <c r="C252" s="200" t="s">
        <v>405</v>
      </c>
      <c r="D252" s="610" t="e">
        <f t="shared" ref="D252:D258" si="42">A252</f>
        <v>#N/A</v>
      </c>
      <c r="E252" s="610"/>
      <c r="J252" s="190"/>
    </row>
    <row r="253" spans="1:10" ht="13.35" customHeight="1" thickBot="1">
      <c r="A253" s="610" t="e">
        <f>IF('DATOS ETIQ'!P$10=1,"Do: "&amp;'DATOS ETIQ'!F$10&amp;"mg   VolDo: "&amp;'DATOS ETIQ'!G$10&amp;"mL","Dilución 1/"&amp;'DATOS ETIQ'!P$10&amp;"  "&amp;'DATOS ETIQ'!E$10&amp;"mg/mL   Do: "&amp;'DATOS ETIQ'!F$10&amp;"mg   VolDo: "&amp;'DATOS ETIQ'!G$10&amp;"mL")</f>
        <v>#N/A</v>
      </c>
      <c r="B253" s="610"/>
      <c r="C253" s="200" t="s">
        <v>405</v>
      </c>
      <c r="D253" s="610" t="e">
        <f t="shared" si="42"/>
        <v>#N/A</v>
      </c>
      <c r="E253" s="610"/>
      <c r="J253" s="190"/>
    </row>
    <row r="254" spans="1:10" ht="13.35" customHeight="1">
      <c r="A254" s="182" t="e">
        <f ca="1">'DATOS ETIQ'!H$10</f>
        <v>#N/A</v>
      </c>
      <c r="B254" s="183" t="str">
        <f>"Lt: "&amp;'DATOS ETIQ'!I$10</f>
        <v xml:space="preserve">Lt: </v>
      </c>
      <c r="C254" s="200" t="s">
        <v>405</v>
      </c>
      <c r="D254" s="182" t="e">
        <f t="shared" ca="1" si="42"/>
        <v>#N/A</v>
      </c>
      <c r="E254" s="183" t="str">
        <f>B254</f>
        <v xml:space="preserve">Lt: </v>
      </c>
      <c r="G254" s="611" t="e">
        <f>'FR PD 001 V1'!T14/4</f>
        <v>#N/A</v>
      </c>
      <c r="J254" s="611">
        <v>9</v>
      </c>
    </row>
    <row r="255" spans="1:10" ht="13.35" customHeight="1" thickBot="1">
      <c r="A255" s="610" t="str">
        <f>'DATOS ETIQ'!J$10&amp;"  "&amp;'DATOS ETIQ'!K$10</f>
        <v xml:space="preserve">  0</v>
      </c>
      <c r="B255" s="610"/>
      <c r="C255" s="200" t="s">
        <v>405</v>
      </c>
      <c r="D255" s="610" t="str">
        <f t="shared" si="42"/>
        <v xml:space="preserve">  0</v>
      </c>
      <c r="E255" s="610"/>
      <c r="G255" s="612"/>
      <c r="J255" s="612"/>
    </row>
    <row r="256" spans="1:10" ht="13.35" customHeight="1">
      <c r="A256" s="609" t="str">
        <f>"QFP: "&amp;'DATOS ETIQ'!L$10&amp;"   QFV: "&amp;'DATOS ETIQ'!M$10</f>
        <v>QFP: JGARCIA   QFV: ADELTORO</v>
      </c>
      <c r="B256" s="609"/>
      <c r="C256" s="200" t="s">
        <v>405</v>
      </c>
      <c r="D256" s="609" t="str">
        <f t="shared" si="42"/>
        <v>QFP: JGARCIA   QFV: ADELTORO</v>
      </c>
      <c r="E256" s="609"/>
      <c r="J256" s="190"/>
    </row>
    <row r="257" spans="1:10" ht="13.35" customHeight="1">
      <c r="A257" s="609" t="str">
        <f>'DATOS ETIQ'!N$10&amp;"   Cama: "&amp;'DATOS ETIQ'!O$10</f>
        <v>C.JPC/SEXTO NTE/SCOOP   Cama: NA</v>
      </c>
      <c r="B257" s="609"/>
      <c r="C257" s="200" t="s">
        <v>405</v>
      </c>
      <c r="D257" s="609" t="str">
        <f t="shared" si="42"/>
        <v>C.JPC/SEXTO NTE/SCOOP   Cama: NA</v>
      </c>
      <c r="E257" s="609"/>
      <c r="J257" s="190"/>
    </row>
    <row r="258" spans="1:10" ht="13.35" customHeight="1">
      <c r="A258" s="609" t="s">
        <v>167</v>
      </c>
      <c r="B258" s="609"/>
      <c r="C258" s="200" t="s">
        <v>405</v>
      </c>
      <c r="D258" s="609" t="str">
        <f t="shared" si="42"/>
        <v>UNIDOSSIS S.A.S.</v>
      </c>
      <c r="E258" s="609"/>
      <c r="J258" s="190"/>
    </row>
    <row r="259" spans="1:10" ht="13.35" customHeight="1">
      <c r="A259" s="199" t="s">
        <v>403</v>
      </c>
      <c r="B259" s="199" t="s">
        <v>403</v>
      </c>
      <c r="C259" s="200" t="s">
        <v>405</v>
      </c>
      <c r="D259" s="199" t="s">
        <v>404</v>
      </c>
      <c r="E259" s="199" t="s">
        <v>403</v>
      </c>
      <c r="J259" s="190"/>
    </row>
    <row r="260" spans="1:10" ht="13.35" customHeight="1">
      <c r="A260" s="610" t="e">
        <f t="shared" ref="A260:A282" si="43">A252</f>
        <v>#N/A</v>
      </c>
      <c r="B260" s="610"/>
      <c r="C260" s="200" t="s">
        <v>405</v>
      </c>
      <c r="D260" s="610" t="e">
        <f t="shared" ref="D260:D266" si="44">A260</f>
        <v>#N/A</v>
      </c>
      <c r="E260" s="610"/>
      <c r="J260" s="190"/>
    </row>
    <row r="261" spans="1:10" ht="13.35" customHeight="1">
      <c r="A261" s="610" t="e">
        <f t="shared" si="43"/>
        <v>#N/A</v>
      </c>
      <c r="B261" s="610"/>
      <c r="C261" s="200" t="s">
        <v>405</v>
      </c>
      <c r="D261" s="610" t="e">
        <f t="shared" si="44"/>
        <v>#N/A</v>
      </c>
      <c r="E261" s="610"/>
      <c r="J261" s="190"/>
    </row>
    <row r="262" spans="1:10" ht="13.35" customHeight="1">
      <c r="A262" s="182" t="e">
        <f t="shared" ca="1" si="43"/>
        <v>#N/A</v>
      </c>
      <c r="B262" s="183" t="str">
        <f>B254</f>
        <v xml:space="preserve">Lt: </v>
      </c>
      <c r="C262" s="200" t="s">
        <v>405</v>
      </c>
      <c r="D262" s="182" t="e">
        <f t="shared" ca="1" si="44"/>
        <v>#N/A</v>
      </c>
      <c r="E262" s="183" t="str">
        <f>B262</f>
        <v xml:space="preserve">Lt: </v>
      </c>
      <c r="J262" s="190"/>
    </row>
    <row r="263" spans="1:10" ht="13.35" customHeight="1">
      <c r="A263" s="610" t="str">
        <f t="shared" si="43"/>
        <v xml:space="preserve">  0</v>
      </c>
      <c r="B263" s="610"/>
      <c r="C263" s="200" t="s">
        <v>405</v>
      </c>
      <c r="D263" s="610" t="str">
        <f t="shared" si="44"/>
        <v xml:space="preserve">  0</v>
      </c>
      <c r="E263" s="610"/>
      <c r="J263" s="190"/>
    </row>
    <row r="264" spans="1:10" ht="13.35" customHeight="1">
      <c r="A264" s="609" t="str">
        <f t="shared" si="43"/>
        <v>QFP: JGARCIA   QFV: ADELTORO</v>
      </c>
      <c r="B264" s="609"/>
      <c r="C264" s="200" t="s">
        <v>405</v>
      </c>
      <c r="D264" s="609" t="str">
        <f t="shared" si="44"/>
        <v>QFP: JGARCIA   QFV: ADELTORO</v>
      </c>
      <c r="E264" s="609"/>
      <c r="J264" s="190"/>
    </row>
    <row r="265" spans="1:10" ht="13.35" customHeight="1">
      <c r="A265" s="609" t="str">
        <f t="shared" si="43"/>
        <v>C.JPC/SEXTO NTE/SCOOP   Cama: NA</v>
      </c>
      <c r="B265" s="609"/>
      <c r="C265" s="200" t="s">
        <v>405</v>
      </c>
      <c r="D265" s="609" t="str">
        <f t="shared" si="44"/>
        <v>C.JPC/SEXTO NTE/SCOOP   Cama: NA</v>
      </c>
      <c r="E265" s="609"/>
      <c r="J265" s="190"/>
    </row>
    <row r="266" spans="1:10" ht="13.35" customHeight="1">
      <c r="A266" s="609" t="str">
        <f t="shared" si="43"/>
        <v>UNIDOSSIS S.A.S.</v>
      </c>
      <c r="B266" s="609"/>
      <c r="C266" s="200" t="s">
        <v>405</v>
      </c>
      <c r="D266" s="609" t="str">
        <f t="shared" si="44"/>
        <v>UNIDOSSIS S.A.S.</v>
      </c>
      <c r="E266" s="609"/>
      <c r="J266" s="190"/>
    </row>
    <row r="267" spans="1:10" ht="13.35" customHeight="1">
      <c r="A267" s="199" t="s">
        <v>403</v>
      </c>
      <c r="B267" s="199" t="s">
        <v>403</v>
      </c>
      <c r="C267" s="200" t="s">
        <v>405</v>
      </c>
      <c r="D267" s="199" t="s">
        <v>404</v>
      </c>
      <c r="E267" s="199" t="s">
        <v>403</v>
      </c>
      <c r="J267" s="190"/>
    </row>
    <row r="268" spans="1:10" ht="13.35" customHeight="1">
      <c r="A268" s="610" t="e">
        <f t="shared" si="43"/>
        <v>#N/A</v>
      </c>
      <c r="B268" s="610"/>
      <c r="C268" s="200" t="s">
        <v>405</v>
      </c>
      <c r="D268" s="610" t="e">
        <f t="shared" ref="D268:D274" si="45">A268</f>
        <v>#N/A</v>
      </c>
      <c r="E268" s="610"/>
      <c r="J268" s="190"/>
    </row>
    <row r="269" spans="1:10" ht="13.35" customHeight="1">
      <c r="A269" s="610" t="e">
        <f t="shared" si="43"/>
        <v>#N/A</v>
      </c>
      <c r="B269" s="610"/>
      <c r="C269" s="200" t="s">
        <v>405</v>
      </c>
      <c r="D269" s="610" t="e">
        <f t="shared" si="45"/>
        <v>#N/A</v>
      </c>
      <c r="E269" s="610"/>
      <c r="J269" s="190"/>
    </row>
    <row r="270" spans="1:10" ht="13.35" customHeight="1">
      <c r="A270" s="182" t="e">
        <f t="shared" ca="1" si="43"/>
        <v>#N/A</v>
      </c>
      <c r="B270" s="183" t="str">
        <f>B262</f>
        <v xml:space="preserve">Lt: </v>
      </c>
      <c r="C270" s="200" t="s">
        <v>405</v>
      </c>
      <c r="D270" s="182" t="e">
        <f t="shared" ca="1" si="45"/>
        <v>#N/A</v>
      </c>
      <c r="E270" s="183" t="str">
        <f>B270</f>
        <v xml:space="preserve">Lt: </v>
      </c>
      <c r="J270" s="190"/>
    </row>
    <row r="271" spans="1:10" ht="13.35" customHeight="1">
      <c r="A271" s="610" t="str">
        <f t="shared" si="43"/>
        <v xml:space="preserve">  0</v>
      </c>
      <c r="B271" s="610"/>
      <c r="C271" s="200" t="s">
        <v>405</v>
      </c>
      <c r="D271" s="610" t="str">
        <f t="shared" si="45"/>
        <v xml:space="preserve">  0</v>
      </c>
      <c r="E271" s="610"/>
      <c r="J271" s="190"/>
    </row>
    <row r="272" spans="1:10" ht="13.35" customHeight="1">
      <c r="A272" s="609" t="str">
        <f t="shared" si="43"/>
        <v>QFP: JGARCIA   QFV: ADELTORO</v>
      </c>
      <c r="B272" s="609"/>
      <c r="C272" s="200" t="s">
        <v>405</v>
      </c>
      <c r="D272" s="609" t="str">
        <f t="shared" si="45"/>
        <v>QFP: JGARCIA   QFV: ADELTORO</v>
      </c>
      <c r="E272" s="609"/>
      <c r="J272" s="190"/>
    </row>
    <row r="273" spans="1:10" ht="13.35" customHeight="1">
      <c r="A273" s="609" t="str">
        <f t="shared" si="43"/>
        <v>C.JPC/SEXTO NTE/SCOOP   Cama: NA</v>
      </c>
      <c r="B273" s="609"/>
      <c r="C273" s="200" t="s">
        <v>405</v>
      </c>
      <c r="D273" s="609" t="str">
        <f t="shared" si="45"/>
        <v>C.JPC/SEXTO NTE/SCOOP   Cama: NA</v>
      </c>
      <c r="E273" s="609"/>
      <c r="J273" s="190"/>
    </row>
    <row r="274" spans="1:10" ht="13.35" customHeight="1">
      <c r="A274" s="609" t="str">
        <f t="shared" si="43"/>
        <v>UNIDOSSIS S.A.S.</v>
      </c>
      <c r="B274" s="609"/>
      <c r="C274" s="200" t="s">
        <v>405</v>
      </c>
      <c r="D274" s="609" t="str">
        <f t="shared" si="45"/>
        <v>UNIDOSSIS S.A.S.</v>
      </c>
      <c r="E274" s="609"/>
      <c r="J274" s="190"/>
    </row>
    <row r="275" spans="1:10" ht="13.35" customHeight="1">
      <c r="A275" s="199" t="s">
        <v>403</v>
      </c>
      <c r="B275" s="199" t="s">
        <v>403</v>
      </c>
      <c r="C275" s="200" t="s">
        <v>405</v>
      </c>
      <c r="D275" s="199" t="s">
        <v>404</v>
      </c>
      <c r="E275" s="199" t="s">
        <v>403</v>
      </c>
      <c r="J275" s="190"/>
    </row>
    <row r="276" spans="1:10" ht="13.35" customHeight="1">
      <c r="A276" s="610" t="e">
        <f t="shared" si="43"/>
        <v>#N/A</v>
      </c>
      <c r="B276" s="610"/>
      <c r="C276" s="200" t="s">
        <v>405</v>
      </c>
      <c r="D276" s="610" t="e">
        <f t="shared" ref="D276:D282" si="46">A276</f>
        <v>#N/A</v>
      </c>
      <c r="E276" s="610"/>
      <c r="J276" s="190"/>
    </row>
    <row r="277" spans="1:10" ht="13.35" customHeight="1">
      <c r="A277" s="610" t="e">
        <f t="shared" si="43"/>
        <v>#N/A</v>
      </c>
      <c r="B277" s="610"/>
      <c r="C277" s="200" t="s">
        <v>405</v>
      </c>
      <c r="D277" s="610" t="e">
        <f t="shared" si="46"/>
        <v>#N/A</v>
      </c>
      <c r="E277" s="610"/>
      <c r="J277" s="190"/>
    </row>
    <row r="278" spans="1:10" ht="13.35" customHeight="1">
      <c r="A278" s="182" t="e">
        <f t="shared" ca="1" si="43"/>
        <v>#N/A</v>
      </c>
      <c r="B278" s="183" t="str">
        <f>B270</f>
        <v xml:space="preserve">Lt: </v>
      </c>
      <c r="C278" s="200" t="s">
        <v>405</v>
      </c>
      <c r="D278" s="182" t="e">
        <f t="shared" ca="1" si="46"/>
        <v>#N/A</v>
      </c>
      <c r="E278" s="183" t="str">
        <f>B278</f>
        <v xml:space="preserve">Lt: </v>
      </c>
      <c r="J278" s="190"/>
    </row>
    <row r="279" spans="1:10" ht="13.35" customHeight="1">
      <c r="A279" s="610" t="str">
        <f t="shared" si="43"/>
        <v xml:space="preserve">  0</v>
      </c>
      <c r="B279" s="610"/>
      <c r="C279" s="200" t="s">
        <v>405</v>
      </c>
      <c r="D279" s="610" t="str">
        <f t="shared" si="46"/>
        <v xml:space="preserve">  0</v>
      </c>
      <c r="E279" s="610"/>
      <c r="J279" s="190"/>
    </row>
    <row r="280" spans="1:10" ht="13.35" customHeight="1">
      <c r="A280" s="609" t="str">
        <f t="shared" si="43"/>
        <v>QFP: JGARCIA   QFV: ADELTORO</v>
      </c>
      <c r="B280" s="609"/>
      <c r="C280" s="200" t="s">
        <v>405</v>
      </c>
      <c r="D280" s="609" t="str">
        <f t="shared" si="46"/>
        <v>QFP: JGARCIA   QFV: ADELTORO</v>
      </c>
      <c r="E280" s="609"/>
      <c r="J280" s="190"/>
    </row>
    <row r="281" spans="1:10" ht="13.35" customHeight="1">
      <c r="A281" s="609" t="str">
        <f t="shared" si="43"/>
        <v>C.JPC/SEXTO NTE/SCOOP   Cama: NA</v>
      </c>
      <c r="B281" s="609"/>
      <c r="C281" s="200" t="s">
        <v>405</v>
      </c>
      <c r="D281" s="609" t="str">
        <f t="shared" si="46"/>
        <v>C.JPC/SEXTO NTE/SCOOP   Cama: NA</v>
      </c>
      <c r="E281" s="609"/>
      <c r="J281" s="190"/>
    </row>
    <row r="282" spans="1:10" ht="13.35" customHeight="1">
      <c r="A282" s="609" t="str">
        <f t="shared" si="43"/>
        <v>UNIDOSSIS S.A.S.</v>
      </c>
      <c r="B282" s="609"/>
      <c r="C282" s="200" t="s">
        <v>405</v>
      </c>
      <c r="D282" s="609" t="str">
        <f t="shared" si="46"/>
        <v>UNIDOSSIS S.A.S.</v>
      </c>
      <c r="E282" s="609"/>
      <c r="J282" s="190"/>
    </row>
    <row r="283" spans="1:10" ht="13.35" customHeight="1">
      <c r="A283" s="610" t="e">
        <f>'DATOS ETIQ'!B$11&amp;"  "&amp;'DATOS ETIQ'!C$11&amp;"  "&amp;'DATOS ETIQ'!D$11&amp;'DATOS ETIQ'!Q$11</f>
        <v>#N/A</v>
      </c>
      <c r="B283" s="610"/>
      <c r="C283" s="200" t="s">
        <v>405</v>
      </c>
      <c r="D283" s="610" t="e">
        <f t="shared" ref="D283:D289" si="47">A283</f>
        <v>#N/A</v>
      </c>
      <c r="E283" s="610"/>
      <c r="J283" s="190"/>
    </row>
    <row r="284" spans="1:10" ht="13.35" customHeight="1" thickBot="1">
      <c r="A284" s="610" t="e">
        <f>IF('DATOS ETIQ'!P$11=1,"Do: "&amp;'DATOS ETIQ'!F$11&amp;"mg   VolDo: "&amp;'DATOS ETIQ'!G$11&amp;"mL","Dilución 1/"&amp;'DATOS ETIQ'!P$11&amp;"  "&amp;'DATOS ETIQ'!E$11&amp;"mg/mL   Do: "&amp;'DATOS ETIQ'!F$11&amp;"mg   VolDo: "&amp;'DATOS ETIQ'!G$11&amp;"mL")</f>
        <v>#N/A</v>
      </c>
      <c r="B284" s="610"/>
      <c r="C284" s="200" t="s">
        <v>405</v>
      </c>
      <c r="D284" s="610" t="e">
        <f t="shared" si="47"/>
        <v>#N/A</v>
      </c>
      <c r="E284" s="610"/>
      <c r="J284" s="190"/>
    </row>
    <row r="285" spans="1:10" ht="13.35" customHeight="1">
      <c r="A285" s="182" t="e">
        <f ca="1">'DATOS ETIQ'!H$11</f>
        <v>#N/A</v>
      </c>
      <c r="B285" s="183" t="str">
        <f>"Lt: "&amp;'DATOS ETIQ'!I$11</f>
        <v xml:space="preserve">Lt: </v>
      </c>
      <c r="C285" s="200" t="s">
        <v>405</v>
      </c>
      <c r="D285" s="182" t="e">
        <f t="shared" ca="1" si="47"/>
        <v>#N/A</v>
      </c>
      <c r="E285" s="183" t="str">
        <f>B285</f>
        <v xml:space="preserve">Lt: </v>
      </c>
      <c r="G285" s="611" t="e">
        <f>'FR PD 001 V1'!T15/4</f>
        <v>#N/A</v>
      </c>
      <c r="J285" s="611">
        <v>10</v>
      </c>
    </row>
    <row r="286" spans="1:10" ht="13.35" customHeight="1" thickBot="1">
      <c r="A286" s="610" t="str">
        <f>'DATOS ETIQ'!J$11&amp;"  "&amp;'DATOS ETIQ'!K$11</f>
        <v xml:space="preserve">  0</v>
      </c>
      <c r="B286" s="610"/>
      <c r="C286" s="200" t="s">
        <v>405</v>
      </c>
      <c r="D286" s="610" t="str">
        <f t="shared" si="47"/>
        <v xml:space="preserve">  0</v>
      </c>
      <c r="E286" s="610"/>
      <c r="G286" s="612"/>
      <c r="J286" s="612"/>
    </row>
    <row r="287" spans="1:10" ht="13.35" customHeight="1">
      <c r="A287" s="609" t="str">
        <f>"QFP: "&amp;'DATOS ETIQ'!L$11&amp;"   QFV: "&amp;'DATOS ETIQ'!M$11</f>
        <v>QFP: JGARCIA   QFV: ADELTORO</v>
      </c>
      <c r="B287" s="609"/>
      <c r="C287" s="200" t="s">
        <v>405</v>
      </c>
      <c r="D287" s="609" t="str">
        <f t="shared" si="47"/>
        <v>QFP: JGARCIA   QFV: ADELTORO</v>
      </c>
      <c r="E287" s="609"/>
      <c r="J287" s="190"/>
    </row>
    <row r="288" spans="1:10" ht="13.35" customHeight="1">
      <c r="A288" s="609" t="str">
        <f>'DATOS ETIQ'!N$11&amp;"   Cama: "&amp;'DATOS ETIQ'!O$11</f>
        <v>C.JPC/SEXTO NTE/SCOOP   Cama: NA</v>
      </c>
      <c r="B288" s="609"/>
      <c r="C288" s="200" t="s">
        <v>405</v>
      </c>
      <c r="D288" s="609" t="str">
        <f t="shared" si="47"/>
        <v>C.JPC/SEXTO NTE/SCOOP   Cama: NA</v>
      </c>
      <c r="E288" s="609"/>
      <c r="J288" s="190"/>
    </row>
    <row r="289" spans="1:10" ht="13.35" customHeight="1">
      <c r="A289" s="609" t="s">
        <v>167</v>
      </c>
      <c r="B289" s="609"/>
      <c r="C289" s="200" t="s">
        <v>405</v>
      </c>
      <c r="D289" s="609" t="str">
        <f t="shared" si="47"/>
        <v>UNIDOSSIS S.A.S.</v>
      </c>
      <c r="E289" s="609"/>
      <c r="J289" s="190"/>
    </row>
    <row r="290" spans="1:10" ht="13.35" customHeight="1">
      <c r="A290" s="199" t="s">
        <v>403</v>
      </c>
      <c r="B290" s="199" t="s">
        <v>403</v>
      </c>
      <c r="C290" s="200" t="s">
        <v>405</v>
      </c>
      <c r="D290" s="199" t="s">
        <v>404</v>
      </c>
      <c r="E290" s="199" t="s">
        <v>403</v>
      </c>
      <c r="J290" s="190"/>
    </row>
    <row r="291" spans="1:10" ht="13.35" customHeight="1">
      <c r="A291" s="610" t="e">
        <f t="shared" ref="A291:A313" si="48">A283</f>
        <v>#N/A</v>
      </c>
      <c r="B291" s="610"/>
      <c r="C291" s="200" t="s">
        <v>405</v>
      </c>
      <c r="D291" s="610" t="e">
        <f t="shared" ref="D291:D297" si="49">A291</f>
        <v>#N/A</v>
      </c>
      <c r="E291" s="610"/>
      <c r="J291" s="190"/>
    </row>
    <row r="292" spans="1:10" ht="13.35" customHeight="1">
      <c r="A292" s="610" t="e">
        <f t="shared" si="48"/>
        <v>#N/A</v>
      </c>
      <c r="B292" s="610"/>
      <c r="C292" s="200" t="s">
        <v>405</v>
      </c>
      <c r="D292" s="610" t="e">
        <f t="shared" si="49"/>
        <v>#N/A</v>
      </c>
      <c r="E292" s="610"/>
      <c r="J292" s="190"/>
    </row>
    <row r="293" spans="1:10" ht="13.35" customHeight="1">
      <c r="A293" s="182" t="e">
        <f t="shared" ca="1" si="48"/>
        <v>#N/A</v>
      </c>
      <c r="B293" s="183" t="str">
        <f>B285</f>
        <v xml:space="preserve">Lt: </v>
      </c>
      <c r="C293" s="200" t="s">
        <v>405</v>
      </c>
      <c r="D293" s="182" t="e">
        <f t="shared" ca="1" si="49"/>
        <v>#N/A</v>
      </c>
      <c r="E293" s="183" t="str">
        <f>B293</f>
        <v xml:space="preserve">Lt: </v>
      </c>
      <c r="J293" s="190"/>
    </row>
    <row r="294" spans="1:10" ht="13.35" customHeight="1">
      <c r="A294" s="610" t="str">
        <f t="shared" si="48"/>
        <v xml:space="preserve">  0</v>
      </c>
      <c r="B294" s="610"/>
      <c r="C294" s="200" t="s">
        <v>405</v>
      </c>
      <c r="D294" s="610" t="str">
        <f t="shared" si="49"/>
        <v xml:space="preserve">  0</v>
      </c>
      <c r="E294" s="610"/>
      <c r="J294" s="190"/>
    </row>
    <row r="295" spans="1:10" ht="13.35" customHeight="1">
      <c r="A295" s="609" t="str">
        <f t="shared" si="48"/>
        <v>QFP: JGARCIA   QFV: ADELTORO</v>
      </c>
      <c r="B295" s="609"/>
      <c r="C295" s="200" t="s">
        <v>405</v>
      </c>
      <c r="D295" s="609" t="str">
        <f t="shared" si="49"/>
        <v>QFP: JGARCIA   QFV: ADELTORO</v>
      </c>
      <c r="E295" s="609"/>
      <c r="J295" s="190"/>
    </row>
    <row r="296" spans="1:10" ht="13.35" customHeight="1">
      <c r="A296" s="609" t="str">
        <f t="shared" si="48"/>
        <v>C.JPC/SEXTO NTE/SCOOP   Cama: NA</v>
      </c>
      <c r="B296" s="609"/>
      <c r="C296" s="200" t="s">
        <v>405</v>
      </c>
      <c r="D296" s="609" t="str">
        <f t="shared" si="49"/>
        <v>C.JPC/SEXTO NTE/SCOOP   Cama: NA</v>
      </c>
      <c r="E296" s="609"/>
      <c r="J296" s="190"/>
    </row>
    <row r="297" spans="1:10" ht="13.35" customHeight="1">
      <c r="A297" s="609" t="str">
        <f t="shared" si="48"/>
        <v>UNIDOSSIS S.A.S.</v>
      </c>
      <c r="B297" s="609"/>
      <c r="C297" s="200" t="s">
        <v>405</v>
      </c>
      <c r="D297" s="609" t="str">
        <f t="shared" si="49"/>
        <v>UNIDOSSIS S.A.S.</v>
      </c>
      <c r="E297" s="609"/>
      <c r="J297" s="190"/>
    </row>
    <row r="298" spans="1:10" ht="13.35" customHeight="1">
      <c r="A298" s="199" t="s">
        <v>403</v>
      </c>
      <c r="B298" s="199" t="s">
        <v>403</v>
      </c>
      <c r="C298" s="200" t="s">
        <v>405</v>
      </c>
      <c r="D298" s="199" t="s">
        <v>404</v>
      </c>
      <c r="E298" s="199" t="s">
        <v>403</v>
      </c>
      <c r="J298" s="190"/>
    </row>
    <row r="299" spans="1:10" ht="13.35" customHeight="1">
      <c r="A299" s="610" t="e">
        <f t="shared" si="48"/>
        <v>#N/A</v>
      </c>
      <c r="B299" s="610"/>
      <c r="C299" s="200" t="s">
        <v>405</v>
      </c>
      <c r="D299" s="610" t="e">
        <f t="shared" ref="D299:D305" si="50">A299</f>
        <v>#N/A</v>
      </c>
      <c r="E299" s="610"/>
      <c r="J299" s="190"/>
    </row>
    <row r="300" spans="1:10" ht="13.35" customHeight="1">
      <c r="A300" s="610" t="e">
        <f t="shared" si="48"/>
        <v>#N/A</v>
      </c>
      <c r="B300" s="610"/>
      <c r="C300" s="200" t="s">
        <v>405</v>
      </c>
      <c r="D300" s="610" t="e">
        <f t="shared" si="50"/>
        <v>#N/A</v>
      </c>
      <c r="E300" s="610"/>
      <c r="J300" s="190"/>
    </row>
    <row r="301" spans="1:10" ht="13.35" customHeight="1">
      <c r="A301" s="182" t="e">
        <f t="shared" ca="1" si="48"/>
        <v>#N/A</v>
      </c>
      <c r="B301" s="183" t="str">
        <f>B293</f>
        <v xml:space="preserve">Lt: </v>
      </c>
      <c r="C301" s="200" t="s">
        <v>405</v>
      </c>
      <c r="D301" s="182" t="e">
        <f t="shared" ca="1" si="50"/>
        <v>#N/A</v>
      </c>
      <c r="E301" s="183" t="str">
        <f>B301</f>
        <v xml:space="preserve">Lt: </v>
      </c>
      <c r="J301" s="190"/>
    </row>
    <row r="302" spans="1:10" ht="13.35" customHeight="1">
      <c r="A302" s="610" t="str">
        <f t="shared" si="48"/>
        <v xml:space="preserve">  0</v>
      </c>
      <c r="B302" s="610"/>
      <c r="C302" s="200" t="s">
        <v>405</v>
      </c>
      <c r="D302" s="610" t="str">
        <f t="shared" si="50"/>
        <v xml:space="preserve">  0</v>
      </c>
      <c r="E302" s="610"/>
      <c r="J302" s="190"/>
    </row>
    <row r="303" spans="1:10" ht="13.35" customHeight="1">
      <c r="A303" s="609" t="str">
        <f t="shared" si="48"/>
        <v>QFP: JGARCIA   QFV: ADELTORO</v>
      </c>
      <c r="B303" s="609"/>
      <c r="C303" s="200" t="s">
        <v>405</v>
      </c>
      <c r="D303" s="609" t="str">
        <f t="shared" si="50"/>
        <v>QFP: JGARCIA   QFV: ADELTORO</v>
      </c>
      <c r="E303" s="609"/>
      <c r="J303" s="190"/>
    </row>
    <row r="304" spans="1:10" ht="13.35" customHeight="1">
      <c r="A304" s="609" t="str">
        <f t="shared" si="48"/>
        <v>C.JPC/SEXTO NTE/SCOOP   Cama: NA</v>
      </c>
      <c r="B304" s="609"/>
      <c r="C304" s="200" t="s">
        <v>405</v>
      </c>
      <c r="D304" s="609" t="str">
        <f t="shared" si="50"/>
        <v>C.JPC/SEXTO NTE/SCOOP   Cama: NA</v>
      </c>
      <c r="E304" s="609"/>
      <c r="J304" s="190"/>
    </row>
    <row r="305" spans="1:10" ht="13.35" customHeight="1">
      <c r="A305" s="609" t="str">
        <f t="shared" si="48"/>
        <v>UNIDOSSIS S.A.S.</v>
      </c>
      <c r="B305" s="609"/>
      <c r="C305" s="200" t="s">
        <v>405</v>
      </c>
      <c r="D305" s="609" t="str">
        <f t="shared" si="50"/>
        <v>UNIDOSSIS S.A.S.</v>
      </c>
      <c r="E305" s="609"/>
      <c r="J305" s="190"/>
    </row>
    <row r="306" spans="1:10" ht="13.35" customHeight="1">
      <c r="A306" s="199" t="s">
        <v>403</v>
      </c>
      <c r="B306" s="199" t="s">
        <v>403</v>
      </c>
      <c r="C306" s="200" t="s">
        <v>405</v>
      </c>
      <c r="D306" s="199" t="s">
        <v>404</v>
      </c>
      <c r="E306" s="199" t="s">
        <v>403</v>
      </c>
      <c r="J306" s="190"/>
    </row>
    <row r="307" spans="1:10" ht="13.35" customHeight="1">
      <c r="A307" s="610" t="e">
        <f t="shared" si="48"/>
        <v>#N/A</v>
      </c>
      <c r="B307" s="610"/>
      <c r="C307" s="200" t="s">
        <v>405</v>
      </c>
      <c r="D307" s="610" t="e">
        <f t="shared" ref="D307:D313" si="51">A307</f>
        <v>#N/A</v>
      </c>
      <c r="E307" s="610"/>
      <c r="J307" s="190"/>
    </row>
    <row r="308" spans="1:10" ht="13.35" customHeight="1">
      <c r="A308" s="610" t="e">
        <f t="shared" si="48"/>
        <v>#N/A</v>
      </c>
      <c r="B308" s="610"/>
      <c r="C308" s="200" t="s">
        <v>405</v>
      </c>
      <c r="D308" s="610" t="e">
        <f t="shared" si="51"/>
        <v>#N/A</v>
      </c>
      <c r="E308" s="610"/>
      <c r="J308" s="190"/>
    </row>
    <row r="309" spans="1:10" ht="13.35" customHeight="1">
      <c r="A309" s="182" t="e">
        <f t="shared" ca="1" si="48"/>
        <v>#N/A</v>
      </c>
      <c r="B309" s="183" t="str">
        <f>B301</f>
        <v xml:space="preserve">Lt: </v>
      </c>
      <c r="C309" s="200" t="s">
        <v>405</v>
      </c>
      <c r="D309" s="182" t="e">
        <f t="shared" ca="1" si="51"/>
        <v>#N/A</v>
      </c>
      <c r="E309" s="183" t="str">
        <f>B309</f>
        <v xml:space="preserve">Lt: </v>
      </c>
      <c r="J309" s="190"/>
    </row>
    <row r="310" spans="1:10" ht="13.35" customHeight="1">
      <c r="A310" s="610" t="str">
        <f t="shared" si="48"/>
        <v xml:space="preserve">  0</v>
      </c>
      <c r="B310" s="610"/>
      <c r="C310" s="200" t="s">
        <v>405</v>
      </c>
      <c r="D310" s="610" t="str">
        <f t="shared" si="51"/>
        <v xml:space="preserve">  0</v>
      </c>
      <c r="E310" s="610"/>
      <c r="J310" s="190"/>
    </row>
    <row r="311" spans="1:10" ht="13.35" customHeight="1">
      <c r="A311" s="609" t="str">
        <f t="shared" si="48"/>
        <v>QFP: JGARCIA   QFV: ADELTORO</v>
      </c>
      <c r="B311" s="609"/>
      <c r="C311" s="200" t="s">
        <v>405</v>
      </c>
      <c r="D311" s="609" t="str">
        <f t="shared" si="51"/>
        <v>QFP: JGARCIA   QFV: ADELTORO</v>
      </c>
      <c r="E311" s="609"/>
      <c r="J311" s="190"/>
    </row>
    <row r="312" spans="1:10" ht="13.35" customHeight="1">
      <c r="A312" s="609" t="str">
        <f t="shared" si="48"/>
        <v>C.JPC/SEXTO NTE/SCOOP   Cama: NA</v>
      </c>
      <c r="B312" s="609"/>
      <c r="C312" s="200" t="s">
        <v>405</v>
      </c>
      <c r="D312" s="609" t="str">
        <f t="shared" si="51"/>
        <v>C.JPC/SEXTO NTE/SCOOP   Cama: NA</v>
      </c>
      <c r="E312" s="609"/>
      <c r="J312" s="190"/>
    </row>
    <row r="313" spans="1:10" ht="13.35" customHeight="1">
      <c r="A313" s="609" t="str">
        <f t="shared" si="48"/>
        <v>UNIDOSSIS S.A.S.</v>
      </c>
      <c r="B313" s="609"/>
      <c r="C313" s="200" t="s">
        <v>405</v>
      </c>
      <c r="D313" s="609" t="str">
        <f t="shared" si="51"/>
        <v>UNIDOSSIS S.A.S.</v>
      </c>
      <c r="E313" s="609"/>
      <c r="J313" s="190"/>
    </row>
    <row r="314" spans="1:10" ht="13.35" customHeight="1">
      <c r="A314" s="610" t="e">
        <f>'DATOS ETIQ'!B$12&amp;"  "&amp;'DATOS ETIQ'!C$12&amp;"  "&amp;'DATOS ETIQ'!D$12&amp;'DATOS ETIQ'!Q$12</f>
        <v>#N/A</v>
      </c>
      <c r="B314" s="610"/>
      <c r="C314" s="200" t="s">
        <v>405</v>
      </c>
      <c r="D314" s="610" t="e">
        <f t="shared" ref="D314:D320" si="52">A314</f>
        <v>#N/A</v>
      </c>
      <c r="E314" s="610"/>
      <c r="J314" s="190"/>
    </row>
    <row r="315" spans="1:10" ht="13.35" customHeight="1" thickBot="1">
      <c r="A315" s="610" t="e">
        <f>IF('DATOS ETIQ'!P$12=1,"Do: "&amp;'DATOS ETIQ'!F$12&amp;"mg   VolDo: "&amp;'DATOS ETIQ'!G$12&amp;"mL","Dilución 1/"&amp;'DATOS ETIQ'!P$12&amp;"  "&amp;'DATOS ETIQ'!E$12&amp;"mg/mL   Do: "&amp;'DATOS ETIQ'!F$12&amp;"mg   VolDo: "&amp;'DATOS ETIQ'!G$12&amp;"mL")</f>
        <v>#N/A</v>
      </c>
      <c r="B315" s="610"/>
      <c r="C315" s="200" t="s">
        <v>405</v>
      </c>
      <c r="D315" s="610" t="e">
        <f t="shared" si="52"/>
        <v>#N/A</v>
      </c>
      <c r="E315" s="610"/>
      <c r="J315" s="190"/>
    </row>
    <row r="316" spans="1:10" ht="13.35" customHeight="1">
      <c r="A316" s="182" t="e">
        <f ca="1">'DATOS ETIQ'!H$12</f>
        <v>#N/A</v>
      </c>
      <c r="B316" s="183" t="str">
        <f>"Lt: "&amp;'DATOS ETIQ'!I$12</f>
        <v xml:space="preserve">Lt: </v>
      </c>
      <c r="C316" s="200" t="s">
        <v>405</v>
      </c>
      <c r="D316" s="182" t="e">
        <f t="shared" ca="1" si="52"/>
        <v>#N/A</v>
      </c>
      <c r="E316" s="183" t="str">
        <f>B316</f>
        <v xml:space="preserve">Lt: </v>
      </c>
      <c r="G316" s="611" t="e">
        <f>'FR PD 001 V1'!T16/4</f>
        <v>#N/A</v>
      </c>
      <c r="J316" s="611">
        <v>11</v>
      </c>
    </row>
    <row r="317" spans="1:10" ht="13.35" customHeight="1" thickBot="1">
      <c r="A317" s="610" t="str">
        <f>'DATOS ETIQ'!J$12&amp;"  "&amp;'DATOS ETIQ'!K$12</f>
        <v xml:space="preserve">  0</v>
      </c>
      <c r="B317" s="610"/>
      <c r="C317" s="200" t="s">
        <v>405</v>
      </c>
      <c r="D317" s="610" t="str">
        <f t="shared" si="52"/>
        <v xml:space="preserve">  0</v>
      </c>
      <c r="E317" s="610"/>
      <c r="G317" s="612"/>
      <c r="J317" s="612"/>
    </row>
    <row r="318" spans="1:10" ht="13.35" customHeight="1">
      <c r="A318" s="609" t="str">
        <f>"QFP: "&amp;'DATOS ETIQ'!L$12&amp;"   QFV: "&amp;'DATOS ETIQ'!M$12</f>
        <v>QFP: JGARCIA   QFV: ADELTORO</v>
      </c>
      <c r="B318" s="609"/>
      <c r="C318" s="200" t="s">
        <v>405</v>
      </c>
      <c r="D318" s="609" t="str">
        <f t="shared" si="52"/>
        <v>QFP: JGARCIA   QFV: ADELTORO</v>
      </c>
      <c r="E318" s="609"/>
      <c r="J318" s="190"/>
    </row>
    <row r="319" spans="1:10" ht="13.35" customHeight="1">
      <c r="A319" s="609" t="str">
        <f>'DATOS ETIQ'!N$12&amp;"   Cama: "&amp;'DATOS ETIQ'!O$12</f>
        <v>C.JPC/SEXTO NTE/SCOOP   Cama: NA</v>
      </c>
      <c r="B319" s="609"/>
      <c r="C319" s="200" t="s">
        <v>405</v>
      </c>
      <c r="D319" s="609" t="str">
        <f t="shared" si="52"/>
        <v>C.JPC/SEXTO NTE/SCOOP   Cama: NA</v>
      </c>
      <c r="E319" s="609"/>
      <c r="J319" s="190"/>
    </row>
    <row r="320" spans="1:10" ht="13.35" customHeight="1">
      <c r="A320" s="609" t="s">
        <v>167</v>
      </c>
      <c r="B320" s="609"/>
      <c r="C320" s="200" t="s">
        <v>405</v>
      </c>
      <c r="D320" s="609" t="str">
        <f t="shared" si="52"/>
        <v>UNIDOSSIS S.A.S.</v>
      </c>
      <c r="E320" s="609"/>
      <c r="J320" s="190"/>
    </row>
    <row r="321" spans="1:10" ht="13.35" customHeight="1">
      <c r="A321" s="199" t="s">
        <v>403</v>
      </c>
      <c r="B321" s="199" t="s">
        <v>403</v>
      </c>
      <c r="C321" s="200" t="s">
        <v>405</v>
      </c>
      <c r="D321" s="199" t="s">
        <v>404</v>
      </c>
      <c r="E321" s="199" t="s">
        <v>403</v>
      </c>
      <c r="J321" s="190"/>
    </row>
    <row r="322" spans="1:10" ht="13.35" customHeight="1">
      <c r="A322" s="610" t="e">
        <f t="shared" ref="A322:A344" si="53">A314</f>
        <v>#N/A</v>
      </c>
      <c r="B322" s="610"/>
      <c r="C322" s="200" t="s">
        <v>405</v>
      </c>
      <c r="D322" s="610" t="e">
        <f t="shared" ref="D322:D328" si="54">A322</f>
        <v>#N/A</v>
      </c>
      <c r="E322" s="610"/>
      <c r="J322" s="190"/>
    </row>
    <row r="323" spans="1:10" ht="13.35" customHeight="1">
      <c r="A323" s="610" t="e">
        <f t="shared" si="53"/>
        <v>#N/A</v>
      </c>
      <c r="B323" s="610"/>
      <c r="C323" s="200" t="s">
        <v>405</v>
      </c>
      <c r="D323" s="610" t="e">
        <f t="shared" si="54"/>
        <v>#N/A</v>
      </c>
      <c r="E323" s="610"/>
      <c r="J323" s="190"/>
    </row>
    <row r="324" spans="1:10" ht="13.35" customHeight="1">
      <c r="A324" s="182" t="e">
        <f t="shared" ca="1" si="53"/>
        <v>#N/A</v>
      </c>
      <c r="B324" s="183" t="str">
        <f>B316</f>
        <v xml:space="preserve">Lt: </v>
      </c>
      <c r="C324" s="200" t="s">
        <v>405</v>
      </c>
      <c r="D324" s="182" t="e">
        <f t="shared" ca="1" si="54"/>
        <v>#N/A</v>
      </c>
      <c r="E324" s="183" t="str">
        <f>B324</f>
        <v xml:space="preserve">Lt: </v>
      </c>
      <c r="J324" s="190"/>
    </row>
    <row r="325" spans="1:10" ht="13.35" customHeight="1">
      <c r="A325" s="610" t="str">
        <f t="shared" si="53"/>
        <v xml:space="preserve">  0</v>
      </c>
      <c r="B325" s="610"/>
      <c r="C325" s="200" t="s">
        <v>405</v>
      </c>
      <c r="D325" s="610" t="str">
        <f t="shared" si="54"/>
        <v xml:space="preserve">  0</v>
      </c>
      <c r="E325" s="610"/>
      <c r="J325" s="190"/>
    </row>
    <row r="326" spans="1:10" ht="13.35" customHeight="1">
      <c r="A326" s="609" t="str">
        <f t="shared" si="53"/>
        <v>QFP: JGARCIA   QFV: ADELTORO</v>
      </c>
      <c r="B326" s="609"/>
      <c r="C326" s="200" t="s">
        <v>405</v>
      </c>
      <c r="D326" s="609" t="str">
        <f t="shared" si="54"/>
        <v>QFP: JGARCIA   QFV: ADELTORO</v>
      </c>
      <c r="E326" s="609"/>
      <c r="J326" s="190"/>
    </row>
    <row r="327" spans="1:10" ht="13.35" customHeight="1">
      <c r="A327" s="609" t="str">
        <f t="shared" si="53"/>
        <v>C.JPC/SEXTO NTE/SCOOP   Cama: NA</v>
      </c>
      <c r="B327" s="609"/>
      <c r="C327" s="200" t="s">
        <v>405</v>
      </c>
      <c r="D327" s="609" t="str">
        <f t="shared" si="54"/>
        <v>C.JPC/SEXTO NTE/SCOOP   Cama: NA</v>
      </c>
      <c r="E327" s="609"/>
      <c r="J327" s="190"/>
    </row>
    <row r="328" spans="1:10" ht="13.35" customHeight="1">
      <c r="A328" s="609" t="str">
        <f t="shared" si="53"/>
        <v>UNIDOSSIS S.A.S.</v>
      </c>
      <c r="B328" s="609"/>
      <c r="C328" s="200" t="s">
        <v>405</v>
      </c>
      <c r="D328" s="609" t="str">
        <f t="shared" si="54"/>
        <v>UNIDOSSIS S.A.S.</v>
      </c>
      <c r="E328" s="609"/>
      <c r="J328" s="190"/>
    </row>
    <row r="329" spans="1:10" ht="13.35" customHeight="1">
      <c r="A329" s="199" t="s">
        <v>403</v>
      </c>
      <c r="B329" s="199" t="s">
        <v>403</v>
      </c>
      <c r="C329" s="200" t="s">
        <v>405</v>
      </c>
      <c r="D329" s="199" t="s">
        <v>404</v>
      </c>
      <c r="E329" s="199" t="s">
        <v>403</v>
      </c>
      <c r="J329" s="190"/>
    </row>
    <row r="330" spans="1:10" ht="13.35" customHeight="1">
      <c r="A330" s="610" t="e">
        <f t="shared" si="53"/>
        <v>#N/A</v>
      </c>
      <c r="B330" s="610"/>
      <c r="C330" s="200" t="s">
        <v>405</v>
      </c>
      <c r="D330" s="610" t="e">
        <f t="shared" ref="D330:D336" si="55">A330</f>
        <v>#N/A</v>
      </c>
      <c r="E330" s="610"/>
      <c r="J330" s="190"/>
    </row>
    <row r="331" spans="1:10" ht="13.35" customHeight="1">
      <c r="A331" s="610" t="e">
        <f t="shared" si="53"/>
        <v>#N/A</v>
      </c>
      <c r="B331" s="610"/>
      <c r="C331" s="200" t="s">
        <v>405</v>
      </c>
      <c r="D331" s="610" t="e">
        <f t="shared" si="55"/>
        <v>#N/A</v>
      </c>
      <c r="E331" s="610"/>
      <c r="J331" s="190"/>
    </row>
    <row r="332" spans="1:10" ht="13.35" customHeight="1">
      <c r="A332" s="182" t="e">
        <f t="shared" ca="1" si="53"/>
        <v>#N/A</v>
      </c>
      <c r="B332" s="183" t="str">
        <f>B324</f>
        <v xml:space="preserve">Lt: </v>
      </c>
      <c r="C332" s="200" t="s">
        <v>405</v>
      </c>
      <c r="D332" s="182" t="e">
        <f t="shared" ca="1" si="55"/>
        <v>#N/A</v>
      </c>
      <c r="E332" s="183" t="str">
        <f>B332</f>
        <v xml:space="preserve">Lt: </v>
      </c>
      <c r="J332" s="190"/>
    </row>
    <row r="333" spans="1:10" ht="13.35" customHeight="1">
      <c r="A333" s="610" t="str">
        <f t="shared" si="53"/>
        <v xml:space="preserve">  0</v>
      </c>
      <c r="B333" s="610"/>
      <c r="C333" s="200" t="s">
        <v>405</v>
      </c>
      <c r="D333" s="610" t="str">
        <f t="shared" si="55"/>
        <v xml:space="preserve">  0</v>
      </c>
      <c r="E333" s="610"/>
      <c r="J333" s="190"/>
    </row>
    <row r="334" spans="1:10" ht="13.35" customHeight="1">
      <c r="A334" s="609" t="str">
        <f t="shared" si="53"/>
        <v>QFP: JGARCIA   QFV: ADELTORO</v>
      </c>
      <c r="B334" s="609"/>
      <c r="C334" s="200" t="s">
        <v>405</v>
      </c>
      <c r="D334" s="609" t="str">
        <f t="shared" si="55"/>
        <v>QFP: JGARCIA   QFV: ADELTORO</v>
      </c>
      <c r="E334" s="609"/>
      <c r="J334" s="190"/>
    </row>
    <row r="335" spans="1:10" ht="13.35" customHeight="1">
      <c r="A335" s="609" t="str">
        <f t="shared" si="53"/>
        <v>C.JPC/SEXTO NTE/SCOOP   Cama: NA</v>
      </c>
      <c r="B335" s="609"/>
      <c r="C335" s="200" t="s">
        <v>405</v>
      </c>
      <c r="D335" s="609" t="str">
        <f t="shared" si="55"/>
        <v>C.JPC/SEXTO NTE/SCOOP   Cama: NA</v>
      </c>
      <c r="E335" s="609"/>
      <c r="J335" s="190"/>
    </row>
    <row r="336" spans="1:10" ht="13.35" customHeight="1">
      <c r="A336" s="609" t="str">
        <f t="shared" si="53"/>
        <v>UNIDOSSIS S.A.S.</v>
      </c>
      <c r="B336" s="609"/>
      <c r="C336" s="200" t="s">
        <v>405</v>
      </c>
      <c r="D336" s="609" t="str">
        <f t="shared" si="55"/>
        <v>UNIDOSSIS S.A.S.</v>
      </c>
      <c r="E336" s="609"/>
      <c r="J336" s="190"/>
    </row>
    <row r="337" spans="1:10" ht="13.35" customHeight="1">
      <c r="A337" s="199" t="s">
        <v>403</v>
      </c>
      <c r="B337" s="199" t="s">
        <v>403</v>
      </c>
      <c r="C337" s="200" t="s">
        <v>405</v>
      </c>
      <c r="D337" s="199" t="s">
        <v>404</v>
      </c>
      <c r="E337" s="199" t="s">
        <v>403</v>
      </c>
      <c r="J337" s="190"/>
    </row>
    <row r="338" spans="1:10" ht="13.35" customHeight="1">
      <c r="A338" s="610" t="e">
        <f t="shared" si="53"/>
        <v>#N/A</v>
      </c>
      <c r="B338" s="610"/>
      <c r="C338" s="200" t="s">
        <v>405</v>
      </c>
      <c r="D338" s="610" t="e">
        <f t="shared" ref="D338:D344" si="56">A338</f>
        <v>#N/A</v>
      </c>
      <c r="E338" s="610"/>
      <c r="J338" s="190"/>
    </row>
    <row r="339" spans="1:10" ht="13.35" customHeight="1">
      <c r="A339" s="610" t="e">
        <f t="shared" si="53"/>
        <v>#N/A</v>
      </c>
      <c r="B339" s="610"/>
      <c r="C339" s="200" t="s">
        <v>405</v>
      </c>
      <c r="D339" s="610" t="e">
        <f t="shared" si="56"/>
        <v>#N/A</v>
      </c>
      <c r="E339" s="610"/>
      <c r="J339" s="190"/>
    </row>
    <row r="340" spans="1:10" ht="13.35" customHeight="1">
      <c r="A340" s="182" t="e">
        <f t="shared" ca="1" si="53"/>
        <v>#N/A</v>
      </c>
      <c r="B340" s="183" t="str">
        <f>B332</f>
        <v xml:space="preserve">Lt: </v>
      </c>
      <c r="C340" s="200" t="s">
        <v>405</v>
      </c>
      <c r="D340" s="182" t="e">
        <f t="shared" ca="1" si="56"/>
        <v>#N/A</v>
      </c>
      <c r="E340" s="183" t="str">
        <f>B340</f>
        <v xml:space="preserve">Lt: </v>
      </c>
      <c r="J340" s="190"/>
    </row>
    <row r="341" spans="1:10" ht="13.35" customHeight="1">
      <c r="A341" s="610" t="str">
        <f t="shared" si="53"/>
        <v xml:space="preserve">  0</v>
      </c>
      <c r="B341" s="610"/>
      <c r="C341" s="200" t="s">
        <v>405</v>
      </c>
      <c r="D341" s="610" t="str">
        <f t="shared" si="56"/>
        <v xml:space="preserve">  0</v>
      </c>
      <c r="E341" s="610"/>
      <c r="J341" s="190"/>
    </row>
    <row r="342" spans="1:10" ht="13.35" customHeight="1">
      <c r="A342" s="609" t="str">
        <f t="shared" si="53"/>
        <v>QFP: JGARCIA   QFV: ADELTORO</v>
      </c>
      <c r="B342" s="609"/>
      <c r="C342" s="200" t="s">
        <v>405</v>
      </c>
      <c r="D342" s="609" t="str">
        <f t="shared" si="56"/>
        <v>QFP: JGARCIA   QFV: ADELTORO</v>
      </c>
      <c r="E342" s="609"/>
      <c r="J342" s="190"/>
    </row>
    <row r="343" spans="1:10" ht="13.35" customHeight="1">
      <c r="A343" s="609" t="str">
        <f t="shared" si="53"/>
        <v>C.JPC/SEXTO NTE/SCOOP   Cama: NA</v>
      </c>
      <c r="B343" s="609"/>
      <c r="C343" s="200" t="s">
        <v>405</v>
      </c>
      <c r="D343" s="609" t="str">
        <f t="shared" si="56"/>
        <v>C.JPC/SEXTO NTE/SCOOP   Cama: NA</v>
      </c>
      <c r="E343" s="609"/>
      <c r="J343" s="190"/>
    </row>
    <row r="344" spans="1:10" ht="13.35" customHeight="1">
      <c r="A344" s="609" t="str">
        <f t="shared" si="53"/>
        <v>UNIDOSSIS S.A.S.</v>
      </c>
      <c r="B344" s="609"/>
      <c r="C344" s="200" t="s">
        <v>405</v>
      </c>
      <c r="D344" s="609" t="str">
        <f t="shared" si="56"/>
        <v>UNIDOSSIS S.A.S.</v>
      </c>
      <c r="E344" s="609"/>
      <c r="J344" s="190"/>
    </row>
    <row r="345" spans="1:10" ht="13.35" customHeight="1">
      <c r="A345" s="610" t="e">
        <f>'DATOS ETIQ'!B$13&amp;"  "&amp;'DATOS ETIQ'!C$13&amp;"  "&amp;'DATOS ETIQ'!D$13&amp;'DATOS ETIQ'!Q$13</f>
        <v>#N/A</v>
      </c>
      <c r="B345" s="610"/>
      <c r="C345" s="200" t="s">
        <v>405</v>
      </c>
      <c r="D345" s="610" t="e">
        <f t="shared" ref="D345:D351" si="57">A345</f>
        <v>#N/A</v>
      </c>
      <c r="E345" s="610"/>
      <c r="J345" s="190"/>
    </row>
    <row r="346" spans="1:10" ht="13.35" customHeight="1" thickBot="1">
      <c r="A346" s="610" t="e">
        <f>IF('DATOS ETIQ'!P$13=1,"Do: "&amp;'DATOS ETIQ'!F$13&amp;"mg   VolDo: "&amp;'DATOS ETIQ'!G$13&amp;"mL","Dilución 1/"&amp;'DATOS ETIQ'!P$13&amp;"  "&amp;'DATOS ETIQ'!E$13&amp;"mg/mL   Do: "&amp;'DATOS ETIQ'!F$13&amp;"mg   VolDo: "&amp;'DATOS ETIQ'!G$13&amp;"mL")</f>
        <v>#N/A</v>
      </c>
      <c r="B346" s="610"/>
      <c r="C346" s="200" t="s">
        <v>405</v>
      </c>
      <c r="D346" s="610" t="e">
        <f t="shared" si="57"/>
        <v>#N/A</v>
      </c>
      <c r="E346" s="610"/>
      <c r="J346" s="190"/>
    </row>
    <row r="347" spans="1:10" ht="13.35" customHeight="1">
      <c r="A347" s="182" t="e">
        <f ca="1">'DATOS ETIQ'!H$13</f>
        <v>#N/A</v>
      </c>
      <c r="B347" s="183" t="str">
        <f>"Lt: "&amp;'DATOS ETIQ'!I$13</f>
        <v xml:space="preserve">Lt: </v>
      </c>
      <c r="C347" s="200" t="s">
        <v>405</v>
      </c>
      <c r="D347" s="182" t="e">
        <f t="shared" ca="1" si="57"/>
        <v>#N/A</v>
      </c>
      <c r="E347" s="183" t="str">
        <f>B347</f>
        <v xml:space="preserve">Lt: </v>
      </c>
      <c r="G347" s="611" t="e">
        <f>'FR PD 001 V1'!T17/4</f>
        <v>#N/A</v>
      </c>
      <c r="J347" s="611">
        <v>12</v>
      </c>
    </row>
    <row r="348" spans="1:10" ht="13.35" customHeight="1" thickBot="1">
      <c r="A348" s="610" t="str">
        <f>'DATOS ETIQ'!J$13&amp;"  "&amp;'DATOS ETIQ'!K$13</f>
        <v xml:space="preserve">  0</v>
      </c>
      <c r="B348" s="610"/>
      <c r="C348" s="200" t="s">
        <v>405</v>
      </c>
      <c r="D348" s="610" t="str">
        <f t="shared" si="57"/>
        <v xml:space="preserve">  0</v>
      </c>
      <c r="E348" s="610"/>
      <c r="G348" s="612"/>
      <c r="J348" s="612"/>
    </row>
    <row r="349" spans="1:10" ht="13.35" customHeight="1">
      <c r="A349" s="609" t="str">
        <f>"QFP: "&amp;'DATOS ETIQ'!L$13&amp;"   QFV: "&amp;'DATOS ETIQ'!M$13</f>
        <v>QFP: JGARCIA   QFV: ADELTORO</v>
      </c>
      <c r="B349" s="609"/>
      <c r="C349" s="200" t="s">
        <v>405</v>
      </c>
      <c r="D349" s="609" t="str">
        <f t="shared" si="57"/>
        <v>QFP: JGARCIA   QFV: ADELTORO</v>
      </c>
      <c r="E349" s="609"/>
      <c r="J349" s="190"/>
    </row>
    <row r="350" spans="1:10" ht="13.35" customHeight="1">
      <c r="A350" s="609" t="str">
        <f>'DATOS ETIQ'!N$13&amp;"   Cama: "&amp;'DATOS ETIQ'!O$13</f>
        <v>C.JPC/SEXTO NTE/SCOOP   Cama: NA</v>
      </c>
      <c r="B350" s="609"/>
      <c r="C350" s="200" t="s">
        <v>405</v>
      </c>
      <c r="D350" s="609" t="str">
        <f t="shared" si="57"/>
        <v>C.JPC/SEXTO NTE/SCOOP   Cama: NA</v>
      </c>
      <c r="E350" s="609"/>
      <c r="J350" s="190"/>
    </row>
    <row r="351" spans="1:10" ht="13.35" customHeight="1">
      <c r="A351" s="609" t="s">
        <v>167</v>
      </c>
      <c r="B351" s="609"/>
      <c r="C351" s="200" t="s">
        <v>405</v>
      </c>
      <c r="D351" s="609" t="str">
        <f t="shared" si="57"/>
        <v>UNIDOSSIS S.A.S.</v>
      </c>
      <c r="E351" s="609"/>
      <c r="J351" s="190"/>
    </row>
    <row r="352" spans="1:10" ht="13.35" customHeight="1">
      <c r="A352" s="199" t="s">
        <v>403</v>
      </c>
      <c r="B352" s="199" t="s">
        <v>403</v>
      </c>
      <c r="C352" s="200" t="s">
        <v>405</v>
      </c>
      <c r="D352" s="199" t="s">
        <v>404</v>
      </c>
      <c r="E352" s="199" t="s">
        <v>403</v>
      </c>
      <c r="J352" s="190"/>
    </row>
    <row r="353" spans="1:10" ht="13.35" customHeight="1">
      <c r="A353" s="610" t="e">
        <f t="shared" ref="A353:A375" si="58">A345</f>
        <v>#N/A</v>
      </c>
      <c r="B353" s="610"/>
      <c r="C353" s="200" t="s">
        <v>405</v>
      </c>
      <c r="D353" s="610" t="e">
        <f t="shared" ref="D353:D359" si="59">A353</f>
        <v>#N/A</v>
      </c>
      <c r="E353" s="610"/>
      <c r="J353" s="190"/>
    </row>
    <row r="354" spans="1:10" ht="13.35" customHeight="1">
      <c r="A354" s="610" t="e">
        <f t="shared" si="58"/>
        <v>#N/A</v>
      </c>
      <c r="B354" s="610"/>
      <c r="C354" s="200" t="s">
        <v>405</v>
      </c>
      <c r="D354" s="610" t="e">
        <f t="shared" si="59"/>
        <v>#N/A</v>
      </c>
      <c r="E354" s="610"/>
      <c r="J354" s="190"/>
    </row>
    <row r="355" spans="1:10" ht="13.35" customHeight="1">
      <c r="A355" s="182" t="e">
        <f t="shared" ca="1" si="58"/>
        <v>#N/A</v>
      </c>
      <c r="B355" s="183" t="str">
        <f>B347</f>
        <v xml:space="preserve">Lt: </v>
      </c>
      <c r="C355" s="200" t="s">
        <v>405</v>
      </c>
      <c r="D355" s="182" t="e">
        <f t="shared" ca="1" si="59"/>
        <v>#N/A</v>
      </c>
      <c r="E355" s="183" t="str">
        <f>B355</f>
        <v xml:space="preserve">Lt: </v>
      </c>
      <c r="J355" s="190"/>
    </row>
    <row r="356" spans="1:10" ht="13.35" customHeight="1">
      <c r="A356" s="610" t="str">
        <f t="shared" si="58"/>
        <v xml:space="preserve">  0</v>
      </c>
      <c r="B356" s="610"/>
      <c r="C356" s="200" t="s">
        <v>405</v>
      </c>
      <c r="D356" s="610" t="str">
        <f t="shared" si="59"/>
        <v xml:space="preserve">  0</v>
      </c>
      <c r="E356" s="610"/>
      <c r="J356" s="190"/>
    </row>
    <row r="357" spans="1:10" ht="13.35" customHeight="1">
      <c r="A357" s="609" t="str">
        <f t="shared" si="58"/>
        <v>QFP: JGARCIA   QFV: ADELTORO</v>
      </c>
      <c r="B357" s="609"/>
      <c r="C357" s="200" t="s">
        <v>405</v>
      </c>
      <c r="D357" s="609" t="str">
        <f t="shared" si="59"/>
        <v>QFP: JGARCIA   QFV: ADELTORO</v>
      </c>
      <c r="E357" s="609"/>
      <c r="J357" s="190"/>
    </row>
    <row r="358" spans="1:10" ht="13.35" customHeight="1">
      <c r="A358" s="609" t="str">
        <f t="shared" si="58"/>
        <v>C.JPC/SEXTO NTE/SCOOP   Cama: NA</v>
      </c>
      <c r="B358" s="609"/>
      <c r="C358" s="200" t="s">
        <v>405</v>
      </c>
      <c r="D358" s="609" t="str">
        <f t="shared" si="59"/>
        <v>C.JPC/SEXTO NTE/SCOOP   Cama: NA</v>
      </c>
      <c r="E358" s="609"/>
      <c r="J358" s="190"/>
    </row>
    <row r="359" spans="1:10" ht="13.35" customHeight="1">
      <c r="A359" s="609" t="str">
        <f t="shared" si="58"/>
        <v>UNIDOSSIS S.A.S.</v>
      </c>
      <c r="B359" s="609"/>
      <c r="C359" s="200" t="s">
        <v>405</v>
      </c>
      <c r="D359" s="609" t="str">
        <f t="shared" si="59"/>
        <v>UNIDOSSIS S.A.S.</v>
      </c>
      <c r="E359" s="609"/>
      <c r="J359" s="190"/>
    </row>
    <row r="360" spans="1:10" ht="13.35" customHeight="1">
      <c r="A360" s="199" t="s">
        <v>403</v>
      </c>
      <c r="B360" s="199" t="s">
        <v>403</v>
      </c>
      <c r="C360" s="200" t="s">
        <v>405</v>
      </c>
      <c r="D360" s="199" t="s">
        <v>404</v>
      </c>
      <c r="E360" s="199" t="s">
        <v>403</v>
      </c>
      <c r="J360" s="190"/>
    </row>
    <row r="361" spans="1:10" ht="13.35" customHeight="1">
      <c r="A361" s="610" t="e">
        <f t="shared" si="58"/>
        <v>#N/A</v>
      </c>
      <c r="B361" s="610"/>
      <c r="C361" s="200" t="s">
        <v>405</v>
      </c>
      <c r="D361" s="610" t="e">
        <f t="shared" ref="D361:D367" si="60">A361</f>
        <v>#N/A</v>
      </c>
      <c r="E361" s="610"/>
      <c r="J361" s="190"/>
    </row>
    <row r="362" spans="1:10" ht="13.35" customHeight="1">
      <c r="A362" s="610" t="e">
        <f t="shared" si="58"/>
        <v>#N/A</v>
      </c>
      <c r="B362" s="610"/>
      <c r="C362" s="200" t="s">
        <v>405</v>
      </c>
      <c r="D362" s="610" t="e">
        <f t="shared" si="60"/>
        <v>#N/A</v>
      </c>
      <c r="E362" s="610"/>
      <c r="J362" s="190"/>
    </row>
    <row r="363" spans="1:10" ht="13.35" customHeight="1">
      <c r="A363" s="182" t="e">
        <f t="shared" ca="1" si="58"/>
        <v>#N/A</v>
      </c>
      <c r="B363" s="183" t="str">
        <f>B355</f>
        <v xml:space="preserve">Lt: </v>
      </c>
      <c r="C363" s="200" t="s">
        <v>405</v>
      </c>
      <c r="D363" s="182" t="e">
        <f t="shared" ca="1" si="60"/>
        <v>#N/A</v>
      </c>
      <c r="E363" s="183" t="str">
        <f>B363</f>
        <v xml:space="preserve">Lt: </v>
      </c>
      <c r="J363" s="190"/>
    </row>
    <row r="364" spans="1:10" ht="13.35" customHeight="1">
      <c r="A364" s="610" t="str">
        <f t="shared" si="58"/>
        <v xml:space="preserve">  0</v>
      </c>
      <c r="B364" s="610"/>
      <c r="C364" s="200" t="s">
        <v>405</v>
      </c>
      <c r="D364" s="610" t="str">
        <f t="shared" si="60"/>
        <v xml:space="preserve">  0</v>
      </c>
      <c r="E364" s="610"/>
      <c r="J364" s="190"/>
    </row>
    <row r="365" spans="1:10" ht="13.35" customHeight="1">
      <c r="A365" s="609" t="str">
        <f t="shared" si="58"/>
        <v>QFP: JGARCIA   QFV: ADELTORO</v>
      </c>
      <c r="B365" s="609"/>
      <c r="C365" s="200" t="s">
        <v>405</v>
      </c>
      <c r="D365" s="609" t="str">
        <f t="shared" si="60"/>
        <v>QFP: JGARCIA   QFV: ADELTORO</v>
      </c>
      <c r="E365" s="609"/>
      <c r="J365" s="190"/>
    </row>
    <row r="366" spans="1:10" ht="13.35" customHeight="1">
      <c r="A366" s="609" t="str">
        <f t="shared" si="58"/>
        <v>C.JPC/SEXTO NTE/SCOOP   Cama: NA</v>
      </c>
      <c r="B366" s="609"/>
      <c r="C366" s="200" t="s">
        <v>405</v>
      </c>
      <c r="D366" s="609" t="str">
        <f t="shared" si="60"/>
        <v>C.JPC/SEXTO NTE/SCOOP   Cama: NA</v>
      </c>
      <c r="E366" s="609"/>
      <c r="J366" s="190"/>
    </row>
    <row r="367" spans="1:10" ht="13.35" customHeight="1">
      <c r="A367" s="609" t="str">
        <f t="shared" si="58"/>
        <v>UNIDOSSIS S.A.S.</v>
      </c>
      <c r="B367" s="609"/>
      <c r="C367" s="200" t="s">
        <v>405</v>
      </c>
      <c r="D367" s="609" t="str">
        <f t="shared" si="60"/>
        <v>UNIDOSSIS S.A.S.</v>
      </c>
      <c r="E367" s="609"/>
      <c r="J367" s="190"/>
    </row>
    <row r="368" spans="1:10" ht="13.35" customHeight="1">
      <c r="A368" s="199" t="s">
        <v>403</v>
      </c>
      <c r="B368" s="199" t="s">
        <v>403</v>
      </c>
      <c r="C368" s="200" t="s">
        <v>405</v>
      </c>
      <c r="D368" s="199" t="s">
        <v>404</v>
      </c>
      <c r="E368" s="199" t="s">
        <v>403</v>
      </c>
      <c r="J368" s="190"/>
    </row>
    <row r="369" spans="1:10" ht="13.35" customHeight="1">
      <c r="A369" s="610" t="e">
        <f t="shared" si="58"/>
        <v>#N/A</v>
      </c>
      <c r="B369" s="610"/>
      <c r="C369" s="200" t="s">
        <v>405</v>
      </c>
      <c r="D369" s="610" t="e">
        <f t="shared" ref="D369:D375" si="61">A369</f>
        <v>#N/A</v>
      </c>
      <c r="E369" s="610"/>
      <c r="J369" s="190"/>
    </row>
    <row r="370" spans="1:10" ht="13.35" customHeight="1">
      <c r="A370" s="610" t="e">
        <f t="shared" si="58"/>
        <v>#N/A</v>
      </c>
      <c r="B370" s="610"/>
      <c r="C370" s="200" t="s">
        <v>405</v>
      </c>
      <c r="D370" s="610" t="e">
        <f t="shared" si="61"/>
        <v>#N/A</v>
      </c>
      <c r="E370" s="610"/>
      <c r="J370" s="190"/>
    </row>
    <row r="371" spans="1:10" ht="13.35" customHeight="1">
      <c r="A371" s="182" t="e">
        <f t="shared" ca="1" si="58"/>
        <v>#N/A</v>
      </c>
      <c r="B371" s="183" t="str">
        <f>B363</f>
        <v xml:space="preserve">Lt: </v>
      </c>
      <c r="C371" s="200" t="s">
        <v>405</v>
      </c>
      <c r="D371" s="182" t="e">
        <f t="shared" ca="1" si="61"/>
        <v>#N/A</v>
      </c>
      <c r="E371" s="183" t="str">
        <f>B371</f>
        <v xml:space="preserve">Lt: </v>
      </c>
      <c r="J371" s="190"/>
    </row>
    <row r="372" spans="1:10" ht="13.35" customHeight="1">
      <c r="A372" s="610" t="str">
        <f t="shared" si="58"/>
        <v xml:space="preserve">  0</v>
      </c>
      <c r="B372" s="610"/>
      <c r="C372" s="200" t="s">
        <v>405</v>
      </c>
      <c r="D372" s="610" t="str">
        <f t="shared" si="61"/>
        <v xml:space="preserve">  0</v>
      </c>
      <c r="E372" s="610"/>
      <c r="J372" s="190"/>
    </row>
    <row r="373" spans="1:10" ht="13.35" customHeight="1">
      <c r="A373" s="609" t="str">
        <f t="shared" si="58"/>
        <v>QFP: JGARCIA   QFV: ADELTORO</v>
      </c>
      <c r="B373" s="609"/>
      <c r="C373" s="200" t="s">
        <v>405</v>
      </c>
      <c r="D373" s="609" t="str">
        <f t="shared" si="61"/>
        <v>QFP: JGARCIA   QFV: ADELTORO</v>
      </c>
      <c r="E373" s="609"/>
      <c r="J373" s="190"/>
    </row>
    <row r="374" spans="1:10" ht="13.35" customHeight="1">
      <c r="A374" s="609" t="str">
        <f t="shared" si="58"/>
        <v>C.JPC/SEXTO NTE/SCOOP   Cama: NA</v>
      </c>
      <c r="B374" s="609"/>
      <c r="C374" s="200" t="s">
        <v>405</v>
      </c>
      <c r="D374" s="609" t="str">
        <f t="shared" si="61"/>
        <v>C.JPC/SEXTO NTE/SCOOP   Cama: NA</v>
      </c>
      <c r="E374" s="609"/>
      <c r="J374" s="190"/>
    </row>
    <row r="375" spans="1:10" ht="13.35" customHeight="1">
      <c r="A375" s="609" t="str">
        <f t="shared" si="58"/>
        <v>UNIDOSSIS S.A.S.</v>
      </c>
      <c r="B375" s="609"/>
      <c r="C375" s="200" t="s">
        <v>405</v>
      </c>
      <c r="D375" s="609" t="str">
        <f t="shared" si="61"/>
        <v>UNIDOSSIS S.A.S.</v>
      </c>
      <c r="E375" s="609"/>
      <c r="J375" s="190"/>
    </row>
    <row r="376" spans="1:10" ht="13.35" customHeight="1">
      <c r="A376" s="610" t="e">
        <f>'DATOS ETIQ'!B$14&amp;"  "&amp;'DATOS ETIQ'!C$14&amp;"  "&amp;'DATOS ETIQ'!D$14&amp;'DATOS ETIQ'!Q$14</f>
        <v>#N/A</v>
      </c>
      <c r="B376" s="610"/>
      <c r="C376" s="200" t="s">
        <v>405</v>
      </c>
      <c r="D376" s="610" t="e">
        <f t="shared" ref="D376:D382" si="62">A376</f>
        <v>#N/A</v>
      </c>
      <c r="E376" s="610"/>
      <c r="J376" s="190"/>
    </row>
    <row r="377" spans="1:10" ht="13.35" customHeight="1" thickBot="1">
      <c r="A377" s="610" t="e">
        <f>IF('DATOS ETIQ'!P$14=1,"Do: "&amp;'DATOS ETIQ'!F$14&amp;"mg   VolDo: "&amp;'DATOS ETIQ'!G$14&amp;"mL","Dilución 1/"&amp;'DATOS ETIQ'!P$14&amp;"  "&amp;'DATOS ETIQ'!E$14&amp;"mg/mL   Do: "&amp;'DATOS ETIQ'!F$14&amp;"mg   VolDo: "&amp;'DATOS ETIQ'!G$14&amp;"mL")</f>
        <v>#N/A</v>
      </c>
      <c r="B377" s="610"/>
      <c r="C377" s="200" t="s">
        <v>405</v>
      </c>
      <c r="D377" s="610" t="e">
        <f t="shared" si="62"/>
        <v>#N/A</v>
      </c>
      <c r="E377" s="610"/>
      <c r="J377" s="190"/>
    </row>
    <row r="378" spans="1:10" ht="13.35" customHeight="1">
      <c r="A378" s="182" t="e">
        <f ca="1">'DATOS ETIQ'!H$14</f>
        <v>#N/A</v>
      </c>
      <c r="B378" s="183" t="str">
        <f>"Lt: "&amp;'DATOS ETIQ'!I$14</f>
        <v xml:space="preserve">Lt: </v>
      </c>
      <c r="C378" s="200" t="s">
        <v>405</v>
      </c>
      <c r="D378" s="182" t="e">
        <f t="shared" ca="1" si="62"/>
        <v>#N/A</v>
      </c>
      <c r="E378" s="183" t="str">
        <f>B378</f>
        <v xml:space="preserve">Lt: </v>
      </c>
      <c r="G378" s="611" t="e">
        <f>'FR PD 001 V1'!T18/4</f>
        <v>#N/A</v>
      </c>
      <c r="J378" s="611">
        <v>13</v>
      </c>
    </row>
    <row r="379" spans="1:10" ht="13.35" customHeight="1" thickBot="1">
      <c r="A379" s="610" t="str">
        <f>'DATOS ETIQ'!J$14&amp;"  "&amp;'DATOS ETIQ'!K$14</f>
        <v xml:space="preserve">  0</v>
      </c>
      <c r="B379" s="610"/>
      <c r="C379" s="200" t="s">
        <v>405</v>
      </c>
      <c r="D379" s="610" t="str">
        <f t="shared" si="62"/>
        <v xml:space="preserve">  0</v>
      </c>
      <c r="E379" s="610"/>
      <c r="G379" s="612"/>
      <c r="J379" s="612"/>
    </row>
    <row r="380" spans="1:10" ht="13.35" customHeight="1">
      <c r="A380" s="609" t="str">
        <f>"QFP: "&amp;'DATOS ETIQ'!L$14&amp;"   QFV: "&amp;'DATOS ETIQ'!M$14</f>
        <v>QFP: JGARCIA   QFV: ADELTORO</v>
      </c>
      <c r="B380" s="609"/>
      <c r="C380" s="200" t="s">
        <v>405</v>
      </c>
      <c r="D380" s="609" t="str">
        <f t="shared" si="62"/>
        <v>QFP: JGARCIA   QFV: ADELTORO</v>
      </c>
      <c r="E380" s="609"/>
      <c r="J380" s="190"/>
    </row>
    <row r="381" spans="1:10" ht="13.35" customHeight="1">
      <c r="A381" s="609" t="str">
        <f>'DATOS ETIQ'!N$14&amp;"   Cama: "&amp;'DATOS ETIQ'!O$14</f>
        <v>C.JPC/SEXTO NTE/SCOOP   Cama: NA</v>
      </c>
      <c r="B381" s="609"/>
      <c r="C381" s="200" t="s">
        <v>405</v>
      </c>
      <c r="D381" s="609" t="str">
        <f t="shared" si="62"/>
        <v>C.JPC/SEXTO NTE/SCOOP   Cama: NA</v>
      </c>
      <c r="E381" s="609"/>
      <c r="J381" s="190"/>
    </row>
    <row r="382" spans="1:10" ht="13.35" customHeight="1">
      <c r="A382" s="609" t="s">
        <v>167</v>
      </c>
      <c r="B382" s="609"/>
      <c r="C382" s="200" t="s">
        <v>405</v>
      </c>
      <c r="D382" s="609" t="str">
        <f t="shared" si="62"/>
        <v>UNIDOSSIS S.A.S.</v>
      </c>
      <c r="E382" s="609"/>
      <c r="J382" s="190"/>
    </row>
    <row r="383" spans="1:10" ht="13.35" customHeight="1">
      <c r="A383" s="199" t="s">
        <v>403</v>
      </c>
      <c r="B383" s="199" t="s">
        <v>403</v>
      </c>
      <c r="C383" s="200" t="s">
        <v>405</v>
      </c>
      <c r="D383" s="199" t="s">
        <v>404</v>
      </c>
      <c r="E383" s="199" t="s">
        <v>403</v>
      </c>
      <c r="J383" s="190"/>
    </row>
    <row r="384" spans="1:10" ht="13.35" customHeight="1">
      <c r="A384" s="610" t="e">
        <f t="shared" ref="A384:A406" si="63">A376</f>
        <v>#N/A</v>
      </c>
      <c r="B384" s="610"/>
      <c r="C384" s="200" t="s">
        <v>405</v>
      </c>
      <c r="D384" s="610" t="e">
        <f t="shared" ref="D384:D390" si="64">A384</f>
        <v>#N/A</v>
      </c>
      <c r="E384" s="610"/>
      <c r="J384" s="190"/>
    </row>
    <row r="385" spans="1:10" ht="13.35" customHeight="1">
      <c r="A385" s="610" t="e">
        <f t="shared" si="63"/>
        <v>#N/A</v>
      </c>
      <c r="B385" s="610"/>
      <c r="C385" s="200" t="s">
        <v>405</v>
      </c>
      <c r="D385" s="610" t="e">
        <f t="shared" si="64"/>
        <v>#N/A</v>
      </c>
      <c r="E385" s="610"/>
      <c r="J385" s="190"/>
    </row>
    <row r="386" spans="1:10" ht="13.35" customHeight="1">
      <c r="A386" s="182" t="e">
        <f t="shared" ca="1" si="63"/>
        <v>#N/A</v>
      </c>
      <c r="B386" s="183" t="str">
        <f>B378</f>
        <v xml:space="preserve">Lt: </v>
      </c>
      <c r="C386" s="200" t="s">
        <v>405</v>
      </c>
      <c r="D386" s="182" t="e">
        <f t="shared" ca="1" si="64"/>
        <v>#N/A</v>
      </c>
      <c r="E386" s="183" t="str">
        <f>B386</f>
        <v xml:space="preserve">Lt: </v>
      </c>
      <c r="J386" s="190"/>
    </row>
    <row r="387" spans="1:10" ht="13.35" customHeight="1">
      <c r="A387" s="610" t="str">
        <f t="shared" si="63"/>
        <v xml:space="preserve">  0</v>
      </c>
      <c r="B387" s="610"/>
      <c r="C387" s="200" t="s">
        <v>405</v>
      </c>
      <c r="D387" s="610" t="str">
        <f t="shared" si="64"/>
        <v xml:space="preserve">  0</v>
      </c>
      <c r="E387" s="610"/>
      <c r="J387" s="190"/>
    </row>
    <row r="388" spans="1:10" ht="13.35" customHeight="1">
      <c r="A388" s="609" t="str">
        <f t="shared" si="63"/>
        <v>QFP: JGARCIA   QFV: ADELTORO</v>
      </c>
      <c r="B388" s="609"/>
      <c r="C388" s="200" t="s">
        <v>405</v>
      </c>
      <c r="D388" s="609" t="str">
        <f t="shared" si="64"/>
        <v>QFP: JGARCIA   QFV: ADELTORO</v>
      </c>
      <c r="E388" s="609"/>
      <c r="J388" s="190"/>
    </row>
    <row r="389" spans="1:10" ht="13.35" customHeight="1">
      <c r="A389" s="609" t="str">
        <f t="shared" si="63"/>
        <v>C.JPC/SEXTO NTE/SCOOP   Cama: NA</v>
      </c>
      <c r="B389" s="609"/>
      <c r="C389" s="200" t="s">
        <v>405</v>
      </c>
      <c r="D389" s="609" t="str">
        <f t="shared" si="64"/>
        <v>C.JPC/SEXTO NTE/SCOOP   Cama: NA</v>
      </c>
      <c r="E389" s="609"/>
      <c r="J389" s="190"/>
    </row>
    <row r="390" spans="1:10" ht="13.35" customHeight="1">
      <c r="A390" s="609" t="str">
        <f t="shared" si="63"/>
        <v>UNIDOSSIS S.A.S.</v>
      </c>
      <c r="B390" s="609"/>
      <c r="C390" s="200" t="s">
        <v>405</v>
      </c>
      <c r="D390" s="609" t="str">
        <f t="shared" si="64"/>
        <v>UNIDOSSIS S.A.S.</v>
      </c>
      <c r="E390" s="609"/>
      <c r="J390" s="190"/>
    </row>
    <row r="391" spans="1:10" ht="13.35" customHeight="1">
      <c r="A391" s="199" t="s">
        <v>403</v>
      </c>
      <c r="B391" s="199" t="s">
        <v>403</v>
      </c>
      <c r="C391" s="200" t="s">
        <v>405</v>
      </c>
      <c r="D391" s="199" t="s">
        <v>404</v>
      </c>
      <c r="E391" s="199" t="s">
        <v>403</v>
      </c>
      <c r="J391" s="190"/>
    </row>
    <row r="392" spans="1:10" ht="13.35" customHeight="1">
      <c r="A392" s="610" t="e">
        <f t="shared" si="63"/>
        <v>#N/A</v>
      </c>
      <c r="B392" s="610"/>
      <c r="C392" s="200" t="s">
        <v>405</v>
      </c>
      <c r="D392" s="610" t="e">
        <f t="shared" ref="D392:D398" si="65">A392</f>
        <v>#N/A</v>
      </c>
      <c r="E392" s="610"/>
      <c r="J392" s="190"/>
    </row>
    <row r="393" spans="1:10" ht="13.35" customHeight="1">
      <c r="A393" s="610" t="e">
        <f t="shared" si="63"/>
        <v>#N/A</v>
      </c>
      <c r="B393" s="610"/>
      <c r="C393" s="200" t="s">
        <v>405</v>
      </c>
      <c r="D393" s="610" t="e">
        <f t="shared" si="65"/>
        <v>#N/A</v>
      </c>
      <c r="E393" s="610"/>
      <c r="J393" s="190"/>
    </row>
    <row r="394" spans="1:10" ht="13.35" customHeight="1">
      <c r="A394" s="182" t="e">
        <f t="shared" ca="1" si="63"/>
        <v>#N/A</v>
      </c>
      <c r="B394" s="183" t="str">
        <f>B386</f>
        <v xml:space="preserve">Lt: </v>
      </c>
      <c r="C394" s="200" t="s">
        <v>405</v>
      </c>
      <c r="D394" s="182" t="e">
        <f t="shared" ca="1" si="65"/>
        <v>#N/A</v>
      </c>
      <c r="E394" s="183" t="str">
        <f>B394</f>
        <v xml:space="preserve">Lt: </v>
      </c>
      <c r="J394" s="190"/>
    </row>
    <row r="395" spans="1:10" ht="13.35" customHeight="1">
      <c r="A395" s="610" t="str">
        <f t="shared" si="63"/>
        <v xml:space="preserve">  0</v>
      </c>
      <c r="B395" s="610"/>
      <c r="C395" s="200" t="s">
        <v>405</v>
      </c>
      <c r="D395" s="610" t="str">
        <f t="shared" si="65"/>
        <v xml:space="preserve">  0</v>
      </c>
      <c r="E395" s="610"/>
      <c r="J395" s="190"/>
    </row>
    <row r="396" spans="1:10" ht="13.35" customHeight="1">
      <c r="A396" s="609" t="str">
        <f t="shared" si="63"/>
        <v>QFP: JGARCIA   QFV: ADELTORO</v>
      </c>
      <c r="B396" s="609"/>
      <c r="C396" s="200" t="s">
        <v>405</v>
      </c>
      <c r="D396" s="609" t="str">
        <f t="shared" si="65"/>
        <v>QFP: JGARCIA   QFV: ADELTORO</v>
      </c>
      <c r="E396" s="609"/>
      <c r="J396" s="190"/>
    </row>
    <row r="397" spans="1:10" ht="13.35" customHeight="1">
      <c r="A397" s="609" t="str">
        <f t="shared" si="63"/>
        <v>C.JPC/SEXTO NTE/SCOOP   Cama: NA</v>
      </c>
      <c r="B397" s="609"/>
      <c r="C397" s="200" t="s">
        <v>405</v>
      </c>
      <c r="D397" s="609" t="str">
        <f t="shared" si="65"/>
        <v>C.JPC/SEXTO NTE/SCOOP   Cama: NA</v>
      </c>
      <c r="E397" s="609"/>
      <c r="J397" s="190"/>
    </row>
    <row r="398" spans="1:10" ht="13.35" customHeight="1">
      <c r="A398" s="609" t="str">
        <f t="shared" si="63"/>
        <v>UNIDOSSIS S.A.S.</v>
      </c>
      <c r="B398" s="609"/>
      <c r="C398" s="200" t="s">
        <v>405</v>
      </c>
      <c r="D398" s="609" t="str">
        <f t="shared" si="65"/>
        <v>UNIDOSSIS S.A.S.</v>
      </c>
      <c r="E398" s="609"/>
      <c r="J398" s="190"/>
    </row>
    <row r="399" spans="1:10" ht="13.35" customHeight="1">
      <c r="A399" s="199" t="s">
        <v>403</v>
      </c>
      <c r="B399" s="199" t="s">
        <v>403</v>
      </c>
      <c r="C399" s="200" t="s">
        <v>405</v>
      </c>
      <c r="D399" s="199" t="s">
        <v>404</v>
      </c>
      <c r="E399" s="199" t="s">
        <v>403</v>
      </c>
      <c r="J399" s="190"/>
    </row>
    <row r="400" spans="1:10" ht="13.35" customHeight="1">
      <c r="A400" s="610" t="e">
        <f t="shared" si="63"/>
        <v>#N/A</v>
      </c>
      <c r="B400" s="610"/>
      <c r="C400" s="200" t="s">
        <v>405</v>
      </c>
      <c r="D400" s="610" t="e">
        <f t="shared" ref="D400:D406" si="66">A400</f>
        <v>#N/A</v>
      </c>
      <c r="E400" s="610"/>
      <c r="J400" s="190"/>
    </row>
    <row r="401" spans="1:10" ht="13.35" customHeight="1">
      <c r="A401" s="610" t="e">
        <f t="shared" si="63"/>
        <v>#N/A</v>
      </c>
      <c r="B401" s="610"/>
      <c r="C401" s="200" t="s">
        <v>405</v>
      </c>
      <c r="D401" s="610" t="e">
        <f t="shared" si="66"/>
        <v>#N/A</v>
      </c>
      <c r="E401" s="610"/>
      <c r="J401" s="190"/>
    </row>
    <row r="402" spans="1:10" ht="13.35" customHeight="1">
      <c r="A402" s="182" t="e">
        <f t="shared" ca="1" si="63"/>
        <v>#N/A</v>
      </c>
      <c r="B402" s="183" t="str">
        <f>B394</f>
        <v xml:space="preserve">Lt: </v>
      </c>
      <c r="C402" s="200" t="s">
        <v>405</v>
      </c>
      <c r="D402" s="182" t="e">
        <f t="shared" ca="1" si="66"/>
        <v>#N/A</v>
      </c>
      <c r="E402" s="183" t="str">
        <f>B402</f>
        <v xml:space="preserve">Lt: </v>
      </c>
      <c r="J402" s="190"/>
    </row>
    <row r="403" spans="1:10" ht="13.35" customHeight="1">
      <c r="A403" s="610" t="str">
        <f t="shared" si="63"/>
        <v xml:space="preserve">  0</v>
      </c>
      <c r="B403" s="610"/>
      <c r="C403" s="200" t="s">
        <v>405</v>
      </c>
      <c r="D403" s="610" t="str">
        <f t="shared" si="66"/>
        <v xml:space="preserve">  0</v>
      </c>
      <c r="E403" s="610"/>
      <c r="J403" s="190"/>
    </row>
    <row r="404" spans="1:10" ht="13.35" customHeight="1">
      <c r="A404" s="609" t="str">
        <f t="shared" si="63"/>
        <v>QFP: JGARCIA   QFV: ADELTORO</v>
      </c>
      <c r="B404" s="609"/>
      <c r="C404" s="200" t="s">
        <v>405</v>
      </c>
      <c r="D404" s="609" t="str">
        <f t="shared" si="66"/>
        <v>QFP: JGARCIA   QFV: ADELTORO</v>
      </c>
      <c r="E404" s="609"/>
      <c r="J404" s="190"/>
    </row>
    <row r="405" spans="1:10" ht="13.35" customHeight="1">
      <c r="A405" s="609" t="str">
        <f t="shared" si="63"/>
        <v>C.JPC/SEXTO NTE/SCOOP   Cama: NA</v>
      </c>
      <c r="B405" s="609"/>
      <c r="C405" s="200" t="s">
        <v>405</v>
      </c>
      <c r="D405" s="609" t="str">
        <f t="shared" si="66"/>
        <v>C.JPC/SEXTO NTE/SCOOP   Cama: NA</v>
      </c>
      <c r="E405" s="609"/>
      <c r="J405" s="190"/>
    </row>
    <row r="406" spans="1:10" ht="13.35" customHeight="1">
      <c r="A406" s="609" t="str">
        <f t="shared" si="63"/>
        <v>UNIDOSSIS S.A.S.</v>
      </c>
      <c r="B406" s="609"/>
      <c r="C406" s="200" t="s">
        <v>405</v>
      </c>
      <c r="D406" s="609" t="str">
        <f t="shared" si="66"/>
        <v>UNIDOSSIS S.A.S.</v>
      </c>
      <c r="E406" s="609"/>
      <c r="J406" s="190"/>
    </row>
    <row r="407" spans="1:10" ht="13.35" customHeight="1">
      <c r="A407" s="610" t="e">
        <f>'DATOS ETIQ'!B$15&amp;"  "&amp;'DATOS ETIQ'!C$15&amp;"  "&amp;'DATOS ETIQ'!D$15&amp;'DATOS ETIQ'!Q$15</f>
        <v>#N/A</v>
      </c>
      <c r="B407" s="610"/>
      <c r="C407" s="200" t="s">
        <v>405</v>
      </c>
      <c r="D407" s="610" t="e">
        <f t="shared" ref="D407:D413" si="67">A407</f>
        <v>#N/A</v>
      </c>
      <c r="E407" s="610"/>
      <c r="J407" s="190"/>
    </row>
    <row r="408" spans="1:10" ht="13.35" customHeight="1" thickBot="1">
      <c r="A408" s="610" t="e">
        <f>IF('DATOS ETIQ'!P$15=1,"Do: "&amp;'DATOS ETIQ'!F$15&amp;"mg   VolDo: "&amp;'DATOS ETIQ'!G$15&amp;"mL","Dilución 1/"&amp;'DATOS ETIQ'!P$15&amp;"  "&amp;'DATOS ETIQ'!E$15&amp;"mg/mL   Do: "&amp;'DATOS ETIQ'!F$15&amp;"mg   VolDo: "&amp;'DATOS ETIQ'!G$15&amp;"mL")</f>
        <v>#N/A</v>
      </c>
      <c r="B408" s="610"/>
      <c r="C408" s="200" t="s">
        <v>405</v>
      </c>
      <c r="D408" s="610" t="e">
        <f t="shared" si="67"/>
        <v>#N/A</v>
      </c>
      <c r="E408" s="610"/>
      <c r="J408" s="190"/>
    </row>
    <row r="409" spans="1:10" ht="13.35" customHeight="1">
      <c r="A409" s="182" t="e">
        <f ca="1">'DATOS ETIQ'!H$15</f>
        <v>#N/A</v>
      </c>
      <c r="B409" s="183" t="str">
        <f>"Lt: "&amp;'DATOS ETIQ'!I$15</f>
        <v xml:space="preserve">Lt: </v>
      </c>
      <c r="C409" s="200" t="s">
        <v>405</v>
      </c>
      <c r="D409" s="182" t="e">
        <f t="shared" ca="1" si="67"/>
        <v>#N/A</v>
      </c>
      <c r="E409" s="183" t="str">
        <f>B409</f>
        <v xml:space="preserve">Lt: </v>
      </c>
      <c r="G409" s="611" t="e">
        <f>'FR PD 001 V1'!T19/4</f>
        <v>#N/A</v>
      </c>
      <c r="J409" s="611">
        <v>14</v>
      </c>
    </row>
    <row r="410" spans="1:10" ht="13.35" customHeight="1" thickBot="1">
      <c r="A410" s="610" t="str">
        <f>'DATOS ETIQ'!J$15&amp;"  "&amp;'DATOS ETIQ'!K$15</f>
        <v xml:space="preserve">  0</v>
      </c>
      <c r="B410" s="610"/>
      <c r="C410" s="200" t="s">
        <v>405</v>
      </c>
      <c r="D410" s="610" t="str">
        <f t="shared" si="67"/>
        <v xml:space="preserve">  0</v>
      </c>
      <c r="E410" s="610"/>
      <c r="G410" s="612"/>
      <c r="J410" s="612"/>
    </row>
    <row r="411" spans="1:10" ht="13.35" customHeight="1">
      <c r="A411" s="609" t="str">
        <f>"QFP: "&amp;'DATOS ETIQ'!L$15&amp;"   QFV: "&amp;'DATOS ETIQ'!M$15</f>
        <v>QFP: JGARCIA   QFV: ADELTORO</v>
      </c>
      <c r="B411" s="609"/>
      <c r="C411" s="200" t="s">
        <v>405</v>
      </c>
      <c r="D411" s="609" t="str">
        <f t="shared" si="67"/>
        <v>QFP: JGARCIA   QFV: ADELTORO</v>
      </c>
      <c r="E411" s="609"/>
      <c r="J411" s="190"/>
    </row>
    <row r="412" spans="1:10" ht="13.35" customHeight="1">
      <c r="A412" s="609" t="str">
        <f>'DATOS ETIQ'!N$15&amp;"   Cama: "&amp;'DATOS ETIQ'!O$15</f>
        <v>C.JPC/SEXTO NTE/SCOOP   Cama: NA</v>
      </c>
      <c r="B412" s="609"/>
      <c r="C412" s="200" t="s">
        <v>405</v>
      </c>
      <c r="D412" s="609" t="str">
        <f t="shared" si="67"/>
        <v>C.JPC/SEXTO NTE/SCOOP   Cama: NA</v>
      </c>
      <c r="E412" s="609"/>
      <c r="J412" s="190"/>
    </row>
    <row r="413" spans="1:10" ht="13.35" customHeight="1">
      <c r="A413" s="609" t="s">
        <v>167</v>
      </c>
      <c r="B413" s="609"/>
      <c r="C413" s="200" t="s">
        <v>405</v>
      </c>
      <c r="D413" s="609" t="str">
        <f t="shared" si="67"/>
        <v>UNIDOSSIS S.A.S.</v>
      </c>
      <c r="E413" s="609"/>
      <c r="J413" s="190"/>
    </row>
    <row r="414" spans="1:10" ht="13.35" customHeight="1">
      <c r="A414" s="199" t="s">
        <v>403</v>
      </c>
      <c r="B414" s="199" t="s">
        <v>403</v>
      </c>
      <c r="C414" s="200" t="s">
        <v>405</v>
      </c>
      <c r="D414" s="199" t="s">
        <v>404</v>
      </c>
      <c r="E414" s="199" t="s">
        <v>403</v>
      </c>
      <c r="J414" s="190"/>
    </row>
    <row r="415" spans="1:10" ht="13.35" customHeight="1">
      <c r="A415" s="610" t="e">
        <f t="shared" ref="A415:A437" si="68">A407</f>
        <v>#N/A</v>
      </c>
      <c r="B415" s="610"/>
      <c r="C415" s="200" t="s">
        <v>405</v>
      </c>
      <c r="D415" s="610" t="e">
        <f t="shared" ref="D415:D421" si="69">A415</f>
        <v>#N/A</v>
      </c>
      <c r="E415" s="610"/>
      <c r="J415" s="190"/>
    </row>
    <row r="416" spans="1:10" ht="13.35" customHeight="1">
      <c r="A416" s="610" t="e">
        <f t="shared" si="68"/>
        <v>#N/A</v>
      </c>
      <c r="B416" s="610"/>
      <c r="C416" s="200" t="s">
        <v>405</v>
      </c>
      <c r="D416" s="610" t="e">
        <f t="shared" si="69"/>
        <v>#N/A</v>
      </c>
      <c r="E416" s="610"/>
      <c r="J416" s="190"/>
    </row>
    <row r="417" spans="1:10" ht="13.35" customHeight="1">
      <c r="A417" s="182" t="e">
        <f t="shared" ca="1" si="68"/>
        <v>#N/A</v>
      </c>
      <c r="B417" s="183" t="str">
        <f>B409</f>
        <v xml:space="preserve">Lt: </v>
      </c>
      <c r="C417" s="200" t="s">
        <v>405</v>
      </c>
      <c r="D417" s="182" t="e">
        <f t="shared" ca="1" si="69"/>
        <v>#N/A</v>
      </c>
      <c r="E417" s="183" t="str">
        <f>B417</f>
        <v xml:space="preserve">Lt: </v>
      </c>
      <c r="J417" s="190"/>
    </row>
    <row r="418" spans="1:10" ht="13.35" customHeight="1">
      <c r="A418" s="610" t="str">
        <f t="shared" si="68"/>
        <v xml:space="preserve">  0</v>
      </c>
      <c r="B418" s="610"/>
      <c r="C418" s="200" t="s">
        <v>405</v>
      </c>
      <c r="D418" s="610" t="str">
        <f t="shared" si="69"/>
        <v xml:space="preserve">  0</v>
      </c>
      <c r="E418" s="610"/>
      <c r="J418" s="190"/>
    </row>
    <row r="419" spans="1:10" ht="13.35" customHeight="1">
      <c r="A419" s="609" t="str">
        <f t="shared" si="68"/>
        <v>QFP: JGARCIA   QFV: ADELTORO</v>
      </c>
      <c r="B419" s="609"/>
      <c r="C419" s="200" t="s">
        <v>405</v>
      </c>
      <c r="D419" s="609" t="str">
        <f t="shared" si="69"/>
        <v>QFP: JGARCIA   QFV: ADELTORO</v>
      </c>
      <c r="E419" s="609"/>
      <c r="J419" s="190"/>
    </row>
    <row r="420" spans="1:10" ht="13.35" customHeight="1">
      <c r="A420" s="609" t="str">
        <f t="shared" si="68"/>
        <v>C.JPC/SEXTO NTE/SCOOP   Cama: NA</v>
      </c>
      <c r="B420" s="609"/>
      <c r="C420" s="200" t="s">
        <v>405</v>
      </c>
      <c r="D420" s="609" t="str">
        <f t="shared" si="69"/>
        <v>C.JPC/SEXTO NTE/SCOOP   Cama: NA</v>
      </c>
      <c r="E420" s="609"/>
      <c r="J420" s="190"/>
    </row>
    <row r="421" spans="1:10" ht="13.35" customHeight="1">
      <c r="A421" s="609" t="str">
        <f t="shared" si="68"/>
        <v>UNIDOSSIS S.A.S.</v>
      </c>
      <c r="B421" s="609"/>
      <c r="C421" s="200" t="s">
        <v>405</v>
      </c>
      <c r="D421" s="609" t="str">
        <f t="shared" si="69"/>
        <v>UNIDOSSIS S.A.S.</v>
      </c>
      <c r="E421" s="609"/>
      <c r="J421" s="190"/>
    </row>
    <row r="422" spans="1:10" ht="13.35" customHeight="1">
      <c r="A422" s="199" t="s">
        <v>403</v>
      </c>
      <c r="B422" s="199" t="s">
        <v>403</v>
      </c>
      <c r="C422" s="200" t="s">
        <v>405</v>
      </c>
      <c r="D422" s="199" t="s">
        <v>404</v>
      </c>
      <c r="E422" s="199" t="s">
        <v>403</v>
      </c>
      <c r="J422" s="190"/>
    </row>
    <row r="423" spans="1:10" ht="13.35" customHeight="1">
      <c r="A423" s="610" t="e">
        <f t="shared" si="68"/>
        <v>#N/A</v>
      </c>
      <c r="B423" s="610"/>
      <c r="C423" s="200" t="s">
        <v>405</v>
      </c>
      <c r="D423" s="610" t="e">
        <f t="shared" ref="D423:D429" si="70">A423</f>
        <v>#N/A</v>
      </c>
      <c r="E423" s="610"/>
      <c r="J423" s="190"/>
    </row>
    <row r="424" spans="1:10" ht="13.35" customHeight="1">
      <c r="A424" s="610" t="e">
        <f t="shared" si="68"/>
        <v>#N/A</v>
      </c>
      <c r="B424" s="610"/>
      <c r="C424" s="200" t="s">
        <v>405</v>
      </c>
      <c r="D424" s="610" t="e">
        <f t="shared" si="70"/>
        <v>#N/A</v>
      </c>
      <c r="E424" s="610"/>
      <c r="J424" s="190"/>
    </row>
    <row r="425" spans="1:10" ht="13.35" customHeight="1">
      <c r="A425" s="182" t="e">
        <f t="shared" ca="1" si="68"/>
        <v>#N/A</v>
      </c>
      <c r="B425" s="183" t="str">
        <f>B417</f>
        <v xml:space="preserve">Lt: </v>
      </c>
      <c r="C425" s="200" t="s">
        <v>405</v>
      </c>
      <c r="D425" s="182" t="e">
        <f t="shared" ca="1" si="70"/>
        <v>#N/A</v>
      </c>
      <c r="E425" s="183" t="str">
        <f>B425</f>
        <v xml:space="preserve">Lt: </v>
      </c>
      <c r="J425" s="190"/>
    </row>
    <row r="426" spans="1:10" ht="13.35" customHeight="1">
      <c r="A426" s="610" t="str">
        <f t="shared" si="68"/>
        <v xml:space="preserve">  0</v>
      </c>
      <c r="B426" s="610"/>
      <c r="C426" s="200" t="s">
        <v>405</v>
      </c>
      <c r="D426" s="610" t="str">
        <f t="shared" si="70"/>
        <v xml:space="preserve">  0</v>
      </c>
      <c r="E426" s="610"/>
      <c r="J426" s="190"/>
    </row>
    <row r="427" spans="1:10" ht="13.35" customHeight="1">
      <c r="A427" s="609" t="str">
        <f t="shared" si="68"/>
        <v>QFP: JGARCIA   QFV: ADELTORO</v>
      </c>
      <c r="B427" s="609"/>
      <c r="C427" s="200" t="s">
        <v>405</v>
      </c>
      <c r="D427" s="609" t="str">
        <f t="shared" si="70"/>
        <v>QFP: JGARCIA   QFV: ADELTORO</v>
      </c>
      <c r="E427" s="609"/>
      <c r="J427" s="190"/>
    </row>
    <row r="428" spans="1:10" ht="13.35" customHeight="1">
      <c r="A428" s="609" t="str">
        <f t="shared" si="68"/>
        <v>C.JPC/SEXTO NTE/SCOOP   Cama: NA</v>
      </c>
      <c r="B428" s="609"/>
      <c r="C428" s="200" t="s">
        <v>405</v>
      </c>
      <c r="D428" s="609" t="str">
        <f t="shared" si="70"/>
        <v>C.JPC/SEXTO NTE/SCOOP   Cama: NA</v>
      </c>
      <c r="E428" s="609"/>
      <c r="J428" s="190"/>
    </row>
    <row r="429" spans="1:10" ht="13.35" customHeight="1">
      <c r="A429" s="609" t="str">
        <f t="shared" si="68"/>
        <v>UNIDOSSIS S.A.S.</v>
      </c>
      <c r="B429" s="609"/>
      <c r="C429" s="200" t="s">
        <v>405</v>
      </c>
      <c r="D429" s="609" t="str">
        <f t="shared" si="70"/>
        <v>UNIDOSSIS S.A.S.</v>
      </c>
      <c r="E429" s="609"/>
      <c r="J429" s="190"/>
    </row>
    <row r="430" spans="1:10" ht="13.35" customHeight="1">
      <c r="A430" s="199" t="s">
        <v>403</v>
      </c>
      <c r="B430" s="199" t="s">
        <v>403</v>
      </c>
      <c r="C430" s="200" t="s">
        <v>405</v>
      </c>
      <c r="D430" s="199" t="s">
        <v>404</v>
      </c>
      <c r="E430" s="199" t="s">
        <v>403</v>
      </c>
      <c r="J430" s="190"/>
    </row>
    <row r="431" spans="1:10" ht="13.35" customHeight="1">
      <c r="A431" s="610" t="e">
        <f t="shared" si="68"/>
        <v>#N/A</v>
      </c>
      <c r="B431" s="610"/>
      <c r="C431" s="200" t="s">
        <v>405</v>
      </c>
      <c r="D431" s="610" t="e">
        <f t="shared" ref="D431:D437" si="71">A431</f>
        <v>#N/A</v>
      </c>
      <c r="E431" s="610"/>
      <c r="J431" s="190"/>
    </row>
    <row r="432" spans="1:10" ht="13.35" customHeight="1">
      <c r="A432" s="610" t="e">
        <f t="shared" si="68"/>
        <v>#N/A</v>
      </c>
      <c r="B432" s="610"/>
      <c r="C432" s="200" t="s">
        <v>405</v>
      </c>
      <c r="D432" s="610" t="e">
        <f t="shared" si="71"/>
        <v>#N/A</v>
      </c>
      <c r="E432" s="610"/>
      <c r="J432" s="190"/>
    </row>
    <row r="433" spans="1:10" ht="13.35" customHeight="1">
      <c r="A433" s="182" t="e">
        <f t="shared" ca="1" si="68"/>
        <v>#N/A</v>
      </c>
      <c r="B433" s="183" t="str">
        <f>B425</f>
        <v xml:space="preserve">Lt: </v>
      </c>
      <c r="C433" s="200" t="s">
        <v>405</v>
      </c>
      <c r="D433" s="182" t="e">
        <f t="shared" ca="1" si="71"/>
        <v>#N/A</v>
      </c>
      <c r="E433" s="183" t="str">
        <f>B433</f>
        <v xml:space="preserve">Lt: </v>
      </c>
      <c r="J433" s="190"/>
    </row>
    <row r="434" spans="1:10" ht="13.35" customHeight="1">
      <c r="A434" s="610" t="str">
        <f t="shared" si="68"/>
        <v xml:space="preserve">  0</v>
      </c>
      <c r="B434" s="610"/>
      <c r="C434" s="200" t="s">
        <v>405</v>
      </c>
      <c r="D434" s="610" t="str">
        <f t="shared" si="71"/>
        <v xml:space="preserve">  0</v>
      </c>
      <c r="E434" s="610"/>
      <c r="J434" s="190"/>
    </row>
    <row r="435" spans="1:10" ht="13.35" customHeight="1">
      <c r="A435" s="609" t="str">
        <f t="shared" si="68"/>
        <v>QFP: JGARCIA   QFV: ADELTORO</v>
      </c>
      <c r="B435" s="609"/>
      <c r="C435" s="200" t="s">
        <v>405</v>
      </c>
      <c r="D435" s="609" t="str">
        <f t="shared" si="71"/>
        <v>QFP: JGARCIA   QFV: ADELTORO</v>
      </c>
      <c r="E435" s="609"/>
      <c r="J435" s="190"/>
    </row>
    <row r="436" spans="1:10" ht="13.35" customHeight="1">
      <c r="A436" s="609" t="str">
        <f t="shared" si="68"/>
        <v>C.JPC/SEXTO NTE/SCOOP   Cama: NA</v>
      </c>
      <c r="B436" s="609"/>
      <c r="C436" s="200" t="s">
        <v>405</v>
      </c>
      <c r="D436" s="609" t="str">
        <f t="shared" si="71"/>
        <v>C.JPC/SEXTO NTE/SCOOP   Cama: NA</v>
      </c>
      <c r="E436" s="609"/>
      <c r="J436" s="190"/>
    </row>
    <row r="437" spans="1:10" ht="13.35" customHeight="1">
      <c r="A437" s="609" t="str">
        <f t="shared" si="68"/>
        <v>UNIDOSSIS S.A.S.</v>
      </c>
      <c r="B437" s="609"/>
      <c r="C437" s="200" t="s">
        <v>405</v>
      </c>
      <c r="D437" s="609" t="str">
        <f t="shared" si="71"/>
        <v>UNIDOSSIS S.A.S.</v>
      </c>
      <c r="E437" s="609"/>
      <c r="J437" s="190"/>
    </row>
    <row r="438" spans="1:10" ht="13.35" customHeight="1">
      <c r="A438" s="610" t="e">
        <f>'DATOS ETIQ'!B$16&amp;"  "&amp;'DATOS ETIQ'!C$16&amp;"  "&amp;'DATOS ETIQ'!D$16&amp;'DATOS ETIQ'!Q$16</f>
        <v>#N/A</v>
      </c>
      <c r="B438" s="610"/>
      <c r="C438" s="200" t="s">
        <v>405</v>
      </c>
      <c r="D438" s="610" t="e">
        <f t="shared" ref="D438:D444" si="72">A438</f>
        <v>#N/A</v>
      </c>
      <c r="E438" s="610"/>
      <c r="J438" s="190"/>
    </row>
    <row r="439" spans="1:10" ht="13.35" customHeight="1" thickBot="1">
      <c r="A439" s="610" t="e">
        <f>IF('DATOS ETIQ'!P$16=1,"Do: "&amp;'DATOS ETIQ'!F$16&amp;"mg   VolDo: "&amp;'DATOS ETIQ'!G$16&amp;"mL","Dilución 1/"&amp;'DATOS ETIQ'!P$16&amp;"  "&amp;'DATOS ETIQ'!E$16&amp;"mg/mL   Do: "&amp;'DATOS ETIQ'!F$16&amp;"mg   VolDo: "&amp;'DATOS ETIQ'!G$16&amp;"mL")</f>
        <v>#N/A</v>
      </c>
      <c r="B439" s="610"/>
      <c r="C439" s="200" t="s">
        <v>405</v>
      </c>
      <c r="D439" s="610" t="e">
        <f t="shared" si="72"/>
        <v>#N/A</v>
      </c>
      <c r="E439" s="610"/>
      <c r="J439" s="190"/>
    </row>
    <row r="440" spans="1:10" ht="13.35" customHeight="1">
      <c r="A440" s="182" t="e">
        <f ca="1">'DATOS ETIQ'!H$16</f>
        <v>#N/A</v>
      </c>
      <c r="B440" s="183" t="str">
        <f>"Lt: "&amp;'DATOS ETIQ'!I$16</f>
        <v xml:space="preserve">Lt: </v>
      </c>
      <c r="C440" s="200" t="s">
        <v>405</v>
      </c>
      <c r="D440" s="182" t="e">
        <f t="shared" ca="1" si="72"/>
        <v>#N/A</v>
      </c>
      <c r="E440" s="183" t="str">
        <f>B440</f>
        <v xml:space="preserve">Lt: </v>
      </c>
      <c r="G440" s="611" t="e">
        <f>'FR PD 001 V1'!T20/4</f>
        <v>#N/A</v>
      </c>
      <c r="J440" s="611">
        <v>15</v>
      </c>
    </row>
    <row r="441" spans="1:10" ht="13.35" customHeight="1" thickBot="1">
      <c r="A441" s="610" t="str">
        <f>'DATOS ETIQ'!J$16&amp;"  "&amp;'DATOS ETIQ'!K$16</f>
        <v xml:space="preserve">  0</v>
      </c>
      <c r="B441" s="610"/>
      <c r="C441" s="200" t="s">
        <v>405</v>
      </c>
      <c r="D441" s="610" t="str">
        <f t="shared" si="72"/>
        <v xml:space="preserve">  0</v>
      </c>
      <c r="E441" s="610"/>
      <c r="G441" s="612"/>
      <c r="J441" s="612"/>
    </row>
    <row r="442" spans="1:10" ht="13.35" customHeight="1">
      <c r="A442" s="609" t="str">
        <f>"QFP: "&amp;'DATOS ETIQ'!L$16&amp;"   QFV: "&amp;'DATOS ETIQ'!M$16</f>
        <v>QFP: JGARCIA   QFV: ADELTORO</v>
      </c>
      <c r="B442" s="609"/>
      <c r="C442" s="200" t="s">
        <v>405</v>
      </c>
      <c r="D442" s="609" t="str">
        <f t="shared" si="72"/>
        <v>QFP: JGARCIA   QFV: ADELTORO</v>
      </c>
      <c r="E442" s="609"/>
      <c r="J442" s="190"/>
    </row>
    <row r="443" spans="1:10" ht="13.35" customHeight="1">
      <c r="A443" s="609" t="str">
        <f>'DATOS ETIQ'!N$16&amp;"   Cama: "&amp;'DATOS ETIQ'!O$16</f>
        <v>C.JPC/SEXTO NTE/SCOOP   Cama: NA</v>
      </c>
      <c r="B443" s="609"/>
      <c r="C443" s="200" t="s">
        <v>405</v>
      </c>
      <c r="D443" s="609" t="str">
        <f t="shared" si="72"/>
        <v>C.JPC/SEXTO NTE/SCOOP   Cama: NA</v>
      </c>
      <c r="E443" s="609"/>
      <c r="J443" s="190"/>
    </row>
    <row r="444" spans="1:10" ht="13.35" customHeight="1">
      <c r="A444" s="609" t="s">
        <v>167</v>
      </c>
      <c r="B444" s="609"/>
      <c r="C444" s="200" t="s">
        <v>405</v>
      </c>
      <c r="D444" s="609" t="str">
        <f t="shared" si="72"/>
        <v>UNIDOSSIS S.A.S.</v>
      </c>
      <c r="E444" s="609"/>
      <c r="J444" s="190"/>
    </row>
    <row r="445" spans="1:10" ht="13.35" customHeight="1">
      <c r="A445" s="199" t="s">
        <v>403</v>
      </c>
      <c r="B445" s="199" t="s">
        <v>403</v>
      </c>
      <c r="C445" s="200" t="s">
        <v>405</v>
      </c>
      <c r="D445" s="199" t="s">
        <v>404</v>
      </c>
      <c r="E445" s="199" t="s">
        <v>403</v>
      </c>
      <c r="J445" s="190"/>
    </row>
    <row r="446" spans="1:10" ht="13.35" customHeight="1">
      <c r="A446" s="610" t="e">
        <f t="shared" ref="A446:A468" si="73">A438</f>
        <v>#N/A</v>
      </c>
      <c r="B446" s="610"/>
      <c r="C446" s="200" t="s">
        <v>405</v>
      </c>
      <c r="D446" s="610" t="e">
        <f t="shared" ref="D446:D452" si="74">A446</f>
        <v>#N/A</v>
      </c>
      <c r="E446" s="610"/>
      <c r="J446" s="190"/>
    </row>
    <row r="447" spans="1:10" ht="13.35" customHeight="1">
      <c r="A447" s="610" t="e">
        <f t="shared" si="73"/>
        <v>#N/A</v>
      </c>
      <c r="B447" s="610"/>
      <c r="C447" s="200" t="s">
        <v>405</v>
      </c>
      <c r="D447" s="610" t="e">
        <f t="shared" si="74"/>
        <v>#N/A</v>
      </c>
      <c r="E447" s="610"/>
      <c r="J447" s="190"/>
    </row>
    <row r="448" spans="1:10" ht="13.35" customHeight="1">
      <c r="A448" s="182" t="e">
        <f t="shared" ca="1" si="73"/>
        <v>#N/A</v>
      </c>
      <c r="B448" s="183" t="str">
        <f>B440</f>
        <v xml:space="preserve">Lt: </v>
      </c>
      <c r="C448" s="200" t="s">
        <v>405</v>
      </c>
      <c r="D448" s="182" t="e">
        <f t="shared" ca="1" si="74"/>
        <v>#N/A</v>
      </c>
      <c r="E448" s="183" t="str">
        <f>B448</f>
        <v xml:space="preserve">Lt: </v>
      </c>
      <c r="J448" s="190"/>
    </row>
    <row r="449" spans="1:10" ht="13.35" customHeight="1">
      <c r="A449" s="610" t="str">
        <f t="shared" si="73"/>
        <v xml:space="preserve">  0</v>
      </c>
      <c r="B449" s="610"/>
      <c r="C449" s="200" t="s">
        <v>405</v>
      </c>
      <c r="D449" s="610" t="str">
        <f t="shared" si="74"/>
        <v xml:space="preserve">  0</v>
      </c>
      <c r="E449" s="610"/>
      <c r="J449" s="190"/>
    </row>
    <row r="450" spans="1:10" ht="13.35" customHeight="1">
      <c r="A450" s="609" t="str">
        <f t="shared" si="73"/>
        <v>QFP: JGARCIA   QFV: ADELTORO</v>
      </c>
      <c r="B450" s="609"/>
      <c r="C450" s="200" t="s">
        <v>405</v>
      </c>
      <c r="D450" s="609" t="str">
        <f t="shared" si="74"/>
        <v>QFP: JGARCIA   QFV: ADELTORO</v>
      </c>
      <c r="E450" s="609"/>
      <c r="J450" s="190"/>
    </row>
    <row r="451" spans="1:10" ht="13.35" customHeight="1">
      <c r="A451" s="609" t="str">
        <f t="shared" si="73"/>
        <v>C.JPC/SEXTO NTE/SCOOP   Cama: NA</v>
      </c>
      <c r="B451" s="609"/>
      <c r="C451" s="200" t="s">
        <v>405</v>
      </c>
      <c r="D451" s="609" t="str">
        <f t="shared" si="74"/>
        <v>C.JPC/SEXTO NTE/SCOOP   Cama: NA</v>
      </c>
      <c r="E451" s="609"/>
      <c r="J451" s="190"/>
    </row>
    <row r="452" spans="1:10" ht="13.35" customHeight="1">
      <c r="A452" s="609" t="str">
        <f t="shared" si="73"/>
        <v>UNIDOSSIS S.A.S.</v>
      </c>
      <c r="B452" s="609"/>
      <c r="C452" s="200" t="s">
        <v>405</v>
      </c>
      <c r="D452" s="609" t="str">
        <f t="shared" si="74"/>
        <v>UNIDOSSIS S.A.S.</v>
      </c>
      <c r="E452" s="609"/>
      <c r="J452" s="190"/>
    </row>
    <row r="453" spans="1:10" ht="13.35" customHeight="1">
      <c r="A453" s="199" t="s">
        <v>403</v>
      </c>
      <c r="B453" s="199" t="s">
        <v>403</v>
      </c>
      <c r="C453" s="200" t="s">
        <v>405</v>
      </c>
      <c r="D453" s="199" t="s">
        <v>404</v>
      </c>
      <c r="E453" s="199" t="s">
        <v>403</v>
      </c>
      <c r="J453" s="190"/>
    </row>
    <row r="454" spans="1:10" ht="13.35" customHeight="1">
      <c r="A454" s="610" t="e">
        <f t="shared" si="73"/>
        <v>#N/A</v>
      </c>
      <c r="B454" s="610"/>
      <c r="C454" s="200" t="s">
        <v>405</v>
      </c>
      <c r="D454" s="610" t="e">
        <f t="shared" ref="D454:D460" si="75">A454</f>
        <v>#N/A</v>
      </c>
      <c r="E454" s="610"/>
      <c r="J454" s="190"/>
    </row>
    <row r="455" spans="1:10" ht="13.35" customHeight="1">
      <c r="A455" s="610" t="e">
        <f t="shared" si="73"/>
        <v>#N/A</v>
      </c>
      <c r="B455" s="610"/>
      <c r="C455" s="200" t="s">
        <v>405</v>
      </c>
      <c r="D455" s="610" t="e">
        <f t="shared" si="75"/>
        <v>#N/A</v>
      </c>
      <c r="E455" s="610"/>
      <c r="J455" s="190"/>
    </row>
    <row r="456" spans="1:10" ht="13.35" customHeight="1">
      <c r="A456" s="182" t="e">
        <f t="shared" ca="1" si="73"/>
        <v>#N/A</v>
      </c>
      <c r="B456" s="183" t="str">
        <f>B448</f>
        <v xml:space="preserve">Lt: </v>
      </c>
      <c r="C456" s="200" t="s">
        <v>405</v>
      </c>
      <c r="D456" s="182" t="e">
        <f t="shared" ca="1" si="75"/>
        <v>#N/A</v>
      </c>
      <c r="E456" s="183" t="str">
        <f>B456</f>
        <v xml:space="preserve">Lt: </v>
      </c>
      <c r="J456" s="190"/>
    </row>
    <row r="457" spans="1:10" ht="13.35" customHeight="1">
      <c r="A457" s="610" t="str">
        <f t="shared" si="73"/>
        <v xml:space="preserve">  0</v>
      </c>
      <c r="B457" s="610"/>
      <c r="C457" s="200" t="s">
        <v>405</v>
      </c>
      <c r="D457" s="610" t="str">
        <f t="shared" si="75"/>
        <v xml:space="preserve">  0</v>
      </c>
      <c r="E457" s="610"/>
      <c r="J457" s="190"/>
    </row>
    <row r="458" spans="1:10" ht="13.35" customHeight="1">
      <c r="A458" s="609" t="str">
        <f t="shared" si="73"/>
        <v>QFP: JGARCIA   QFV: ADELTORO</v>
      </c>
      <c r="B458" s="609"/>
      <c r="C458" s="200" t="s">
        <v>405</v>
      </c>
      <c r="D458" s="609" t="str">
        <f t="shared" si="75"/>
        <v>QFP: JGARCIA   QFV: ADELTORO</v>
      </c>
      <c r="E458" s="609"/>
      <c r="J458" s="190"/>
    </row>
    <row r="459" spans="1:10" ht="13.35" customHeight="1">
      <c r="A459" s="609" t="str">
        <f t="shared" si="73"/>
        <v>C.JPC/SEXTO NTE/SCOOP   Cama: NA</v>
      </c>
      <c r="B459" s="609"/>
      <c r="C459" s="200" t="s">
        <v>405</v>
      </c>
      <c r="D459" s="609" t="str">
        <f t="shared" si="75"/>
        <v>C.JPC/SEXTO NTE/SCOOP   Cama: NA</v>
      </c>
      <c r="E459" s="609"/>
      <c r="J459" s="190"/>
    </row>
    <row r="460" spans="1:10" ht="13.35" customHeight="1">
      <c r="A460" s="609" t="str">
        <f t="shared" si="73"/>
        <v>UNIDOSSIS S.A.S.</v>
      </c>
      <c r="B460" s="609"/>
      <c r="C460" s="200" t="s">
        <v>405</v>
      </c>
      <c r="D460" s="609" t="str">
        <f t="shared" si="75"/>
        <v>UNIDOSSIS S.A.S.</v>
      </c>
      <c r="E460" s="609"/>
      <c r="J460" s="190"/>
    </row>
    <row r="461" spans="1:10" ht="13.35" customHeight="1">
      <c r="A461" s="199" t="s">
        <v>403</v>
      </c>
      <c r="B461" s="199" t="s">
        <v>403</v>
      </c>
      <c r="C461" s="200" t="s">
        <v>405</v>
      </c>
      <c r="D461" s="199" t="s">
        <v>404</v>
      </c>
      <c r="E461" s="199" t="s">
        <v>403</v>
      </c>
      <c r="J461" s="190"/>
    </row>
    <row r="462" spans="1:10" ht="13.35" customHeight="1">
      <c r="A462" s="610" t="e">
        <f t="shared" si="73"/>
        <v>#N/A</v>
      </c>
      <c r="B462" s="610"/>
      <c r="C462" s="200" t="s">
        <v>405</v>
      </c>
      <c r="D462" s="610" t="e">
        <f t="shared" ref="D462:D468" si="76">A462</f>
        <v>#N/A</v>
      </c>
      <c r="E462" s="610"/>
      <c r="J462" s="190"/>
    </row>
    <row r="463" spans="1:10" ht="13.35" customHeight="1">
      <c r="A463" s="610" t="e">
        <f t="shared" si="73"/>
        <v>#N/A</v>
      </c>
      <c r="B463" s="610"/>
      <c r="C463" s="200" t="s">
        <v>405</v>
      </c>
      <c r="D463" s="610" t="e">
        <f t="shared" si="76"/>
        <v>#N/A</v>
      </c>
      <c r="E463" s="610"/>
      <c r="J463" s="190"/>
    </row>
    <row r="464" spans="1:10" ht="13.35" customHeight="1">
      <c r="A464" s="182" t="e">
        <f t="shared" ca="1" si="73"/>
        <v>#N/A</v>
      </c>
      <c r="B464" s="183" t="str">
        <f>B456</f>
        <v xml:space="preserve">Lt: </v>
      </c>
      <c r="C464" s="200" t="s">
        <v>405</v>
      </c>
      <c r="D464" s="182" t="e">
        <f t="shared" ca="1" si="76"/>
        <v>#N/A</v>
      </c>
      <c r="E464" s="183" t="str">
        <f>B464</f>
        <v xml:space="preserve">Lt: </v>
      </c>
      <c r="J464" s="190"/>
    </row>
    <row r="465" spans="1:10" ht="13.35" customHeight="1">
      <c r="A465" s="610" t="str">
        <f t="shared" si="73"/>
        <v xml:space="preserve">  0</v>
      </c>
      <c r="B465" s="610"/>
      <c r="C465" s="200" t="s">
        <v>405</v>
      </c>
      <c r="D465" s="610" t="str">
        <f t="shared" si="76"/>
        <v xml:space="preserve">  0</v>
      </c>
      <c r="E465" s="610"/>
      <c r="J465" s="190"/>
    </row>
    <row r="466" spans="1:10" ht="13.35" customHeight="1">
      <c r="A466" s="609" t="str">
        <f t="shared" si="73"/>
        <v>QFP: JGARCIA   QFV: ADELTORO</v>
      </c>
      <c r="B466" s="609"/>
      <c r="C466" s="200" t="s">
        <v>405</v>
      </c>
      <c r="D466" s="609" t="str">
        <f t="shared" si="76"/>
        <v>QFP: JGARCIA   QFV: ADELTORO</v>
      </c>
      <c r="E466" s="609"/>
      <c r="J466" s="190"/>
    </row>
    <row r="467" spans="1:10" ht="13.35" customHeight="1">
      <c r="A467" s="609" t="str">
        <f t="shared" si="73"/>
        <v>C.JPC/SEXTO NTE/SCOOP   Cama: NA</v>
      </c>
      <c r="B467" s="609"/>
      <c r="C467" s="200" t="s">
        <v>405</v>
      </c>
      <c r="D467" s="609" t="str">
        <f t="shared" si="76"/>
        <v>C.JPC/SEXTO NTE/SCOOP   Cama: NA</v>
      </c>
      <c r="E467" s="609"/>
      <c r="J467" s="190"/>
    </row>
    <row r="468" spans="1:10" ht="13.35" customHeight="1">
      <c r="A468" s="609" t="str">
        <f t="shared" si="73"/>
        <v>UNIDOSSIS S.A.S.</v>
      </c>
      <c r="B468" s="609"/>
      <c r="C468" s="200" t="s">
        <v>405</v>
      </c>
      <c r="D468" s="609" t="str">
        <f t="shared" si="76"/>
        <v>UNIDOSSIS S.A.S.</v>
      </c>
      <c r="E468" s="609"/>
      <c r="J468" s="190"/>
    </row>
    <row r="469" spans="1:10" ht="13.35" customHeight="1">
      <c r="A469" s="610" t="e">
        <f>'DATOS ETIQ'!B$17&amp;"  "&amp;'DATOS ETIQ'!C$17&amp;"  "&amp;'DATOS ETIQ'!D$17&amp;'DATOS ETIQ'!Q$17</f>
        <v>#N/A</v>
      </c>
      <c r="B469" s="610"/>
      <c r="C469" s="200" t="s">
        <v>405</v>
      </c>
      <c r="D469" s="610" t="e">
        <f t="shared" ref="D469:D475" si="77">A469</f>
        <v>#N/A</v>
      </c>
      <c r="E469" s="610"/>
      <c r="J469" s="190"/>
    </row>
    <row r="470" spans="1:10" ht="13.35" customHeight="1" thickBot="1">
      <c r="A470" s="610" t="e">
        <f>IF('DATOS ETIQ'!P$17=1,"Do: "&amp;'DATOS ETIQ'!F$17&amp;"mg   VolDo: "&amp;'DATOS ETIQ'!G$17&amp;"mL","Dilución 1/"&amp;'DATOS ETIQ'!P$17&amp;"  "&amp;'DATOS ETIQ'!E$17&amp;"mg/mL   Do: "&amp;'DATOS ETIQ'!F$17&amp;"mg   VolDo: "&amp;'DATOS ETIQ'!G$17&amp;"mL")</f>
        <v>#N/A</v>
      </c>
      <c r="B470" s="610"/>
      <c r="C470" s="200" t="s">
        <v>405</v>
      </c>
      <c r="D470" s="610" t="e">
        <f t="shared" si="77"/>
        <v>#N/A</v>
      </c>
      <c r="E470" s="610"/>
      <c r="J470" s="190"/>
    </row>
    <row r="471" spans="1:10" ht="13.35" customHeight="1">
      <c r="A471" s="182" t="e">
        <f ca="1">'DATOS ETIQ'!H$17</f>
        <v>#N/A</v>
      </c>
      <c r="B471" s="183" t="str">
        <f>"Lt: "&amp;'DATOS ETIQ'!I$17</f>
        <v xml:space="preserve">Lt: </v>
      </c>
      <c r="C471" s="200" t="s">
        <v>405</v>
      </c>
      <c r="D471" s="182" t="e">
        <f t="shared" ca="1" si="77"/>
        <v>#N/A</v>
      </c>
      <c r="E471" s="183" t="str">
        <f>B471</f>
        <v xml:space="preserve">Lt: </v>
      </c>
      <c r="G471" s="611" t="e">
        <f>'FR PD 001 V1'!T21/4</f>
        <v>#N/A</v>
      </c>
      <c r="J471" s="611">
        <v>16</v>
      </c>
    </row>
    <row r="472" spans="1:10" ht="13.35" customHeight="1" thickBot="1">
      <c r="A472" s="610" t="str">
        <f>'DATOS ETIQ'!J$17&amp;"  "&amp;'DATOS ETIQ'!K$17</f>
        <v xml:space="preserve">  0</v>
      </c>
      <c r="B472" s="610"/>
      <c r="C472" s="200" t="s">
        <v>405</v>
      </c>
      <c r="D472" s="610" t="str">
        <f t="shared" si="77"/>
        <v xml:space="preserve">  0</v>
      </c>
      <c r="E472" s="610"/>
      <c r="G472" s="612"/>
      <c r="J472" s="612"/>
    </row>
    <row r="473" spans="1:10" ht="13.35" customHeight="1">
      <c r="A473" s="609" t="str">
        <f>"QFP: "&amp;'DATOS ETIQ'!L$17&amp;"   QFV: "&amp;'DATOS ETIQ'!M$17</f>
        <v>QFP: JGARCIA   QFV: ADELTORO</v>
      </c>
      <c r="B473" s="609"/>
      <c r="C473" s="200" t="s">
        <v>405</v>
      </c>
      <c r="D473" s="609" t="str">
        <f t="shared" si="77"/>
        <v>QFP: JGARCIA   QFV: ADELTORO</v>
      </c>
      <c r="E473" s="609"/>
      <c r="J473" s="190"/>
    </row>
    <row r="474" spans="1:10" ht="13.35" customHeight="1">
      <c r="A474" s="609" t="str">
        <f>'DATOS ETIQ'!N$17&amp;"   Cama: "&amp;'DATOS ETIQ'!O$17</f>
        <v>C.JPC/SEXTO NTE/SCOOP   Cama: NA</v>
      </c>
      <c r="B474" s="609"/>
      <c r="C474" s="200" t="s">
        <v>405</v>
      </c>
      <c r="D474" s="609" t="str">
        <f t="shared" si="77"/>
        <v>C.JPC/SEXTO NTE/SCOOP   Cama: NA</v>
      </c>
      <c r="E474" s="609"/>
      <c r="J474" s="190"/>
    </row>
    <row r="475" spans="1:10" ht="13.35" customHeight="1">
      <c r="A475" s="609" t="s">
        <v>167</v>
      </c>
      <c r="B475" s="609"/>
      <c r="C475" s="200" t="s">
        <v>405</v>
      </c>
      <c r="D475" s="609" t="str">
        <f t="shared" si="77"/>
        <v>UNIDOSSIS S.A.S.</v>
      </c>
      <c r="E475" s="609"/>
      <c r="J475" s="190"/>
    </row>
    <row r="476" spans="1:10" ht="13.35" customHeight="1">
      <c r="A476" s="199" t="s">
        <v>403</v>
      </c>
      <c r="B476" s="199" t="s">
        <v>403</v>
      </c>
      <c r="C476" s="200" t="s">
        <v>405</v>
      </c>
      <c r="D476" s="199" t="s">
        <v>404</v>
      </c>
      <c r="E476" s="199" t="s">
        <v>403</v>
      </c>
      <c r="J476" s="190"/>
    </row>
    <row r="477" spans="1:10" ht="13.35" customHeight="1">
      <c r="A477" s="610" t="e">
        <f t="shared" ref="A477:A499" si="78">A469</f>
        <v>#N/A</v>
      </c>
      <c r="B477" s="610"/>
      <c r="C477" s="200" t="s">
        <v>405</v>
      </c>
      <c r="D477" s="610" t="e">
        <f t="shared" ref="D477:D483" si="79">A477</f>
        <v>#N/A</v>
      </c>
      <c r="E477" s="610"/>
      <c r="J477" s="190"/>
    </row>
    <row r="478" spans="1:10" ht="13.35" customHeight="1">
      <c r="A478" s="610" t="e">
        <f t="shared" si="78"/>
        <v>#N/A</v>
      </c>
      <c r="B478" s="610"/>
      <c r="C478" s="200" t="s">
        <v>405</v>
      </c>
      <c r="D478" s="610" t="e">
        <f t="shared" si="79"/>
        <v>#N/A</v>
      </c>
      <c r="E478" s="610"/>
      <c r="J478" s="190"/>
    </row>
    <row r="479" spans="1:10" ht="13.35" customHeight="1">
      <c r="A479" s="182" t="e">
        <f t="shared" ca="1" si="78"/>
        <v>#N/A</v>
      </c>
      <c r="B479" s="183" t="str">
        <f>B471</f>
        <v xml:space="preserve">Lt: </v>
      </c>
      <c r="C479" s="200" t="s">
        <v>405</v>
      </c>
      <c r="D479" s="182" t="e">
        <f t="shared" ca="1" si="79"/>
        <v>#N/A</v>
      </c>
      <c r="E479" s="183" t="str">
        <f>B479</f>
        <v xml:space="preserve">Lt: </v>
      </c>
      <c r="J479" s="190"/>
    </row>
    <row r="480" spans="1:10" ht="13.35" customHeight="1">
      <c r="A480" s="610" t="str">
        <f t="shared" si="78"/>
        <v xml:space="preserve">  0</v>
      </c>
      <c r="B480" s="610"/>
      <c r="C480" s="200" t="s">
        <v>405</v>
      </c>
      <c r="D480" s="610" t="str">
        <f t="shared" si="79"/>
        <v xml:space="preserve">  0</v>
      </c>
      <c r="E480" s="610"/>
      <c r="J480" s="190"/>
    </row>
    <row r="481" spans="1:10" ht="13.35" customHeight="1">
      <c r="A481" s="609" t="str">
        <f t="shared" si="78"/>
        <v>QFP: JGARCIA   QFV: ADELTORO</v>
      </c>
      <c r="B481" s="609"/>
      <c r="C481" s="200" t="s">
        <v>405</v>
      </c>
      <c r="D481" s="609" t="str">
        <f t="shared" si="79"/>
        <v>QFP: JGARCIA   QFV: ADELTORO</v>
      </c>
      <c r="E481" s="609"/>
      <c r="J481" s="190"/>
    </row>
    <row r="482" spans="1:10" ht="13.35" customHeight="1">
      <c r="A482" s="609" t="str">
        <f t="shared" si="78"/>
        <v>C.JPC/SEXTO NTE/SCOOP   Cama: NA</v>
      </c>
      <c r="B482" s="609"/>
      <c r="C482" s="200" t="s">
        <v>405</v>
      </c>
      <c r="D482" s="609" t="str">
        <f t="shared" si="79"/>
        <v>C.JPC/SEXTO NTE/SCOOP   Cama: NA</v>
      </c>
      <c r="E482" s="609"/>
      <c r="J482" s="190"/>
    </row>
    <row r="483" spans="1:10" ht="13.35" customHeight="1">
      <c r="A483" s="609" t="str">
        <f t="shared" si="78"/>
        <v>UNIDOSSIS S.A.S.</v>
      </c>
      <c r="B483" s="609"/>
      <c r="C483" s="200" t="s">
        <v>405</v>
      </c>
      <c r="D483" s="609" t="str">
        <f t="shared" si="79"/>
        <v>UNIDOSSIS S.A.S.</v>
      </c>
      <c r="E483" s="609"/>
      <c r="J483" s="190"/>
    </row>
    <row r="484" spans="1:10" ht="13.35" customHeight="1">
      <c r="A484" s="199" t="s">
        <v>403</v>
      </c>
      <c r="B484" s="199" t="s">
        <v>403</v>
      </c>
      <c r="C484" s="200" t="s">
        <v>405</v>
      </c>
      <c r="D484" s="199" t="s">
        <v>404</v>
      </c>
      <c r="E484" s="199" t="s">
        <v>403</v>
      </c>
      <c r="J484" s="190"/>
    </row>
    <row r="485" spans="1:10" ht="13.35" customHeight="1">
      <c r="A485" s="610" t="e">
        <f t="shared" si="78"/>
        <v>#N/A</v>
      </c>
      <c r="B485" s="610"/>
      <c r="C485" s="200" t="s">
        <v>405</v>
      </c>
      <c r="D485" s="610" t="e">
        <f t="shared" ref="D485:D491" si="80">A485</f>
        <v>#N/A</v>
      </c>
      <c r="E485" s="610"/>
      <c r="J485" s="190"/>
    </row>
    <row r="486" spans="1:10" ht="13.35" customHeight="1">
      <c r="A486" s="610" t="e">
        <f t="shared" si="78"/>
        <v>#N/A</v>
      </c>
      <c r="B486" s="610"/>
      <c r="C486" s="200" t="s">
        <v>405</v>
      </c>
      <c r="D486" s="610" t="e">
        <f t="shared" si="80"/>
        <v>#N/A</v>
      </c>
      <c r="E486" s="610"/>
      <c r="J486" s="190"/>
    </row>
    <row r="487" spans="1:10" ht="13.35" customHeight="1">
      <c r="A487" s="182" t="e">
        <f t="shared" ca="1" si="78"/>
        <v>#N/A</v>
      </c>
      <c r="B487" s="183" t="str">
        <f>B479</f>
        <v xml:space="preserve">Lt: </v>
      </c>
      <c r="C487" s="200" t="s">
        <v>405</v>
      </c>
      <c r="D487" s="182" t="e">
        <f t="shared" ca="1" si="80"/>
        <v>#N/A</v>
      </c>
      <c r="E487" s="183" t="str">
        <f>B487</f>
        <v xml:space="preserve">Lt: </v>
      </c>
      <c r="J487" s="190"/>
    </row>
    <row r="488" spans="1:10" ht="13.35" customHeight="1">
      <c r="A488" s="610" t="str">
        <f t="shared" si="78"/>
        <v xml:space="preserve">  0</v>
      </c>
      <c r="B488" s="610"/>
      <c r="C488" s="200" t="s">
        <v>405</v>
      </c>
      <c r="D488" s="610" t="str">
        <f t="shared" si="80"/>
        <v xml:space="preserve">  0</v>
      </c>
      <c r="E488" s="610"/>
      <c r="J488" s="190"/>
    </row>
    <row r="489" spans="1:10" ht="13.35" customHeight="1">
      <c r="A489" s="609" t="str">
        <f t="shared" si="78"/>
        <v>QFP: JGARCIA   QFV: ADELTORO</v>
      </c>
      <c r="B489" s="609"/>
      <c r="C489" s="200" t="s">
        <v>405</v>
      </c>
      <c r="D489" s="609" t="str">
        <f t="shared" si="80"/>
        <v>QFP: JGARCIA   QFV: ADELTORO</v>
      </c>
      <c r="E489" s="609"/>
      <c r="J489" s="190"/>
    </row>
    <row r="490" spans="1:10" ht="13.35" customHeight="1">
      <c r="A490" s="609" t="str">
        <f t="shared" si="78"/>
        <v>C.JPC/SEXTO NTE/SCOOP   Cama: NA</v>
      </c>
      <c r="B490" s="609"/>
      <c r="C490" s="200" t="s">
        <v>405</v>
      </c>
      <c r="D490" s="609" t="str">
        <f t="shared" si="80"/>
        <v>C.JPC/SEXTO NTE/SCOOP   Cama: NA</v>
      </c>
      <c r="E490" s="609"/>
      <c r="J490" s="190"/>
    </row>
    <row r="491" spans="1:10" ht="13.35" customHeight="1">
      <c r="A491" s="609" t="str">
        <f t="shared" si="78"/>
        <v>UNIDOSSIS S.A.S.</v>
      </c>
      <c r="B491" s="609"/>
      <c r="C491" s="200" t="s">
        <v>405</v>
      </c>
      <c r="D491" s="609" t="str">
        <f t="shared" si="80"/>
        <v>UNIDOSSIS S.A.S.</v>
      </c>
      <c r="E491" s="609"/>
      <c r="J491" s="190"/>
    </row>
    <row r="492" spans="1:10" ht="13.35" customHeight="1">
      <c r="A492" s="199" t="s">
        <v>403</v>
      </c>
      <c r="B492" s="199" t="s">
        <v>403</v>
      </c>
      <c r="C492" s="200" t="s">
        <v>405</v>
      </c>
      <c r="D492" s="199" t="s">
        <v>404</v>
      </c>
      <c r="E492" s="199" t="s">
        <v>403</v>
      </c>
      <c r="J492" s="190"/>
    </row>
    <row r="493" spans="1:10" ht="13.35" customHeight="1">
      <c r="A493" s="610" t="e">
        <f t="shared" si="78"/>
        <v>#N/A</v>
      </c>
      <c r="B493" s="610"/>
      <c r="C493" s="200" t="s">
        <v>405</v>
      </c>
      <c r="D493" s="610" t="e">
        <f t="shared" ref="D493:D499" si="81">A493</f>
        <v>#N/A</v>
      </c>
      <c r="E493" s="610"/>
      <c r="J493" s="190"/>
    </row>
    <row r="494" spans="1:10" ht="13.35" customHeight="1">
      <c r="A494" s="610" t="e">
        <f t="shared" si="78"/>
        <v>#N/A</v>
      </c>
      <c r="B494" s="610"/>
      <c r="C494" s="200" t="s">
        <v>405</v>
      </c>
      <c r="D494" s="610" t="e">
        <f t="shared" si="81"/>
        <v>#N/A</v>
      </c>
      <c r="E494" s="610"/>
      <c r="J494" s="190"/>
    </row>
    <row r="495" spans="1:10" ht="13.35" customHeight="1">
      <c r="A495" s="182" t="e">
        <f t="shared" ca="1" si="78"/>
        <v>#N/A</v>
      </c>
      <c r="B495" s="183" t="str">
        <f>B487</f>
        <v xml:space="preserve">Lt: </v>
      </c>
      <c r="C495" s="200" t="s">
        <v>405</v>
      </c>
      <c r="D495" s="182" t="e">
        <f t="shared" ca="1" si="81"/>
        <v>#N/A</v>
      </c>
      <c r="E495" s="183" t="str">
        <f>B495</f>
        <v xml:space="preserve">Lt: </v>
      </c>
      <c r="J495" s="190"/>
    </row>
    <row r="496" spans="1:10" ht="13.35" customHeight="1">
      <c r="A496" s="610" t="str">
        <f t="shared" si="78"/>
        <v xml:space="preserve">  0</v>
      </c>
      <c r="B496" s="610"/>
      <c r="C496" s="200" t="s">
        <v>405</v>
      </c>
      <c r="D496" s="610" t="str">
        <f t="shared" si="81"/>
        <v xml:space="preserve">  0</v>
      </c>
      <c r="E496" s="610"/>
      <c r="J496" s="190"/>
    </row>
    <row r="497" spans="1:10" ht="13.35" customHeight="1">
      <c r="A497" s="609" t="str">
        <f t="shared" si="78"/>
        <v>QFP: JGARCIA   QFV: ADELTORO</v>
      </c>
      <c r="B497" s="609"/>
      <c r="C497" s="200" t="s">
        <v>405</v>
      </c>
      <c r="D497" s="609" t="str">
        <f t="shared" si="81"/>
        <v>QFP: JGARCIA   QFV: ADELTORO</v>
      </c>
      <c r="E497" s="609"/>
      <c r="J497" s="190"/>
    </row>
    <row r="498" spans="1:10" ht="13.35" customHeight="1">
      <c r="A498" s="609" t="str">
        <f t="shared" si="78"/>
        <v>C.JPC/SEXTO NTE/SCOOP   Cama: NA</v>
      </c>
      <c r="B498" s="609"/>
      <c r="C498" s="200" t="s">
        <v>405</v>
      </c>
      <c r="D498" s="609" t="str">
        <f t="shared" si="81"/>
        <v>C.JPC/SEXTO NTE/SCOOP   Cama: NA</v>
      </c>
      <c r="E498" s="609"/>
      <c r="J498" s="190"/>
    </row>
    <row r="499" spans="1:10" ht="13.35" customHeight="1">
      <c r="A499" s="609" t="str">
        <f t="shared" si="78"/>
        <v>UNIDOSSIS S.A.S.</v>
      </c>
      <c r="B499" s="609"/>
      <c r="C499" s="200" t="s">
        <v>405</v>
      </c>
      <c r="D499" s="609" t="str">
        <f t="shared" si="81"/>
        <v>UNIDOSSIS S.A.S.</v>
      </c>
      <c r="E499" s="609"/>
      <c r="J499" s="190"/>
    </row>
    <row r="500" spans="1:10" ht="13.35" customHeight="1">
      <c r="A500" s="610" t="e">
        <f>'DATOS ETIQ'!B$18&amp;"  "&amp;'DATOS ETIQ'!C$18&amp;"  "&amp;'DATOS ETIQ'!D$18&amp;'DATOS ETIQ'!Q$18</f>
        <v>#N/A</v>
      </c>
      <c r="B500" s="610"/>
      <c r="C500" s="200" t="s">
        <v>405</v>
      </c>
      <c r="D500" s="610" t="e">
        <f t="shared" ref="D500:D506" si="82">A500</f>
        <v>#N/A</v>
      </c>
      <c r="E500" s="610"/>
      <c r="J500" s="190"/>
    </row>
    <row r="501" spans="1:10" ht="13.35" customHeight="1" thickBot="1">
      <c r="A501" s="610" t="e">
        <f>IF('DATOS ETIQ'!P$18=1,"Do: "&amp;'DATOS ETIQ'!F$18&amp;"mg   VolDo: "&amp;'DATOS ETIQ'!G$18&amp;"mL","Dilución 1/"&amp;'DATOS ETIQ'!P$18&amp;"  "&amp;'DATOS ETIQ'!E$18&amp;"mg/mL   Do: "&amp;'DATOS ETIQ'!F$18&amp;"mg   VolDo: "&amp;'DATOS ETIQ'!G$18&amp;"mL")</f>
        <v>#N/A</v>
      </c>
      <c r="B501" s="610"/>
      <c r="C501" s="200" t="s">
        <v>405</v>
      </c>
      <c r="D501" s="610" t="e">
        <f t="shared" si="82"/>
        <v>#N/A</v>
      </c>
      <c r="E501" s="610"/>
      <c r="J501" s="190"/>
    </row>
    <row r="502" spans="1:10" ht="13.35" customHeight="1">
      <c r="A502" s="182" t="e">
        <f ca="1">'DATOS ETIQ'!H$18</f>
        <v>#N/A</v>
      </c>
      <c r="B502" s="183" t="str">
        <f>"Lt: "&amp;'DATOS ETIQ'!I$18</f>
        <v xml:space="preserve">Lt: </v>
      </c>
      <c r="C502" s="200" t="s">
        <v>405</v>
      </c>
      <c r="D502" s="182" t="e">
        <f t="shared" ca="1" si="82"/>
        <v>#N/A</v>
      </c>
      <c r="E502" s="183" t="str">
        <f>B502</f>
        <v xml:space="preserve">Lt: </v>
      </c>
      <c r="G502" s="611" t="e">
        <f>'FR PD 001 V1'!T22/4</f>
        <v>#N/A</v>
      </c>
      <c r="J502" s="611">
        <v>17</v>
      </c>
    </row>
    <row r="503" spans="1:10" ht="13.35" customHeight="1" thickBot="1">
      <c r="A503" s="610" t="str">
        <f>'DATOS ETIQ'!J$18&amp;"  "&amp;'DATOS ETIQ'!K$18</f>
        <v xml:space="preserve">  0</v>
      </c>
      <c r="B503" s="610"/>
      <c r="C503" s="200" t="s">
        <v>405</v>
      </c>
      <c r="D503" s="610" t="str">
        <f t="shared" si="82"/>
        <v xml:space="preserve">  0</v>
      </c>
      <c r="E503" s="610"/>
      <c r="G503" s="612"/>
      <c r="J503" s="612"/>
    </row>
    <row r="504" spans="1:10" ht="13.35" customHeight="1">
      <c r="A504" s="609" t="str">
        <f>"QFP: "&amp;'DATOS ETIQ'!L$18&amp;"   QFV: "&amp;'DATOS ETIQ'!M$18</f>
        <v>QFP: JGARCIA   QFV: ADELTORO</v>
      </c>
      <c r="B504" s="609"/>
      <c r="C504" s="200" t="s">
        <v>405</v>
      </c>
      <c r="D504" s="609" t="str">
        <f t="shared" si="82"/>
        <v>QFP: JGARCIA   QFV: ADELTORO</v>
      </c>
      <c r="E504" s="609"/>
      <c r="J504" s="190"/>
    </row>
    <row r="505" spans="1:10" ht="13.35" customHeight="1">
      <c r="A505" s="609" t="str">
        <f>'DATOS ETIQ'!N$18&amp;"   Cama: "&amp;'DATOS ETIQ'!O$18</f>
        <v>C.JPC/SEXTO NTE/SCOOP   Cama: NA</v>
      </c>
      <c r="B505" s="609"/>
      <c r="C505" s="200" t="s">
        <v>405</v>
      </c>
      <c r="D505" s="609" t="str">
        <f t="shared" si="82"/>
        <v>C.JPC/SEXTO NTE/SCOOP   Cama: NA</v>
      </c>
      <c r="E505" s="609"/>
      <c r="J505" s="190"/>
    </row>
    <row r="506" spans="1:10" ht="13.35" customHeight="1">
      <c r="A506" s="609" t="s">
        <v>167</v>
      </c>
      <c r="B506" s="609"/>
      <c r="C506" s="200" t="s">
        <v>405</v>
      </c>
      <c r="D506" s="609" t="str">
        <f t="shared" si="82"/>
        <v>UNIDOSSIS S.A.S.</v>
      </c>
      <c r="E506" s="609"/>
      <c r="J506" s="190"/>
    </row>
    <row r="507" spans="1:10" ht="13.35" customHeight="1">
      <c r="A507" s="199" t="s">
        <v>403</v>
      </c>
      <c r="B507" s="199" t="s">
        <v>403</v>
      </c>
      <c r="C507" s="200" t="s">
        <v>405</v>
      </c>
      <c r="D507" s="199" t="s">
        <v>404</v>
      </c>
      <c r="E507" s="199" t="s">
        <v>403</v>
      </c>
      <c r="J507" s="190"/>
    </row>
    <row r="508" spans="1:10" ht="13.35" customHeight="1">
      <c r="A508" s="610" t="e">
        <f t="shared" ref="A508:A530" si="83">A500</f>
        <v>#N/A</v>
      </c>
      <c r="B508" s="610"/>
      <c r="C508" s="200" t="s">
        <v>405</v>
      </c>
      <c r="D508" s="610" t="e">
        <f t="shared" ref="D508:D514" si="84">A508</f>
        <v>#N/A</v>
      </c>
      <c r="E508" s="610"/>
      <c r="J508" s="190"/>
    </row>
    <row r="509" spans="1:10" ht="13.35" customHeight="1">
      <c r="A509" s="610" t="e">
        <f t="shared" si="83"/>
        <v>#N/A</v>
      </c>
      <c r="B509" s="610"/>
      <c r="C509" s="200" t="s">
        <v>405</v>
      </c>
      <c r="D509" s="610" t="e">
        <f t="shared" si="84"/>
        <v>#N/A</v>
      </c>
      <c r="E509" s="610"/>
      <c r="J509" s="190"/>
    </row>
    <row r="510" spans="1:10" ht="13.35" customHeight="1">
      <c r="A510" s="182" t="e">
        <f t="shared" ca="1" si="83"/>
        <v>#N/A</v>
      </c>
      <c r="B510" s="183" t="str">
        <f>B502</f>
        <v xml:space="preserve">Lt: </v>
      </c>
      <c r="C510" s="200" t="s">
        <v>405</v>
      </c>
      <c r="D510" s="182" t="e">
        <f t="shared" ca="1" si="84"/>
        <v>#N/A</v>
      </c>
      <c r="E510" s="183" t="str">
        <f>B510</f>
        <v xml:space="preserve">Lt: </v>
      </c>
      <c r="J510" s="190"/>
    </row>
    <row r="511" spans="1:10" ht="13.35" customHeight="1">
      <c r="A511" s="610" t="str">
        <f t="shared" si="83"/>
        <v xml:space="preserve">  0</v>
      </c>
      <c r="B511" s="610"/>
      <c r="C511" s="200" t="s">
        <v>405</v>
      </c>
      <c r="D511" s="610" t="str">
        <f t="shared" si="84"/>
        <v xml:space="preserve">  0</v>
      </c>
      <c r="E511" s="610"/>
      <c r="J511" s="190"/>
    </row>
    <row r="512" spans="1:10" ht="13.35" customHeight="1">
      <c r="A512" s="609" t="str">
        <f t="shared" si="83"/>
        <v>QFP: JGARCIA   QFV: ADELTORO</v>
      </c>
      <c r="B512" s="609"/>
      <c r="C512" s="200" t="s">
        <v>405</v>
      </c>
      <c r="D512" s="609" t="str">
        <f t="shared" si="84"/>
        <v>QFP: JGARCIA   QFV: ADELTORO</v>
      </c>
      <c r="E512" s="609"/>
      <c r="J512" s="190"/>
    </row>
    <row r="513" spans="1:10" ht="13.35" customHeight="1">
      <c r="A513" s="609" t="str">
        <f t="shared" si="83"/>
        <v>C.JPC/SEXTO NTE/SCOOP   Cama: NA</v>
      </c>
      <c r="B513" s="609"/>
      <c r="C513" s="200" t="s">
        <v>405</v>
      </c>
      <c r="D513" s="609" t="str">
        <f t="shared" si="84"/>
        <v>C.JPC/SEXTO NTE/SCOOP   Cama: NA</v>
      </c>
      <c r="E513" s="609"/>
      <c r="J513" s="190"/>
    </row>
    <row r="514" spans="1:10" ht="13.35" customHeight="1">
      <c r="A514" s="609" t="str">
        <f t="shared" si="83"/>
        <v>UNIDOSSIS S.A.S.</v>
      </c>
      <c r="B514" s="609"/>
      <c r="C514" s="200" t="s">
        <v>405</v>
      </c>
      <c r="D514" s="609" t="str">
        <f t="shared" si="84"/>
        <v>UNIDOSSIS S.A.S.</v>
      </c>
      <c r="E514" s="609"/>
      <c r="J514" s="190"/>
    </row>
    <row r="515" spans="1:10" ht="13.35" customHeight="1">
      <c r="A515" s="199" t="s">
        <v>403</v>
      </c>
      <c r="B515" s="199" t="s">
        <v>403</v>
      </c>
      <c r="C515" s="200" t="s">
        <v>405</v>
      </c>
      <c r="D515" s="199" t="s">
        <v>404</v>
      </c>
      <c r="E515" s="199" t="s">
        <v>403</v>
      </c>
      <c r="J515" s="190"/>
    </row>
    <row r="516" spans="1:10" ht="13.35" customHeight="1">
      <c r="A516" s="610" t="e">
        <f t="shared" si="83"/>
        <v>#N/A</v>
      </c>
      <c r="B516" s="610"/>
      <c r="C516" s="200" t="s">
        <v>405</v>
      </c>
      <c r="D516" s="610" t="e">
        <f t="shared" ref="D516:D522" si="85">A516</f>
        <v>#N/A</v>
      </c>
      <c r="E516" s="610"/>
      <c r="J516" s="190"/>
    </row>
    <row r="517" spans="1:10" ht="13.35" customHeight="1">
      <c r="A517" s="610" t="e">
        <f t="shared" si="83"/>
        <v>#N/A</v>
      </c>
      <c r="B517" s="610"/>
      <c r="C517" s="200" t="s">
        <v>405</v>
      </c>
      <c r="D517" s="610" t="e">
        <f t="shared" si="85"/>
        <v>#N/A</v>
      </c>
      <c r="E517" s="610"/>
      <c r="J517" s="190"/>
    </row>
    <row r="518" spans="1:10" ht="13.35" customHeight="1">
      <c r="A518" s="182" t="e">
        <f t="shared" ca="1" si="83"/>
        <v>#N/A</v>
      </c>
      <c r="B518" s="183" t="str">
        <f>B510</f>
        <v xml:space="preserve">Lt: </v>
      </c>
      <c r="C518" s="200" t="s">
        <v>405</v>
      </c>
      <c r="D518" s="182" t="e">
        <f t="shared" ca="1" si="85"/>
        <v>#N/A</v>
      </c>
      <c r="E518" s="183" t="str">
        <f>B518</f>
        <v xml:space="preserve">Lt: </v>
      </c>
      <c r="J518" s="190"/>
    </row>
    <row r="519" spans="1:10" ht="13.35" customHeight="1">
      <c r="A519" s="610" t="str">
        <f t="shared" si="83"/>
        <v xml:space="preserve">  0</v>
      </c>
      <c r="B519" s="610"/>
      <c r="C519" s="200" t="s">
        <v>405</v>
      </c>
      <c r="D519" s="610" t="str">
        <f t="shared" si="85"/>
        <v xml:space="preserve">  0</v>
      </c>
      <c r="E519" s="610"/>
      <c r="J519" s="190"/>
    </row>
    <row r="520" spans="1:10" ht="13.35" customHeight="1">
      <c r="A520" s="609" t="str">
        <f t="shared" si="83"/>
        <v>QFP: JGARCIA   QFV: ADELTORO</v>
      </c>
      <c r="B520" s="609"/>
      <c r="C520" s="200" t="s">
        <v>405</v>
      </c>
      <c r="D520" s="609" t="str">
        <f t="shared" si="85"/>
        <v>QFP: JGARCIA   QFV: ADELTORO</v>
      </c>
      <c r="E520" s="609"/>
      <c r="J520" s="190"/>
    </row>
    <row r="521" spans="1:10" ht="13.35" customHeight="1">
      <c r="A521" s="609" t="str">
        <f t="shared" si="83"/>
        <v>C.JPC/SEXTO NTE/SCOOP   Cama: NA</v>
      </c>
      <c r="B521" s="609"/>
      <c r="C521" s="200" t="s">
        <v>405</v>
      </c>
      <c r="D521" s="609" t="str">
        <f t="shared" si="85"/>
        <v>C.JPC/SEXTO NTE/SCOOP   Cama: NA</v>
      </c>
      <c r="E521" s="609"/>
      <c r="J521" s="190"/>
    </row>
    <row r="522" spans="1:10" ht="13.35" customHeight="1">
      <c r="A522" s="609" t="str">
        <f t="shared" si="83"/>
        <v>UNIDOSSIS S.A.S.</v>
      </c>
      <c r="B522" s="609"/>
      <c r="C522" s="200" t="s">
        <v>405</v>
      </c>
      <c r="D522" s="609" t="str">
        <f t="shared" si="85"/>
        <v>UNIDOSSIS S.A.S.</v>
      </c>
      <c r="E522" s="609"/>
      <c r="J522" s="190"/>
    </row>
    <row r="523" spans="1:10" ht="13.35" customHeight="1">
      <c r="A523" s="199" t="s">
        <v>403</v>
      </c>
      <c r="B523" s="199" t="s">
        <v>403</v>
      </c>
      <c r="C523" s="200" t="s">
        <v>405</v>
      </c>
      <c r="D523" s="199" t="s">
        <v>404</v>
      </c>
      <c r="E523" s="199" t="s">
        <v>403</v>
      </c>
      <c r="J523" s="190"/>
    </row>
    <row r="524" spans="1:10" ht="13.35" customHeight="1">
      <c r="A524" s="610" t="e">
        <f t="shared" si="83"/>
        <v>#N/A</v>
      </c>
      <c r="B524" s="610"/>
      <c r="C524" s="200" t="s">
        <v>405</v>
      </c>
      <c r="D524" s="610" t="e">
        <f t="shared" ref="D524:D530" si="86">A524</f>
        <v>#N/A</v>
      </c>
      <c r="E524" s="610"/>
      <c r="J524" s="190"/>
    </row>
    <row r="525" spans="1:10" ht="13.35" customHeight="1">
      <c r="A525" s="610" t="e">
        <f t="shared" si="83"/>
        <v>#N/A</v>
      </c>
      <c r="B525" s="610"/>
      <c r="C525" s="200" t="s">
        <v>405</v>
      </c>
      <c r="D525" s="610" t="e">
        <f t="shared" si="86"/>
        <v>#N/A</v>
      </c>
      <c r="E525" s="610"/>
      <c r="J525" s="190"/>
    </row>
    <row r="526" spans="1:10" ht="13.35" customHeight="1">
      <c r="A526" s="182" t="e">
        <f t="shared" ca="1" si="83"/>
        <v>#N/A</v>
      </c>
      <c r="B526" s="183" t="str">
        <f>B518</f>
        <v xml:space="preserve">Lt: </v>
      </c>
      <c r="C526" s="200" t="s">
        <v>405</v>
      </c>
      <c r="D526" s="182" t="e">
        <f t="shared" ca="1" si="86"/>
        <v>#N/A</v>
      </c>
      <c r="E526" s="183" t="str">
        <f>B526</f>
        <v xml:space="preserve">Lt: </v>
      </c>
      <c r="J526" s="190"/>
    </row>
    <row r="527" spans="1:10" ht="13.35" customHeight="1">
      <c r="A527" s="610" t="str">
        <f t="shared" si="83"/>
        <v xml:space="preserve">  0</v>
      </c>
      <c r="B527" s="610"/>
      <c r="C527" s="200" t="s">
        <v>405</v>
      </c>
      <c r="D527" s="610" t="str">
        <f t="shared" si="86"/>
        <v xml:space="preserve">  0</v>
      </c>
      <c r="E527" s="610"/>
      <c r="J527" s="190"/>
    </row>
    <row r="528" spans="1:10" ht="13.35" customHeight="1">
      <c r="A528" s="609" t="str">
        <f t="shared" si="83"/>
        <v>QFP: JGARCIA   QFV: ADELTORO</v>
      </c>
      <c r="B528" s="609"/>
      <c r="C528" s="200" t="s">
        <v>405</v>
      </c>
      <c r="D528" s="609" t="str">
        <f t="shared" si="86"/>
        <v>QFP: JGARCIA   QFV: ADELTORO</v>
      </c>
      <c r="E528" s="609"/>
      <c r="J528" s="190"/>
    </row>
    <row r="529" spans="1:10" ht="13.35" customHeight="1">
      <c r="A529" s="609" t="str">
        <f t="shared" si="83"/>
        <v>C.JPC/SEXTO NTE/SCOOP   Cama: NA</v>
      </c>
      <c r="B529" s="609"/>
      <c r="C529" s="200" t="s">
        <v>405</v>
      </c>
      <c r="D529" s="609" t="str">
        <f t="shared" si="86"/>
        <v>C.JPC/SEXTO NTE/SCOOP   Cama: NA</v>
      </c>
      <c r="E529" s="609"/>
      <c r="J529" s="190"/>
    </row>
    <row r="530" spans="1:10" ht="13.35" customHeight="1">
      <c r="A530" s="609" t="str">
        <f t="shared" si="83"/>
        <v>UNIDOSSIS S.A.S.</v>
      </c>
      <c r="B530" s="609"/>
      <c r="C530" s="200" t="s">
        <v>405</v>
      </c>
      <c r="D530" s="609" t="str">
        <f t="shared" si="86"/>
        <v>UNIDOSSIS S.A.S.</v>
      </c>
      <c r="E530" s="609"/>
      <c r="J530" s="190"/>
    </row>
    <row r="531" spans="1:10" ht="13.35" customHeight="1">
      <c r="A531" s="610" t="e">
        <f>'DATOS ETIQ'!B$19&amp;"  "&amp;'DATOS ETIQ'!C$19&amp;"  "&amp;'DATOS ETIQ'!D$19&amp;'DATOS ETIQ'!Q$19</f>
        <v>#N/A</v>
      </c>
      <c r="B531" s="610"/>
      <c r="C531" s="200" t="s">
        <v>405</v>
      </c>
      <c r="D531" s="610" t="e">
        <f t="shared" ref="D531:D537" si="87">A531</f>
        <v>#N/A</v>
      </c>
      <c r="E531" s="610"/>
      <c r="J531" s="190"/>
    </row>
    <row r="532" spans="1:10" ht="13.35" customHeight="1" thickBot="1">
      <c r="A532" s="610" t="e">
        <f>IF('DATOS ETIQ'!P$19=1,"Do: "&amp;'DATOS ETIQ'!F$19&amp;"mg   VolDo: "&amp;'DATOS ETIQ'!G$19&amp;"mL","Dilución 1/"&amp;'DATOS ETIQ'!P$19&amp;"  "&amp;'DATOS ETIQ'!E$19&amp;"mg/mL   Do: "&amp;'DATOS ETIQ'!F$19&amp;"mg   VolDo: "&amp;'DATOS ETIQ'!G$19&amp;"mL")</f>
        <v>#N/A</v>
      </c>
      <c r="B532" s="610"/>
      <c r="C532" s="200" t="s">
        <v>405</v>
      </c>
      <c r="D532" s="610" t="e">
        <f t="shared" si="87"/>
        <v>#N/A</v>
      </c>
      <c r="E532" s="610"/>
      <c r="J532" s="190"/>
    </row>
    <row r="533" spans="1:10" ht="13.35" customHeight="1">
      <c r="A533" s="182" t="e">
        <f ca="1">'DATOS ETIQ'!H$19</f>
        <v>#N/A</v>
      </c>
      <c r="B533" s="183" t="str">
        <f>"Lt: "&amp;'DATOS ETIQ'!I$19</f>
        <v xml:space="preserve">Lt: </v>
      </c>
      <c r="C533" s="200" t="s">
        <v>405</v>
      </c>
      <c r="D533" s="182" t="e">
        <f t="shared" ca="1" si="87"/>
        <v>#N/A</v>
      </c>
      <c r="E533" s="183" t="str">
        <f>B533</f>
        <v xml:space="preserve">Lt: </v>
      </c>
      <c r="G533" s="611" t="e">
        <f>'FR PD 001 V1'!T23/4</f>
        <v>#N/A</v>
      </c>
      <c r="J533" s="611">
        <v>18</v>
      </c>
    </row>
    <row r="534" spans="1:10" ht="13.35" customHeight="1" thickBot="1">
      <c r="A534" s="610" t="str">
        <f>'DATOS ETIQ'!J$19&amp;"  "&amp;'DATOS ETIQ'!K$19</f>
        <v xml:space="preserve">  0</v>
      </c>
      <c r="B534" s="610"/>
      <c r="C534" s="200" t="s">
        <v>405</v>
      </c>
      <c r="D534" s="610" t="str">
        <f t="shared" si="87"/>
        <v xml:space="preserve">  0</v>
      </c>
      <c r="E534" s="610"/>
      <c r="G534" s="612"/>
      <c r="J534" s="612"/>
    </row>
    <row r="535" spans="1:10" ht="13.35" customHeight="1">
      <c r="A535" s="609" t="str">
        <f>"QFP: "&amp;'DATOS ETIQ'!L$19&amp;"   QFV: "&amp;'DATOS ETIQ'!M$19</f>
        <v>QFP: JGARCIA   QFV: ADELTORO</v>
      </c>
      <c r="B535" s="609"/>
      <c r="C535" s="200" t="s">
        <v>405</v>
      </c>
      <c r="D535" s="609" t="str">
        <f t="shared" si="87"/>
        <v>QFP: JGARCIA   QFV: ADELTORO</v>
      </c>
      <c r="E535" s="609"/>
      <c r="J535" s="190"/>
    </row>
    <row r="536" spans="1:10" ht="13.35" customHeight="1">
      <c r="A536" s="609" t="str">
        <f>'DATOS ETIQ'!N$19&amp;"   Cama: "&amp;'DATOS ETIQ'!O$19</f>
        <v>C.JPC/SEXTO NTE/SCOOP   Cama: NA</v>
      </c>
      <c r="B536" s="609"/>
      <c r="C536" s="200" t="s">
        <v>405</v>
      </c>
      <c r="D536" s="609" t="str">
        <f t="shared" si="87"/>
        <v>C.JPC/SEXTO NTE/SCOOP   Cama: NA</v>
      </c>
      <c r="E536" s="609"/>
      <c r="J536" s="190"/>
    </row>
    <row r="537" spans="1:10" ht="13.35" customHeight="1">
      <c r="A537" s="609" t="s">
        <v>167</v>
      </c>
      <c r="B537" s="609"/>
      <c r="C537" s="200" t="s">
        <v>405</v>
      </c>
      <c r="D537" s="609" t="str">
        <f t="shared" si="87"/>
        <v>UNIDOSSIS S.A.S.</v>
      </c>
      <c r="E537" s="609"/>
      <c r="J537" s="190"/>
    </row>
    <row r="538" spans="1:10" ht="13.35" customHeight="1">
      <c r="A538" s="199" t="s">
        <v>403</v>
      </c>
      <c r="B538" s="199" t="s">
        <v>403</v>
      </c>
      <c r="C538" s="200" t="s">
        <v>405</v>
      </c>
      <c r="D538" s="199" t="s">
        <v>404</v>
      </c>
      <c r="E538" s="199" t="s">
        <v>403</v>
      </c>
      <c r="J538" s="190"/>
    </row>
    <row r="539" spans="1:10" ht="13.35" customHeight="1">
      <c r="A539" s="610" t="e">
        <f t="shared" ref="A539:A561" si="88">A531</f>
        <v>#N/A</v>
      </c>
      <c r="B539" s="610"/>
      <c r="C539" s="200" t="s">
        <v>405</v>
      </c>
      <c r="D539" s="610" t="e">
        <f t="shared" ref="D539:D545" si="89">A539</f>
        <v>#N/A</v>
      </c>
      <c r="E539" s="610"/>
      <c r="J539" s="190"/>
    </row>
    <row r="540" spans="1:10" ht="13.35" customHeight="1">
      <c r="A540" s="610" t="e">
        <f t="shared" si="88"/>
        <v>#N/A</v>
      </c>
      <c r="B540" s="610"/>
      <c r="C540" s="200" t="s">
        <v>405</v>
      </c>
      <c r="D540" s="610" t="e">
        <f t="shared" si="89"/>
        <v>#N/A</v>
      </c>
      <c r="E540" s="610"/>
      <c r="J540" s="190"/>
    </row>
    <row r="541" spans="1:10" ht="13.35" customHeight="1">
      <c r="A541" s="182" t="e">
        <f t="shared" ca="1" si="88"/>
        <v>#N/A</v>
      </c>
      <c r="B541" s="183" t="str">
        <f>B533</f>
        <v xml:space="preserve">Lt: </v>
      </c>
      <c r="C541" s="200" t="s">
        <v>405</v>
      </c>
      <c r="D541" s="182" t="e">
        <f t="shared" ca="1" si="89"/>
        <v>#N/A</v>
      </c>
      <c r="E541" s="183" t="str">
        <f>B541</f>
        <v xml:space="preserve">Lt: </v>
      </c>
      <c r="J541" s="190"/>
    </row>
    <row r="542" spans="1:10" ht="13.35" customHeight="1">
      <c r="A542" s="610" t="str">
        <f t="shared" si="88"/>
        <v xml:space="preserve">  0</v>
      </c>
      <c r="B542" s="610"/>
      <c r="C542" s="200" t="s">
        <v>405</v>
      </c>
      <c r="D542" s="610" t="str">
        <f t="shared" si="89"/>
        <v xml:space="preserve">  0</v>
      </c>
      <c r="E542" s="610"/>
      <c r="J542" s="190"/>
    </row>
    <row r="543" spans="1:10" ht="13.35" customHeight="1">
      <c r="A543" s="609" t="str">
        <f t="shared" si="88"/>
        <v>QFP: JGARCIA   QFV: ADELTORO</v>
      </c>
      <c r="B543" s="609"/>
      <c r="C543" s="200" t="s">
        <v>405</v>
      </c>
      <c r="D543" s="609" t="str">
        <f t="shared" si="89"/>
        <v>QFP: JGARCIA   QFV: ADELTORO</v>
      </c>
      <c r="E543" s="609"/>
      <c r="J543" s="190"/>
    </row>
    <row r="544" spans="1:10" ht="13.35" customHeight="1">
      <c r="A544" s="609" t="str">
        <f t="shared" si="88"/>
        <v>C.JPC/SEXTO NTE/SCOOP   Cama: NA</v>
      </c>
      <c r="B544" s="609"/>
      <c r="C544" s="200" t="s">
        <v>405</v>
      </c>
      <c r="D544" s="609" t="str">
        <f t="shared" si="89"/>
        <v>C.JPC/SEXTO NTE/SCOOP   Cama: NA</v>
      </c>
      <c r="E544" s="609"/>
      <c r="J544" s="190"/>
    </row>
    <row r="545" spans="1:10" ht="13.35" customHeight="1">
      <c r="A545" s="609" t="str">
        <f t="shared" si="88"/>
        <v>UNIDOSSIS S.A.S.</v>
      </c>
      <c r="B545" s="609"/>
      <c r="C545" s="200" t="s">
        <v>405</v>
      </c>
      <c r="D545" s="609" t="str">
        <f t="shared" si="89"/>
        <v>UNIDOSSIS S.A.S.</v>
      </c>
      <c r="E545" s="609"/>
      <c r="J545" s="190"/>
    </row>
    <row r="546" spans="1:10" ht="13.35" customHeight="1">
      <c r="A546" s="199" t="s">
        <v>403</v>
      </c>
      <c r="B546" s="199" t="s">
        <v>403</v>
      </c>
      <c r="C546" s="200" t="s">
        <v>405</v>
      </c>
      <c r="D546" s="199" t="s">
        <v>404</v>
      </c>
      <c r="E546" s="199" t="s">
        <v>403</v>
      </c>
      <c r="J546" s="190"/>
    </row>
    <row r="547" spans="1:10" ht="13.35" customHeight="1">
      <c r="A547" s="610" t="e">
        <f t="shared" si="88"/>
        <v>#N/A</v>
      </c>
      <c r="B547" s="610"/>
      <c r="C547" s="200" t="s">
        <v>405</v>
      </c>
      <c r="D547" s="610" t="e">
        <f t="shared" ref="D547:D553" si="90">A547</f>
        <v>#N/A</v>
      </c>
      <c r="E547" s="610"/>
      <c r="J547" s="190"/>
    </row>
    <row r="548" spans="1:10" ht="13.35" customHeight="1">
      <c r="A548" s="610" t="e">
        <f t="shared" si="88"/>
        <v>#N/A</v>
      </c>
      <c r="B548" s="610"/>
      <c r="C548" s="200" t="s">
        <v>405</v>
      </c>
      <c r="D548" s="610" t="e">
        <f t="shared" si="90"/>
        <v>#N/A</v>
      </c>
      <c r="E548" s="610"/>
      <c r="J548" s="190"/>
    </row>
    <row r="549" spans="1:10" ht="13.35" customHeight="1">
      <c r="A549" s="182" t="e">
        <f t="shared" ca="1" si="88"/>
        <v>#N/A</v>
      </c>
      <c r="B549" s="183" t="str">
        <f>B541</f>
        <v xml:space="preserve">Lt: </v>
      </c>
      <c r="C549" s="200" t="s">
        <v>405</v>
      </c>
      <c r="D549" s="182" t="e">
        <f t="shared" ca="1" si="90"/>
        <v>#N/A</v>
      </c>
      <c r="E549" s="183" t="str">
        <f>B549</f>
        <v xml:space="preserve">Lt: </v>
      </c>
      <c r="J549" s="190"/>
    </row>
    <row r="550" spans="1:10" ht="13.35" customHeight="1">
      <c r="A550" s="610" t="str">
        <f t="shared" si="88"/>
        <v xml:space="preserve">  0</v>
      </c>
      <c r="B550" s="610"/>
      <c r="C550" s="200" t="s">
        <v>405</v>
      </c>
      <c r="D550" s="610" t="str">
        <f t="shared" si="90"/>
        <v xml:space="preserve">  0</v>
      </c>
      <c r="E550" s="610"/>
      <c r="J550" s="190"/>
    </row>
    <row r="551" spans="1:10" ht="13.35" customHeight="1">
      <c r="A551" s="609" t="str">
        <f t="shared" si="88"/>
        <v>QFP: JGARCIA   QFV: ADELTORO</v>
      </c>
      <c r="B551" s="609"/>
      <c r="C551" s="200" t="s">
        <v>405</v>
      </c>
      <c r="D551" s="609" t="str">
        <f t="shared" si="90"/>
        <v>QFP: JGARCIA   QFV: ADELTORO</v>
      </c>
      <c r="E551" s="609"/>
      <c r="J551" s="190"/>
    </row>
    <row r="552" spans="1:10" ht="13.35" customHeight="1">
      <c r="A552" s="609" t="str">
        <f t="shared" si="88"/>
        <v>C.JPC/SEXTO NTE/SCOOP   Cama: NA</v>
      </c>
      <c r="B552" s="609"/>
      <c r="C552" s="200" t="s">
        <v>405</v>
      </c>
      <c r="D552" s="609" t="str">
        <f t="shared" si="90"/>
        <v>C.JPC/SEXTO NTE/SCOOP   Cama: NA</v>
      </c>
      <c r="E552" s="609"/>
      <c r="J552" s="190"/>
    </row>
    <row r="553" spans="1:10" ht="13.35" customHeight="1">
      <c r="A553" s="609" t="str">
        <f t="shared" si="88"/>
        <v>UNIDOSSIS S.A.S.</v>
      </c>
      <c r="B553" s="609"/>
      <c r="C553" s="200" t="s">
        <v>405</v>
      </c>
      <c r="D553" s="609" t="str">
        <f t="shared" si="90"/>
        <v>UNIDOSSIS S.A.S.</v>
      </c>
      <c r="E553" s="609"/>
      <c r="J553" s="190"/>
    </row>
    <row r="554" spans="1:10" ht="13.35" customHeight="1">
      <c r="A554" s="199" t="s">
        <v>403</v>
      </c>
      <c r="B554" s="199" t="s">
        <v>403</v>
      </c>
      <c r="C554" s="200" t="s">
        <v>405</v>
      </c>
      <c r="D554" s="199" t="s">
        <v>404</v>
      </c>
      <c r="E554" s="199" t="s">
        <v>403</v>
      </c>
      <c r="J554" s="190"/>
    </row>
    <row r="555" spans="1:10" ht="13.35" customHeight="1">
      <c r="A555" s="610" t="e">
        <f t="shared" si="88"/>
        <v>#N/A</v>
      </c>
      <c r="B555" s="610"/>
      <c r="C555" s="200" t="s">
        <v>405</v>
      </c>
      <c r="D555" s="610" t="e">
        <f t="shared" ref="D555:D561" si="91">A555</f>
        <v>#N/A</v>
      </c>
      <c r="E555" s="610"/>
      <c r="J555" s="190"/>
    </row>
    <row r="556" spans="1:10" ht="13.35" customHeight="1">
      <c r="A556" s="610" t="e">
        <f t="shared" si="88"/>
        <v>#N/A</v>
      </c>
      <c r="B556" s="610"/>
      <c r="C556" s="200" t="s">
        <v>405</v>
      </c>
      <c r="D556" s="610" t="e">
        <f t="shared" si="91"/>
        <v>#N/A</v>
      </c>
      <c r="E556" s="610"/>
      <c r="J556" s="190"/>
    </row>
    <row r="557" spans="1:10" ht="13.35" customHeight="1">
      <c r="A557" s="182" t="e">
        <f t="shared" ca="1" si="88"/>
        <v>#N/A</v>
      </c>
      <c r="B557" s="183" t="str">
        <f>B549</f>
        <v xml:space="preserve">Lt: </v>
      </c>
      <c r="C557" s="200" t="s">
        <v>405</v>
      </c>
      <c r="D557" s="182" t="e">
        <f t="shared" ca="1" si="91"/>
        <v>#N/A</v>
      </c>
      <c r="E557" s="183" t="str">
        <f>B557</f>
        <v xml:space="preserve">Lt: </v>
      </c>
      <c r="J557" s="190"/>
    </row>
    <row r="558" spans="1:10" ht="13.35" customHeight="1">
      <c r="A558" s="610" t="str">
        <f t="shared" si="88"/>
        <v xml:space="preserve">  0</v>
      </c>
      <c r="B558" s="610"/>
      <c r="C558" s="200" t="s">
        <v>405</v>
      </c>
      <c r="D558" s="610" t="str">
        <f t="shared" si="91"/>
        <v xml:space="preserve">  0</v>
      </c>
      <c r="E558" s="610"/>
      <c r="J558" s="190"/>
    </row>
    <row r="559" spans="1:10" ht="13.35" customHeight="1">
      <c r="A559" s="609" t="str">
        <f t="shared" si="88"/>
        <v>QFP: JGARCIA   QFV: ADELTORO</v>
      </c>
      <c r="B559" s="609"/>
      <c r="C559" s="200" t="s">
        <v>405</v>
      </c>
      <c r="D559" s="609" t="str">
        <f t="shared" si="91"/>
        <v>QFP: JGARCIA   QFV: ADELTORO</v>
      </c>
      <c r="E559" s="609"/>
      <c r="J559" s="190"/>
    </row>
    <row r="560" spans="1:10" ht="13.35" customHeight="1">
      <c r="A560" s="609" t="str">
        <f t="shared" si="88"/>
        <v>C.JPC/SEXTO NTE/SCOOP   Cama: NA</v>
      </c>
      <c r="B560" s="609"/>
      <c r="C560" s="200" t="s">
        <v>405</v>
      </c>
      <c r="D560" s="609" t="str">
        <f t="shared" si="91"/>
        <v>C.JPC/SEXTO NTE/SCOOP   Cama: NA</v>
      </c>
      <c r="E560" s="609"/>
      <c r="J560" s="190"/>
    </row>
    <row r="561" spans="1:10" ht="13.35" customHeight="1">
      <c r="A561" s="609" t="str">
        <f t="shared" si="88"/>
        <v>UNIDOSSIS S.A.S.</v>
      </c>
      <c r="B561" s="609"/>
      <c r="C561" s="200" t="s">
        <v>405</v>
      </c>
      <c r="D561" s="609" t="str">
        <f t="shared" si="91"/>
        <v>UNIDOSSIS S.A.S.</v>
      </c>
      <c r="E561" s="609"/>
      <c r="J561" s="190"/>
    </row>
    <row r="562" spans="1:10" ht="13.35" customHeight="1">
      <c r="A562" s="610" t="e">
        <f>'DATOS ETIQ'!B$20&amp;"  "&amp;'DATOS ETIQ'!C$20&amp;"  "&amp;'DATOS ETIQ'!D$20&amp;'DATOS ETIQ'!Q$20</f>
        <v>#N/A</v>
      </c>
      <c r="B562" s="610"/>
      <c r="C562" s="200" t="s">
        <v>405</v>
      </c>
      <c r="D562" s="610" t="e">
        <f t="shared" ref="D562:D568" si="92">A562</f>
        <v>#N/A</v>
      </c>
      <c r="E562" s="610"/>
      <c r="J562" s="190"/>
    </row>
    <row r="563" spans="1:10" ht="13.35" customHeight="1" thickBot="1">
      <c r="A563" s="610" t="e">
        <f>IF('DATOS ETIQ'!P$20=1,"Do: "&amp;'DATOS ETIQ'!F$20&amp;"mg   VolDo: "&amp;'DATOS ETIQ'!G$20&amp;"mL","Dilución 1/"&amp;'DATOS ETIQ'!P$20&amp;"  "&amp;'DATOS ETIQ'!E$20&amp;"mg/mL   Do: "&amp;'DATOS ETIQ'!F$20&amp;"mg   VolDo: "&amp;'DATOS ETIQ'!G$20&amp;"mL")</f>
        <v>#N/A</v>
      </c>
      <c r="B563" s="610"/>
      <c r="C563" s="200" t="s">
        <v>405</v>
      </c>
      <c r="D563" s="610" t="e">
        <f t="shared" si="92"/>
        <v>#N/A</v>
      </c>
      <c r="E563" s="610"/>
      <c r="J563" s="190"/>
    </row>
    <row r="564" spans="1:10" ht="13.35" customHeight="1">
      <c r="A564" s="182" t="e">
        <f ca="1">'DATOS ETIQ'!H$20</f>
        <v>#N/A</v>
      </c>
      <c r="B564" s="183" t="str">
        <f>"Lt: "&amp;'DATOS ETIQ'!I$20</f>
        <v xml:space="preserve">Lt: </v>
      </c>
      <c r="C564" s="200" t="s">
        <v>405</v>
      </c>
      <c r="D564" s="182" t="e">
        <f t="shared" ca="1" si="92"/>
        <v>#N/A</v>
      </c>
      <c r="E564" s="183" t="str">
        <f>B564</f>
        <v xml:space="preserve">Lt: </v>
      </c>
      <c r="G564" s="611" t="e">
        <f>'FR PD 001 V1'!T24/4</f>
        <v>#N/A</v>
      </c>
      <c r="J564" s="611">
        <v>19</v>
      </c>
    </row>
    <row r="565" spans="1:10" ht="13.35" customHeight="1" thickBot="1">
      <c r="A565" s="610" t="str">
        <f>'DATOS ETIQ'!J$20&amp;"  "&amp;'DATOS ETIQ'!K$20</f>
        <v xml:space="preserve">  0</v>
      </c>
      <c r="B565" s="610"/>
      <c r="C565" s="200" t="s">
        <v>405</v>
      </c>
      <c r="D565" s="610" t="str">
        <f t="shared" si="92"/>
        <v xml:space="preserve">  0</v>
      </c>
      <c r="E565" s="610"/>
      <c r="G565" s="612"/>
      <c r="J565" s="612"/>
    </row>
    <row r="566" spans="1:10" ht="13.35" customHeight="1">
      <c r="A566" s="609" t="str">
        <f>"QFP: "&amp;'DATOS ETIQ'!L$20&amp;"   QFV: "&amp;'DATOS ETIQ'!M$20</f>
        <v>QFP: JGARCIA   QFV: ADELTORO</v>
      </c>
      <c r="B566" s="609"/>
      <c r="C566" s="200" t="s">
        <v>405</v>
      </c>
      <c r="D566" s="609" t="str">
        <f t="shared" si="92"/>
        <v>QFP: JGARCIA   QFV: ADELTORO</v>
      </c>
      <c r="E566" s="609"/>
      <c r="J566" s="190"/>
    </row>
    <row r="567" spans="1:10" ht="13.35" customHeight="1">
      <c r="A567" s="609" t="str">
        <f>'DATOS ETIQ'!N$20&amp;"   Cama: "&amp;'DATOS ETIQ'!O$20</f>
        <v>C.JPC/SEXTO NTE/SCOOP   Cama: NA</v>
      </c>
      <c r="B567" s="609"/>
      <c r="C567" s="200" t="s">
        <v>405</v>
      </c>
      <c r="D567" s="609" t="str">
        <f t="shared" si="92"/>
        <v>C.JPC/SEXTO NTE/SCOOP   Cama: NA</v>
      </c>
      <c r="E567" s="609"/>
      <c r="J567" s="190"/>
    </row>
    <row r="568" spans="1:10" ht="13.35" customHeight="1">
      <c r="A568" s="609" t="s">
        <v>167</v>
      </c>
      <c r="B568" s="609"/>
      <c r="C568" s="200" t="s">
        <v>405</v>
      </c>
      <c r="D568" s="609" t="str">
        <f t="shared" si="92"/>
        <v>UNIDOSSIS S.A.S.</v>
      </c>
      <c r="E568" s="609"/>
      <c r="J568" s="190"/>
    </row>
    <row r="569" spans="1:10" ht="13.35" customHeight="1">
      <c r="A569" s="199" t="s">
        <v>403</v>
      </c>
      <c r="B569" s="199" t="s">
        <v>403</v>
      </c>
      <c r="C569" s="200" t="s">
        <v>405</v>
      </c>
      <c r="D569" s="199" t="s">
        <v>404</v>
      </c>
      <c r="E569" s="199" t="s">
        <v>403</v>
      </c>
      <c r="J569" s="190"/>
    </row>
    <row r="570" spans="1:10" ht="13.35" customHeight="1">
      <c r="A570" s="610" t="e">
        <f t="shared" ref="A570:A592" si="93">A562</f>
        <v>#N/A</v>
      </c>
      <c r="B570" s="610"/>
      <c r="C570" s="200" t="s">
        <v>405</v>
      </c>
      <c r="D570" s="610" t="e">
        <f t="shared" ref="D570:D576" si="94">A570</f>
        <v>#N/A</v>
      </c>
      <c r="E570" s="610"/>
      <c r="J570" s="190"/>
    </row>
    <row r="571" spans="1:10" ht="13.35" customHeight="1">
      <c r="A571" s="610" t="e">
        <f t="shared" si="93"/>
        <v>#N/A</v>
      </c>
      <c r="B571" s="610"/>
      <c r="C571" s="200" t="s">
        <v>405</v>
      </c>
      <c r="D571" s="610" t="e">
        <f t="shared" si="94"/>
        <v>#N/A</v>
      </c>
      <c r="E571" s="610"/>
      <c r="J571" s="190"/>
    </row>
    <row r="572" spans="1:10" ht="13.35" customHeight="1">
      <c r="A572" s="182" t="e">
        <f t="shared" ca="1" si="93"/>
        <v>#N/A</v>
      </c>
      <c r="B572" s="183" t="str">
        <f>B564</f>
        <v xml:space="preserve">Lt: </v>
      </c>
      <c r="C572" s="200" t="s">
        <v>405</v>
      </c>
      <c r="D572" s="182" t="e">
        <f t="shared" ca="1" si="94"/>
        <v>#N/A</v>
      </c>
      <c r="E572" s="183" t="str">
        <f>B572</f>
        <v xml:space="preserve">Lt: </v>
      </c>
      <c r="J572" s="190"/>
    </row>
    <row r="573" spans="1:10" ht="13.35" customHeight="1">
      <c r="A573" s="610" t="str">
        <f t="shared" si="93"/>
        <v xml:space="preserve">  0</v>
      </c>
      <c r="B573" s="610"/>
      <c r="C573" s="200" t="s">
        <v>405</v>
      </c>
      <c r="D573" s="610" t="str">
        <f t="shared" si="94"/>
        <v xml:space="preserve">  0</v>
      </c>
      <c r="E573" s="610"/>
      <c r="J573" s="190"/>
    </row>
    <row r="574" spans="1:10" ht="13.35" customHeight="1">
      <c r="A574" s="609" t="str">
        <f t="shared" si="93"/>
        <v>QFP: JGARCIA   QFV: ADELTORO</v>
      </c>
      <c r="B574" s="609"/>
      <c r="C574" s="200" t="s">
        <v>405</v>
      </c>
      <c r="D574" s="609" t="str">
        <f t="shared" si="94"/>
        <v>QFP: JGARCIA   QFV: ADELTORO</v>
      </c>
      <c r="E574" s="609"/>
      <c r="J574" s="190"/>
    </row>
    <row r="575" spans="1:10" ht="13.35" customHeight="1">
      <c r="A575" s="609" t="str">
        <f t="shared" si="93"/>
        <v>C.JPC/SEXTO NTE/SCOOP   Cama: NA</v>
      </c>
      <c r="B575" s="609"/>
      <c r="C575" s="200" t="s">
        <v>405</v>
      </c>
      <c r="D575" s="609" t="str">
        <f t="shared" si="94"/>
        <v>C.JPC/SEXTO NTE/SCOOP   Cama: NA</v>
      </c>
      <c r="E575" s="609"/>
      <c r="J575" s="190"/>
    </row>
    <row r="576" spans="1:10" ht="13.35" customHeight="1">
      <c r="A576" s="609" t="str">
        <f t="shared" si="93"/>
        <v>UNIDOSSIS S.A.S.</v>
      </c>
      <c r="B576" s="609"/>
      <c r="C576" s="200" t="s">
        <v>405</v>
      </c>
      <c r="D576" s="609" t="str">
        <f t="shared" si="94"/>
        <v>UNIDOSSIS S.A.S.</v>
      </c>
      <c r="E576" s="609"/>
      <c r="J576" s="190"/>
    </row>
    <row r="577" spans="1:10" ht="13.35" customHeight="1">
      <c r="A577" s="199" t="s">
        <v>403</v>
      </c>
      <c r="B577" s="199" t="s">
        <v>403</v>
      </c>
      <c r="C577" s="200" t="s">
        <v>405</v>
      </c>
      <c r="D577" s="199" t="s">
        <v>404</v>
      </c>
      <c r="E577" s="199" t="s">
        <v>403</v>
      </c>
      <c r="J577" s="190"/>
    </row>
    <row r="578" spans="1:10" ht="13.35" customHeight="1">
      <c r="A578" s="610" t="e">
        <f t="shared" si="93"/>
        <v>#N/A</v>
      </c>
      <c r="B578" s="610"/>
      <c r="C578" s="200" t="s">
        <v>405</v>
      </c>
      <c r="D578" s="610" t="e">
        <f t="shared" ref="D578:D584" si="95">A578</f>
        <v>#N/A</v>
      </c>
      <c r="E578" s="610"/>
      <c r="J578" s="190"/>
    </row>
    <row r="579" spans="1:10" ht="13.35" customHeight="1">
      <c r="A579" s="610" t="e">
        <f t="shared" si="93"/>
        <v>#N/A</v>
      </c>
      <c r="B579" s="610"/>
      <c r="C579" s="200" t="s">
        <v>405</v>
      </c>
      <c r="D579" s="610" t="e">
        <f t="shared" si="95"/>
        <v>#N/A</v>
      </c>
      <c r="E579" s="610"/>
      <c r="J579" s="190"/>
    </row>
    <row r="580" spans="1:10" ht="13.35" customHeight="1">
      <c r="A580" s="182" t="e">
        <f t="shared" ca="1" si="93"/>
        <v>#N/A</v>
      </c>
      <c r="B580" s="183" t="str">
        <f>B572</f>
        <v xml:space="preserve">Lt: </v>
      </c>
      <c r="C580" s="200" t="s">
        <v>405</v>
      </c>
      <c r="D580" s="182" t="e">
        <f t="shared" ca="1" si="95"/>
        <v>#N/A</v>
      </c>
      <c r="E580" s="183" t="str">
        <f>B580</f>
        <v xml:space="preserve">Lt: </v>
      </c>
      <c r="J580" s="190"/>
    </row>
    <row r="581" spans="1:10" ht="13.35" customHeight="1">
      <c r="A581" s="610" t="str">
        <f t="shared" si="93"/>
        <v xml:space="preserve">  0</v>
      </c>
      <c r="B581" s="610"/>
      <c r="C581" s="200" t="s">
        <v>405</v>
      </c>
      <c r="D581" s="610" t="str">
        <f t="shared" si="95"/>
        <v xml:space="preserve">  0</v>
      </c>
      <c r="E581" s="610"/>
      <c r="J581" s="190"/>
    </row>
    <row r="582" spans="1:10" ht="13.35" customHeight="1">
      <c r="A582" s="609" t="str">
        <f t="shared" si="93"/>
        <v>QFP: JGARCIA   QFV: ADELTORO</v>
      </c>
      <c r="B582" s="609"/>
      <c r="C582" s="200" t="s">
        <v>405</v>
      </c>
      <c r="D582" s="609" t="str">
        <f t="shared" si="95"/>
        <v>QFP: JGARCIA   QFV: ADELTORO</v>
      </c>
      <c r="E582" s="609"/>
      <c r="J582" s="190"/>
    </row>
    <row r="583" spans="1:10" ht="13.35" customHeight="1">
      <c r="A583" s="609" t="str">
        <f t="shared" si="93"/>
        <v>C.JPC/SEXTO NTE/SCOOP   Cama: NA</v>
      </c>
      <c r="B583" s="609"/>
      <c r="C583" s="200" t="s">
        <v>405</v>
      </c>
      <c r="D583" s="609" t="str">
        <f t="shared" si="95"/>
        <v>C.JPC/SEXTO NTE/SCOOP   Cama: NA</v>
      </c>
      <c r="E583" s="609"/>
      <c r="J583" s="190"/>
    </row>
    <row r="584" spans="1:10" ht="13.35" customHeight="1">
      <c r="A584" s="609" t="str">
        <f t="shared" si="93"/>
        <v>UNIDOSSIS S.A.S.</v>
      </c>
      <c r="B584" s="609"/>
      <c r="C584" s="200" t="s">
        <v>405</v>
      </c>
      <c r="D584" s="609" t="str">
        <f t="shared" si="95"/>
        <v>UNIDOSSIS S.A.S.</v>
      </c>
      <c r="E584" s="609"/>
      <c r="J584" s="190"/>
    </row>
    <row r="585" spans="1:10" ht="13.35" customHeight="1">
      <c r="A585" s="199" t="s">
        <v>403</v>
      </c>
      <c r="B585" s="199" t="s">
        <v>403</v>
      </c>
      <c r="C585" s="200" t="s">
        <v>405</v>
      </c>
      <c r="D585" s="199" t="s">
        <v>404</v>
      </c>
      <c r="E585" s="199" t="s">
        <v>403</v>
      </c>
      <c r="J585" s="190"/>
    </row>
    <row r="586" spans="1:10" ht="13.35" customHeight="1">
      <c r="A586" s="610" t="e">
        <f t="shared" si="93"/>
        <v>#N/A</v>
      </c>
      <c r="B586" s="610"/>
      <c r="C586" s="200" t="s">
        <v>405</v>
      </c>
      <c r="D586" s="610" t="e">
        <f t="shared" ref="D586:D592" si="96">A586</f>
        <v>#N/A</v>
      </c>
      <c r="E586" s="610"/>
      <c r="J586" s="190"/>
    </row>
    <row r="587" spans="1:10" ht="13.35" customHeight="1">
      <c r="A587" s="610" t="e">
        <f t="shared" si="93"/>
        <v>#N/A</v>
      </c>
      <c r="B587" s="610"/>
      <c r="C587" s="200" t="s">
        <v>405</v>
      </c>
      <c r="D587" s="610" t="e">
        <f t="shared" si="96"/>
        <v>#N/A</v>
      </c>
      <c r="E587" s="610"/>
      <c r="J587" s="190"/>
    </row>
    <row r="588" spans="1:10" ht="13.35" customHeight="1">
      <c r="A588" s="182" t="e">
        <f t="shared" ca="1" si="93"/>
        <v>#N/A</v>
      </c>
      <c r="B588" s="183" t="str">
        <f>B580</f>
        <v xml:space="preserve">Lt: </v>
      </c>
      <c r="C588" s="200" t="s">
        <v>405</v>
      </c>
      <c r="D588" s="182" t="e">
        <f t="shared" ca="1" si="96"/>
        <v>#N/A</v>
      </c>
      <c r="E588" s="183" t="str">
        <f>B588</f>
        <v xml:space="preserve">Lt: </v>
      </c>
      <c r="J588" s="190"/>
    </row>
    <row r="589" spans="1:10" ht="13.35" customHeight="1">
      <c r="A589" s="610" t="str">
        <f t="shared" si="93"/>
        <v xml:space="preserve">  0</v>
      </c>
      <c r="B589" s="610"/>
      <c r="C589" s="200" t="s">
        <v>405</v>
      </c>
      <c r="D589" s="610" t="str">
        <f t="shared" si="96"/>
        <v xml:space="preserve">  0</v>
      </c>
      <c r="E589" s="610"/>
      <c r="J589" s="190"/>
    </row>
    <row r="590" spans="1:10" ht="13.35" customHeight="1">
      <c r="A590" s="609" t="str">
        <f t="shared" si="93"/>
        <v>QFP: JGARCIA   QFV: ADELTORO</v>
      </c>
      <c r="B590" s="609"/>
      <c r="C590" s="200" t="s">
        <v>405</v>
      </c>
      <c r="D590" s="609" t="str">
        <f t="shared" si="96"/>
        <v>QFP: JGARCIA   QFV: ADELTORO</v>
      </c>
      <c r="E590" s="609"/>
      <c r="J590" s="190"/>
    </row>
    <row r="591" spans="1:10" ht="13.35" customHeight="1">
      <c r="A591" s="609" t="str">
        <f t="shared" si="93"/>
        <v>C.JPC/SEXTO NTE/SCOOP   Cama: NA</v>
      </c>
      <c r="B591" s="609"/>
      <c r="C591" s="200" t="s">
        <v>405</v>
      </c>
      <c r="D591" s="609" t="str">
        <f t="shared" si="96"/>
        <v>C.JPC/SEXTO NTE/SCOOP   Cama: NA</v>
      </c>
      <c r="E591" s="609"/>
      <c r="J591" s="190"/>
    </row>
    <row r="592" spans="1:10" ht="13.35" customHeight="1">
      <c r="A592" s="609" t="str">
        <f t="shared" si="93"/>
        <v>UNIDOSSIS S.A.S.</v>
      </c>
      <c r="B592" s="609"/>
      <c r="C592" s="200" t="s">
        <v>405</v>
      </c>
      <c r="D592" s="609" t="str">
        <f t="shared" si="96"/>
        <v>UNIDOSSIS S.A.S.</v>
      </c>
      <c r="E592" s="609"/>
      <c r="J592" s="190"/>
    </row>
    <row r="593" spans="1:10" ht="13.35" customHeight="1">
      <c r="A593" s="610" t="e">
        <f>'DATOS ETIQ'!B$21&amp;"  "&amp;'DATOS ETIQ'!C$21&amp;"  "&amp;'DATOS ETIQ'!D$21&amp;'DATOS ETIQ'!Q$21</f>
        <v>#N/A</v>
      </c>
      <c r="B593" s="610"/>
      <c r="C593" s="200" t="s">
        <v>405</v>
      </c>
      <c r="D593" s="610" t="e">
        <f t="shared" ref="D593:D599" si="97">A593</f>
        <v>#N/A</v>
      </c>
      <c r="E593" s="610"/>
      <c r="J593" s="190"/>
    </row>
    <row r="594" spans="1:10" ht="13.35" customHeight="1" thickBot="1">
      <c r="A594" s="610" t="e">
        <f>IF('DATOS ETIQ'!P$21=1,"Do: "&amp;'DATOS ETIQ'!F$21&amp;"mg   VolDo: "&amp;'DATOS ETIQ'!G$21&amp;"mL","Dilución 1/"&amp;'DATOS ETIQ'!P$21&amp;"  "&amp;'DATOS ETIQ'!E$21&amp;"mg/mL   Do: "&amp;'DATOS ETIQ'!F$21&amp;"mg   VolDo: "&amp;'DATOS ETIQ'!G$21&amp;"mL")</f>
        <v>#N/A</v>
      </c>
      <c r="B594" s="610"/>
      <c r="C594" s="200" t="s">
        <v>405</v>
      </c>
      <c r="D594" s="610" t="e">
        <f t="shared" si="97"/>
        <v>#N/A</v>
      </c>
      <c r="E594" s="610"/>
      <c r="J594" s="190"/>
    </row>
    <row r="595" spans="1:10" ht="13.35" customHeight="1">
      <c r="A595" s="182" t="e">
        <f ca="1">'DATOS ETIQ'!H$21</f>
        <v>#N/A</v>
      </c>
      <c r="B595" s="183" t="str">
        <f>"Lt: "&amp;'DATOS ETIQ'!I$21</f>
        <v xml:space="preserve">Lt: </v>
      </c>
      <c r="C595" s="200" t="s">
        <v>405</v>
      </c>
      <c r="D595" s="182" t="e">
        <f t="shared" ca="1" si="97"/>
        <v>#N/A</v>
      </c>
      <c r="E595" s="183" t="str">
        <f>B595</f>
        <v xml:space="preserve">Lt: </v>
      </c>
      <c r="G595" s="611" t="e">
        <f>'FR PD 001 V1'!T25/4</f>
        <v>#N/A</v>
      </c>
      <c r="J595" s="611">
        <v>20</v>
      </c>
    </row>
    <row r="596" spans="1:10" ht="13.35" customHeight="1" thickBot="1">
      <c r="A596" s="610" t="str">
        <f>'DATOS ETIQ'!J$21&amp;"  "&amp;'DATOS ETIQ'!K$21</f>
        <v xml:space="preserve">  0</v>
      </c>
      <c r="B596" s="610"/>
      <c r="C596" s="200" t="s">
        <v>405</v>
      </c>
      <c r="D596" s="610" t="str">
        <f t="shared" si="97"/>
        <v xml:space="preserve">  0</v>
      </c>
      <c r="E596" s="610"/>
      <c r="G596" s="612"/>
      <c r="J596" s="612"/>
    </row>
    <row r="597" spans="1:10" ht="13.35" customHeight="1">
      <c r="A597" s="609" t="str">
        <f>"QFP: "&amp;'DATOS ETIQ'!L$21&amp;"   QFV: "&amp;'DATOS ETIQ'!M$21</f>
        <v>QFP: JGARCIA   QFV: ADELTORO</v>
      </c>
      <c r="B597" s="609"/>
      <c r="C597" s="200" t="s">
        <v>405</v>
      </c>
      <c r="D597" s="609" t="str">
        <f t="shared" si="97"/>
        <v>QFP: JGARCIA   QFV: ADELTORO</v>
      </c>
      <c r="E597" s="609"/>
      <c r="J597" s="190"/>
    </row>
    <row r="598" spans="1:10" ht="13.35" customHeight="1">
      <c r="A598" s="609" t="str">
        <f>'DATOS ETIQ'!N$21&amp;"   Cama: "&amp;'DATOS ETIQ'!O$21</f>
        <v>C.JPC/SEXTO NTE/SCOOP   Cama: NA</v>
      </c>
      <c r="B598" s="609"/>
      <c r="C598" s="200" t="s">
        <v>405</v>
      </c>
      <c r="D598" s="609" t="str">
        <f t="shared" si="97"/>
        <v>C.JPC/SEXTO NTE/SCOOP   Cama: NA</v>
      </c>
      <c r="E598" s="609"/>
      <c r="J598" s="190"/>
    </row>
    <row r="599" spans="1:10" ht="13.35" customHeight="1">
      <c r="A599" s="609" t="s">
        <v>167</v>
      </c>
      <c r="B599" s="609"/>
      <c r="C599" s="200" t="s">
        <v>405</v>
      </c>
      <c r="D599" s="609" t="str">
        <f t="shared" si="97"/>
        <v>UNIDOSSIS S.A.S.</v>
      </c>
      <c r="E599" s="609"/>
      <c r="J599" s="190"/>
    </row>
    <row r="600" spans="1:10" ht="13.35" customHeight="1">
      <c r="A600" s="199" t="s">
        <v>403</v>
      </c>
      <c r="B600" s="199" t="s">
        <v>403</v>
      </c>
      <c r="C600" s="200" t="s">
        <v>405</v>
      </c>
      <c r="D600" s="199" t="s">
        <v>404</v>
      </c>
      <c r="E600" s="199" t="s">
        <v>403</v>
      </c>
      <c r="J600" s="190"/>
    </row>
    <row r="601" spans="1:10" ht="13.35" customHeight="1">
      <c r="A601" s="610" t="e">
        <f t="shared" ref="A601:A623" si="98">A593</f>
        <v>#N/A</v>
      </c>
      <c r="B601" s="610"/>
      <c r="C601" s="200" t="s">
        <v>405</v>
      </c>
      <c r="D601" s="610" t="e">
        <f t="shared" ref="D601:D607" si="99">A601</f>
        <v>#N/A</v>
      </c>
      <c r="E601" s="610"/>
      <c r="J601" s="190"/>
    </row>
    <row r="602" spans="1:10" ht="13.35" customHeight="1">
      <c r="A602" s="610" t="e">
        <f t="shared" si="98"/>
        <v>#N/A</v>
      </c>
      <c r="B602" s="610"/>
      <c r="C602" s="200" t="s">
        <v>405</v>
      </c>
      <c r="D602" s="610" t="e">
        <f t="shared" si="99"/>
        <v>#N/A</v>
      </c>
      <c r="E602" s="610"/>
      <c r="J602" s="190"/>
    </row>
    <row r="603" spans="1:10" ht="13.35" customHeight="1">
      <c r="A603" s="182" t="e">
        <f t="shared" ca="1" si="98"/>
        <v>#N/A</v>
      </c>
      <c r="B603" s="183" t="str">
        <f>B595</f>
        <v xml:space="preserve">Lt: </v>
      </c>
      <c r="C603" s="200" t="s">
        <v>405</v>
      </c>
      <c r="D603" s="182" t="e">
        <f t="shared" ca="1" si="99"/>
        <v>#N/A</v>
      </c>
      <c r="E603" s="183" t="str">
        <f>B603</f>
        <v xml:space="preserve">Lt: </v>
      </c>
      <c r="J603" s="190"/>
    </row>
    <row r="604" spans="1:10" ht="13.35" customHeight="1">
      <c r="A604" s="610" t="str">
        <f t="shared" si="98"/>
        <v xml:space="preserve">  0</v>
      </c>
      <c r="B604" s="610"/>
      <c r="C604" s="200" t="s">
        <v>405</v>
      </c>
      <c r="D604" s="610" t="str">
        <f t="shared" si="99"/>
        <v xml:space="preserve">  0</v>
      </c>
      <c r="E604" s="610"/>
      <c r="J604" s="190"/>
    </row>
    <row r="605" spans="1:10" ht="13.35" customHeight="1">
      <c r="A605" s="609" t="str">
        <f t="shared" si="98"/>
        <v>QFP: JGARCIA   QFV: ADELTORO</v>
      </c>
      <c r="B605" s="609"/>
      <c r="C605" s="200" t="s">
        <v>405</v>
      </c>
      <c r="D605" s="609" t="str">
        <f t="shared" si="99"/>
        <v>QFP: JGARCIA   QFV: ADELTORO</v>
      </c>
      <c r="E605" s="609"/>
      <c r="J605" s="190"/>
    </row>
    <row r="606" spans="1:10" ht="13.35" customHeight="1">
      <c r="A606" s="609" t="str">
        <f t="shared" si="98"/>
        <v>C.JPC/SEXTO NTE/SCOOP   Cama: NA</v>
      </c>
      <c r="B606" s="609"/>
      <c r="C606" s="200" t="s">
        <v>405</v>
      </c>
      <c r="D606" s="609" t="str">
        <f t="shared" si="99"/>
        <v>C.JPC/SEXTO NTE/SCOOP   Cama: NA</v>
      </c>
      <c r="E606" s="609"/>
      <c r="J606" s="190"/>
    </row>
    <row r="607" spans="1:10" ht="13.35" customHeight="1">
      <c r="A607" s="609" t="str">
        <f t="shared" si="98"/>
        <v>UNIDOSSIS S.A.S.</v>
      </c>
      <c r="B607" s="609"/>
      <c r="C607" s="200" t="s">
        <v>405</v>
      </c>
      <c r="D607" s="609" t="str">
        <f t="shared" si="99"/>
        <v>UNIDOSSIS S.A.S.</v>
      </c>
      <c r="E607" s="609"/>
      <c r="J607" s="190"/>
    </row>
    <row r="608" spans="1:10" ht="13.35" customHeight="1">
      <c r="A608" s="199" t="s">
        <v>403</v>
      </c>
      <c r="B608" s="199" t="s">
        <v>403</v>
      </c>
      <c r="C608" s="200" t="s">
        <v>405</v>
      </c>
      <c r="D608" s="199" t="s">
        <v>404</v>
      </c>
      <c r="E608" s="199" t="s">
        <v>403</v>
      </c>
      <c r="J608" s="190"/>
    </row>
    <row r="609" spans="1:10" ht="13.35" customHeight="1">
      <c r="A609" s="610" t="e">
        <f t="shared" si="98"/>
        <v>#N/A</v>
      </c>
      <c r="B609" s="610"/>
      <c r="C609" s="200" t="s">
        <v>405</v>
      </c>
      <c r="D609" s="610" t="e">
        <f t="shared" ref="D609:D615" si="100">A609</f>
        <v>#N/A</v>
      </c>
      <c r="E609" s="610"/>
      <c r="J609" s="190"/>
    </row>
    <row r="610" spans="1:10" ht="13.35" customHeight="1">
      <c r="A610" s="610" t="e">
        <f t="shared" si="98"/>
        <v>#N/A</v>
      </c>
      <c r="B610" s="610"/>
      <c r="C610" s="200" t="s">
        <v>405</v>
      </c>
      <c r="D610" s="610" t="e">
        <f t="shared" si="100"/>
        <v>#N/A</v>
      </c>
      <c r="E610" s="610"/>
      <c r="J610" s="190"/>
    </row>
    <row r="611" spans="1:10" ht="13.35" customHeight="1">
      <c r="A611" s="182" t="e">
        <f t="shared" ca="1" si="98"/>
        <v>#N/A</v>
      </c>
      <c r="B611" s="183" t="str">
        <f>B603</f>
        <v xml:space="preserve">Lt: </v>
      </c>
      <c r="C611" s="200" t="s">
        <v>405</v>
      </c>
      <c r="D611" s="182" t="e">
        <f t="shared" ca="1" si="100"/>
        <v>#N/A</v>
      </c>
      <c r="E611" s="183" t="str">
        <f>B611</f>
        <v xml:space="preserve">Lt: </v>
      </c>
      <c r="J611" s="190"/>
    </row>
    <row r="612" spans="1:10" ht="13.35" customHeight="1">
      <c r="A612" s="610" t="str">
        <f t="shared" si="98"/>
        <v xml:space="preserve">  0</v>
      </c>
      <c r="B612" s="610"/>
      <c r="C612" s="200" t="s">
        <v>405</v>
      </c>
      <c r="D612" s="610" t="str">
        <f t="shared" si="100"/>
        <v xml:space="preserve">  0</v>
      </c>
      <c r="E612" s="610"/>
      <c r="J612" s="190"/>
    </row>
    <row r="613" spans="1:10" ht="13.35" customHeight="1">
      <c r="A613" s="609" t="str">
        <f t="shared" si="98"/>
        <v>QFP: JGARCIA   QFV: ADELTORO</v>
      </c>
      <c r="B613" s="609"/>
      <c r="C613" s="200" t="s">
        <v>405</v>
      </c>
      <c r="D613" s="609" t="str">
        <f t="shared" si="100"/>
        <v>QFP: JGARCIA   QFV: ADELTORO</v>
      </c>
      <c r="E613" s="609"/>
      <c r="J613" s="190"/>
    </row>
    <row r="614" spans="1:10" ht="13.35" customHeight="1">
      <c r="A614" s="609" t="str">
        <f t="shared" si="98"/>
        <v>C.JPC/SEXTO NTE/SCOOP   Cama: NA</v>
      </c>
      <c r="B614" s="609"/>
      <c r="C614" s="200" t="s">
        <v>405</v>
      </c>
      <c r="D614" s="609" t="str">
        <f t="shared" si="100"/>
        <v>C.JPC/SEXTO NTE/SCOOP   Cama: NA</v>
      </c>
      <c r="E614" s="609"/>
      <c r="J614" s="190"/>
    </row>
    <row r="615" spans="1:10" ht="13.35" customHeight="1">
      <c r="A615" s="609" t="str">
        <f t="shared" si="98"/>
        <v>UNIDOSSIS S.A.S.</v>
      </c>
      <c r="B615" s="609"/>
      <c r="C615" s="200" t="s">
        <v>405</v>
      </c>
      <c r="D615" s="609" t="str">
        <f t="shared" si="100"/>
        <v>UNIDOSSIS S.A.S.</v>
      </c>
      <c r="E615" s="609"/>
      <c r="J615" s="190"/>
    </row>
    <row r="616" spans="1:10" ht="13.35" customHeight="1">
      <c r="A616" s="199" t="s">
        <v>403</v>
      </c>
      <c r="B616" s="199" t="s">
        <v>403</v>
      </c>
      <c r="C616" s="200" t="s">
        <v>405</v>
      </c>
      <c r="D616" s="199" t="s">
        <v>404</v>
      </c>
      <c r="E616" s="199" t="s">
        <v>403</v>
      </c>
      <c r="J616" s="190"/>
    </row>
    <row r="617" spans="1:10" ht="13.35" customHeight="1">
      <c r="A617" s="610" t="e">
        <f t="shared" si="98"/>
        <v>#N/A</v>
      </c>
      <c r="B617" s="610"/>
      <c r="C617" s="200" t="s">
        <v>405</v>
      </c>
      <c r="D617" s="610" t="e">
        <f t="shared" ref="D617:D623" si="101">A617</f>
        <v>#N/A</v>
      </c>
      <c r="E617" s="610"/>
      <c r="J617" s="190"/>
    </row>
    <row r="618" spans="1:10" ht="13.35" customHeight="1">
      <c r="A618" s="610" t="e">
        <f t="shared" si="98"/>
        <v>#N/A</v>
      </c>
      <c r="B618" s="610"/>
      <c r="C618" s="200" t="s">
        <v>405</v>
      </c>
      <c r="D618" s="610" t="e">
        <f t="shared" si="101"/>
        <v>#N/A</v>
      </c>
      <c r="E618" s="610"/>
      <c r="J618" s="190"/>
    </row>
    <row r="619" spans="1:10" ht="13.35" customHeight="1">
      <c r="A619" s="182" t="e">
        <f t="shared" ca="1" si="98"/>
        <v>#N/A</v>
      </c>
      <c r="B619" s="183" t="str">
        <f>B611</f>
        <v xml:space="preserve">Lt: </v>
      </c>
      <c r="C619" s="200" t="s">
        <v>405</v>
      </c>
      <c r="D619" s="182" t="e">
        <f t="shared" ca="1" si="101"/>
        <v>#N/A</v>
      </c>
      <c r="E619" s="183" t="str">
        <f>B619</f>
        <v xml:space="preserve">Lt: </v>
      </c>
      <c r="J619" s="190"/>
    </row>
    <row r="620" spans="1:10" ht="13.35" customHeight="1">
      <c r="A620" s="610" t="str">
        <f t="shared" si="98"/>
        <v xml:space="preserve">  0</v>
      </c>
      <c r="B620" s="610"/>
      <c r="C620" s="200" t="s">
        <v>405</v>
      </c>
      <c r="D620" s="610" t="str">
        <f t="shared" si="101"/>
        <v xml:space="preserve">  0</v>
      </c>
      <c r="E620" s="610"/>
      <c r="J620" s="190"/>
    </row>
    <row r="621" spans="1:10" ht="13.35" customHeight="1">
      <c r="A621" s="609" t="str">
        <f t="shared" si="98"/>
        <v>QFP: JGARCIA   QFV: ADELTORO</v>
      </c>
      <c r="B621" s="609"/>
      <c r="C621" s="200" t="s">
        <v>405</v>
      </c>
      <c r="D621" s="609" t="str">
        <f t="shared" si="101"/>
        <v>QFP: JGARCIA   QFV: ADELTORO</v>
      </c>
      <c r="E621" s="609"/>
      <c r="J621" s="190"/>
    </row>
    <row r="622" spans="1:10" ht="13.35" customHeight="1">
      <c r="A622" s="609" t="str">
        <f t="shared" si="98"/>
        <v>C.JPC/SEXTO NTE/SCOOP   Cama: NA</v>
      </c>
      <c r="B622" s="609"/>
      <c r="C622" s="200" t="s">
        <v>405</v>
      </c>
      <c r="D622" s="609" t="str">
        <f t="shared" si="101"/>
        <v>C.JPC/SEXTO NTE/SCOOP   Cama: NA</v>
      </c>
      <c r="E622" s="609"/>
      <c r="J622" s="190"/>
    </row>
    <row r="623" spans="1:10" ht="13.35" customHeight="1">
      <c r="A623" s="609" t="str">
        <f t="shared" si="98"/>
        <v>UNIDOSSIS S.A.S.</v>
      </c>
      <c r="B623" s="609"/>
      <c r="C623" s="200" t="s">
        <v>405</v>
      </c>
      <c r="D623" s="609" t="str">
        <f t="shared" si="101"/>
        <v>UNIDOSSIS S.A.S.</v>
      </c>
      <c r="E623" s="609"/>
      <c r="J623" s="190"/>
    </row>
    <row r="624" spans="1:10" ht="13.35" customHeight="1">
      <c r="A624" s="610" t="e">
        <f>'DATOS ETIQ'!B$22&amp;"  "&amp;'DATOS ETIQ'!C$22&amp;"  "&amp;'DATOS ETIQ'!D$22&amp;'DATOS ETIQ'!Q$22</f>
        <v>#N/A</v>
      </c>
      <c r="B624" s="610"/>
      <c r="C624" s="200" t="s">
        <v>405</v>
      </c>
      <c r="D624" s="610" t="e">
        <f t="shared" ref="D624:D630" si="102">A624</f>
        <v>#N/A</v>
      </c>
      <c r="E624" s="610"/>
      <c r="J624" s="190"/>
    </row>
    <row r="625" spans="1:10" ht="13.35" customHeight="1" thickBot="1">
      <c r="A625" s="610" t="e">
        <f>IF('DATOS ETIQ'!P$22=1,"Do: "&amp;'DATOS ETIQ'!F$22&amp;"mg   VolDo: "&amp;'DATOS ETIQ'!G$22&amp;"mL","Dilución 1/"&amp;'DATOS ETIQ'!P$22&amp;"  "&amp;'DATOS ETIQ'!E$22&amp;"mg/mL   Do: "&amp;'DATOS ETIQ'!F$22&amp;"mg   VolDo: "&amp;'DATOS ETIQ'!G$22&amp;"mL")</f>
        <v>#N/A</v>
      </c>
      <c r="B625" s="610"/>
      <c r="C625" s="200" t="s">
        <v>405</v>
      </c>
      <c r="D625" s="610" t="e">
        <f t="shared" si="102"/>
        <v>#N/A</v>
      </c>
      <c r="E625" s="610"/>
      <c r="J625" s="190"/>
    </row>
    <row r="626" spans="1:10" ht="13.35" customHeight="1">
      <c r="A626" s="182" t="e">
        <f ca="1">'DATOS ETIQ'!H$22</f>
        <v>#N/A</v>
      </c>
      <c r="B626" s="183" t="str">
        <f>"Lt: "&amp;'DATOS ETIQ'!I$22</f>
        <v xml:space="preserve">Lt: </v>
      </c>
      <c r="C626" s="200" t="s">
        <v>405</v>
      </c>
      <c r="D626" s="182" t="e">
        <f t="shared" ca="1" si="102"/>
        <v>#N/A</v>
      </c>
      <c r="E626" s="183" t="str">
        <f>B626</f>
        <v xml:space="preserve">Lt: </v>
      </c>
      <c r="G626" s="611" t="e">
        <f>'FR PD 001 V1'!T26/4</f>
        <v>#N/A</v>
      </c>
      <c r="J626" s="611">
        <v>21</v>
      </c>
    </row>
    <row r="627" spans="1:10" ht="13.35" customHeight="1" thickBot="1">
      <c r="A627" s="610" t="str">
        <f>'DATOS ETIQ'!J$22&amp;"  "&amp;'DATOS ETIQ'!K$22</f>
        <v xml:space="preserve">  0</v>
      </c>
      <c r="B627" s="610"/>
      <c r="C627" s="200" t="s">
        <v>405</v>
      </c>
      <c r="D627" s="610" t="str">
        <f t="shared" si="102"/>
        <v xml:space="preserve">  0</v>
      </c>
      <c r="E627" s="610"/>
      <c r="G627" s="612"/>
      <c r="J627" s="612"/>
    </row>
    <row r="628" spans="1:10" ht="13.35" customHeight="1">
      <c r="A628" s="609" t="str">
        <f>"QFP: "&amp;'DATOS ETIQ'!L$22&amp;"   QFV: "&amp;'DATOS ETIQ'!M$22</f>
        <v>QFP: JGARCIA   QFV: ADELTORO</v>
      </c>
      <c r="B628" s="609"/>
      <c r="C628" s="200" t="s">
        <v>405</v>
      </c>
      <c r="D628" s="609" t="str">
        <f t="shared" si="102"/>
        <v>QFP: JGARCIA   QFV: ADELTORO</v>
      </c>
      <c r="E628" s="609"/>
      <c r="J628" s="190"/>
    </row>
    <row r="629" spans="1:10" ht="13.35" customHeight="1">
      <c r="A629" s="609" t="str">
        <f>'DATOS ETIQ'!N$22&amp;"   Cama: "&amp;'DATOS ETIQ'!O$22</f>
        <v>C.JPC/SEXTO NTE/SCOOP   Cama: NA</v>
      </c>
      <c r="B629" s="609"/>
      <c r="C629" s="200" t="s">
        <v>405</v>
      </c>
      <c r="D629" s="609" t="str">
        <f t="shared" si="102"/>
        <v>C.JPC/SEXTO NTE/SCOOP   Cama: NA</v>
      </c>
      <c r="E629" s="609"/>
      <c r="J629" s="190"/>
    </row>
    <row r="630" spans="1:10" ht="13.35" customHeight="1">
      <c r="A630" s="609" t="s">
        <v>167</v>
      </c>
      <c r="B630" s="609"/>
      <c r="C630" s="200" t="s">
        <v>405</v>
      </c>
      <c r="D630" s="609" t="str">
        <f t="shared" si="102"/>
        <v>UNIDOSSIS S.A.S.</v>
      </c>
      <c r="E630" s="609"/>
      <c r="J630" s="190"/>
    </row>
    <row r="631" spans="1:10" ht="13.35" customHeight="1">
      <c r="A631" s="199" t="s">
        <v>403</v>
      </c>
      <c r="B631" s="199" t="s">
        <v>403</v>
      </c>
      <c r="C631" s="200" t="s">
        <v>405</v>
      </c>
      <c r="D631" s="199" t="s">
        <v>404</v>
      </c>
      <c r="E631" s="199" t="s">
        <v>403</v>
      </c>
      <c r="J631" s="190"/>
    </row>
    <row r="632" spans="1:10" ht="13.35" customHeight="1">
      <c r="A632" s="610" t="e">
        <f t="shared" ref="A632:A654" si="103">A624</f>
        <v>#N/A</v>
      </c>
      <c r="B632" s="610"/>
      <c r="C632" s="200" t="s">
        <v>405</v>
      </c>
      <c r="D632" s="610" t="e">
        <f t="shared" ref="D632:D638" si="104">A632</f>
        <v>#N/A</v>
      </c>
      <c r="E632" s="610"/>
      <c r="J632" s="190"/>
    </row>
    <row r="633" spans="1:10" ht="13.35" customHeight="1">
      <c r="A633" s="610" t="e">
        <f t="shared" si="103"/>
        <v>#N/A</v>
      </c>
      <c r="B633" s="610"/>
      <c r="C633" s="200" t="s">
        <v>405</v>
      </c>
      <c r="D633" s="610" t="e">
        <f t="shared" si="104"/>
        <v>#N/A</v>
      </c>
      <c r="E633" s="610"/>
      <c r="J633" s="190"/>
    </row>
    <row r="634" spans="1:10" ht="13.35" customHeight="1">
      <c r="A634" s="182" t="e">
        <f t="shared" ca="1" si="103"/>
        <v>#N/A</v>
      </c>
      <c r="B634" s="183" t="str">
        <f>B626</f>
        <v xml:space="preserve">Lt: </v>
      </c>
      <c r="C634" s="200" t="s">
        <v>405</v>
      </c>
      <c r="D634" s="182" t="e">
        <f t="shared" ca="1" si="104"/>
        <v>#N/A</v>
      </c>
      <c r="E634" s="183" t="str">
        <f>B634</f>
        <v xml:space="preserve">Lt: </v>
      </c>
      <c r="J634" s="190"/>
    </row>
    <row r="635" spans="1:10" ht="13.35" customHeight="1">
      <c r="A635" s="610" t="str">
        <f t="shared" si="103"/>
        <v xml:space="preserve">  0</v>
      </c>
      <c r="B635" s="610"/>
      <c r="C635" s="200" t="s">
        <v>405</v>
      </c>
      <c r="D635" s="610" t="str">
        <f t="shared" si="104"/>
        <v xml:space="preserve">  0</v>
      </c>
      <c r="E635" s="610"/>
      <c r="J635" s="190"/>
    </row>
    <row r="636" spans="1:10" ht="13.35" customHeight="1">
      <c r="A636" s="609" t="str">
        <f t="shared" si="103"/>
        <v>QFP: JGARCIA   QFV: ADELTORO</v>
      </c>
      <c r="B636" s="609"/>
      <c r="C636" s="200" t="s">
        <v>405</v>
      </c>
      <c r="D636" s="609" t="str">
        <f t="shared" si="104"/>
        <v>QFP: JGARCIA   QFV: ADELTORO</v>
      </c>
      <c r="E636" s="609"/>
      <c r="J636" s="190"/>
    </row>
    <row r="637" spans="1:10" ht="13.35" customHeight="1">
      <c r="A637" s="609" t="str">
        <f t="shared" si="103"/>
        <v>C.JPC/SEXTO NTE/SCOOP   Cama: NA</v>
      </c>
      <c r="B637" s="609"/>
      <c r="C637" s="200" t="s">
        <v>405</v>
      </c>
      <c r="D637" s="609" t="str">
        <f t="shared" si="104"/>
        <v>C.JPC/SEXTO NTE/SCOOP   Cama: NA</v>
      </c>
      <c r="E637" s="609"/>
      <c r="J637" s="190"/>
    </row>
    <row r="638" spans="1:10" ht="13.35" customHeight="1">
      <c r="A638" s="609" t="str">
        <f t="shared" si="103"/>
        <v>UNIDOSSIS S.A.S.</v>
      </c>
      <c r="B638" s="609"/>
      <c r="C638" s="200" t="s">
        <v>405</v>
      </c>
      <c r="D638" s="609" t="str">
        <f t="shared" si="104"/>
        <v>UNIDOSSIS S.A.S.</v>
      </c>
      <c r="E638" s="609"/>
      <c r="J638" s="190"/>
    </row>
    <row r="639" spans="1:10" ht="13.35" customHeight="1">
      <c r="A639" s="199" t="s">
        <v>403</v>
      </c>
      <c r="B639" s="199" t="s">
        <v>403</v>
      </c>
      <c r="C639" s="200" t="s">
        <v>405</v>
      </c>
      <c r="D639" s="199" t="s">
        <v>404</v>
      </c>
      <c r="E639" s="199" t="s">
        <v>403</v>
      </c>
      <c r="J639" s="190"/>
    </row>
    <row r="640" spans="1:10" ht="13.35" customHeight="1">
      <c r="A640" s="610" t="e">
        <f t="shared" si="103"/>
        <v>#N/A</v>
      </c>
      <c r="B640" s="610"/>
      <c r="C640" s="200" t="s">
        <v>405</v>
      </c>
      <c r="D640" s="610" t="e">
        <f t="shared" ref="D640:D646" si="105">A640</f>
        <v>#N/A</v>
      </c>
      <c r="E640" s="610"/>
      <c r="J640" s="190"/>
    </row>
    <row r="641" spans="1:10" ht="13.35" customHeight="1">
      <c r="A641" s="610" t="e">
        <f t="shared" si="103"/>
        <v>#N/A</v>
      </c>
      <c r="B641" s="610"/>
      <c r="C641" s="200" t="s">
        <v>405</v>
      </c>
      <c r="D641" s="610" t="e">
        <f t="shared" si="105"/>
        <v>#N/A</v>
      </c>
      <c r="E641" s="610"/>
      <c r="J641" s="190"/>
    </row>
    <row r="642" spans="1:10" ht="13.35" customHeight="1">
      <c r="A642" s="182" t="e">
        <f t="shared" ca="1" si="103"/>
        <v>#N/A</v>
      </c>
      <c r="B642" s="183" t="str">
        <f>B634</f>
        <v xml:space="preserve">Lt: </v>
      </c>
      <c r="C642" s="200" t="s">
        <v>405</v>
      </c>
      <c r="D642" s="182" t="e">
        <f t="shared" ca="1" si="105"/>
        <v>#N/A</v>
      </c>
      <c r="E642" s="183" t="str">
        <f>B642</f>
        <v xml:space="preserve">Lt: </v>
      </c>
      <c r="J642" s="190"/>
    </row>
    <row r="643" spans="1:10" ht="13.35" customHeight="1">
      <c r="A643" s="610" t="str">
        <f t="shared" si="103"/>
        <v xml:space="preserve">  0</v>
      </c>
      <c r="B643" s="610"/>
      <c r="C643" s="200" t="s">
        <v>405</v>
      </c>
      <c r="D643" s="610" t="str">
        <f t="shared" si="105"/>
        <v xml:space="preserve">  0</v>
      </c>
      <c r="E643" s="610"/>
      <c r="J643" s="190"/>
    </row>
    <row r="644" spans="1:10" ht="13.35" customHeight="1">
      <c r="A644" s="609" t="str">
        <f t="shared" si="103"/>
        <v>QFP: JGARCIA   QFV: ADELTORO</v>
      </c>
      <c r="B644" s="609"/>
      <c r="C644" s="200" t="s">
        <v>405</v>
      </c>
      <c r="D644" s="609" t="str">
        <f t="shared" si="105"/>
        <v>QFP: JGARCIA   QFV: ADELTORO</v>
      </c>
      <c r="E644" s="609"/>
      <c r="J644" s="190"/>
    </row>
    <row r="645" spans="1:10" ht="13.35" customHeight="1">
      <c r="A645" s="609" t="str">
        <f t="shared" si="103"/>
        <v>C.JPC/SEXTO NTE/SCOOP   Cama: NA</v>
      </c>
      <c r="B645" s="609"/>
      <c r="C645" s="200" t="s">
        <v>405</v>
      </c>
      <c r="D645" s="609" t="str">
        <f t="shared" si="105"/>
        <v>C.JPC/SEXTO NTE/SCOOP   Cama: NA</v>
      </c>
      <c r="E645" s="609"/>
      <c r="J645" s="190"/>
    </row>
    <row r="646" spans="1:10" ht="13.35" customHeight="1">
      <c r="A646" s="609" t="str">
        <f t="shared" si="103"/>
        <v>UNIDOSSIS S.A.S.</v>
      </c>
      <c r="B646" s="609"/>
      <c r="C646" s="200" t="s">
        <v>405</v>
      </c>
      <c r="D646" s="609" t="str">
        <f t="shared" si="105"/>
        <v>UNIDOSSIS S.A.S.</v>
      </c>
      <c r="E646" s="609"/>
      <c r="J646" s="190"/>
    </row>
    <row r="647" spans="1:10" ht="13.35" customHeight="1">
      <c r="A647" s="199" t="s">
        <v>403</v>
      </c>
      <c r="B647" s="199" t="s">
        <v>403</v>
      </c>
      <c r="C647" s="200" t="s">
        <v>405</v>
      </c>
      <c r="D647" s="199" t="s">
        <v>404</v>
      </c>
      <c r="E647" s="199" t="s">
        <v>403</v>
      </c>
      <c r="J647" s="190"/>
    </row>
    <row r="648" spans="1:10" ht="13.35" customHeight="1">
      <c r="A648" s="610" t="e">
        <f t="shared" si="103"/>
        <v>#N/A</v>
      </c>
      <c r="B648" s="610"/>
      <c r="C648" s="200" t="s">
        <v>405</v>
      </c>
      <c r="D648" s="610" t="e">
        <f t="shared" ref="D648:D654" si="106">A648</f>
        <v>#N/A</v>
      </c>
      <c r="E648" s="610"/>
      <c r="J648" s="190"/>
    </row>
    <row r="649" spans="1:10" ht="13.35" customHeight="1">
      <c r="A649" s="610" t="e">
        <f t="shared" si="103"/>
        <v>#N/A</v>
      </c>
      <c r="B649" s="610"/>
      <c r="C649" s="200" t="s">
        <v>405</v>
      </c>
      <c r="D649" s="610" t="e">
        <f t="shared" si="106"/>
        <v>#N/A</v>
      </c>
      <c r="E649" s="610"/>
      <c r="J649" s="190"/>
    </row>
    <row r="650" spans="1:10" ht="13.35" customHeight="1">
      <c r="A650" s="182" t="e">
        <f t="shared" ca="1" si="103"/>
        <v>#N/A</v>
      </c>
      <c r="B650" s="183" t="str">
        <f>B642</f>
        <v xml:space="preserve">Lt: </v>
      </c>
      <c r="C650" s="200" t="s">
        <v>405</v>
      </c>
      <c r="D650" s="182" t="e">
        <f t="shared" ca="1" si="106"/>
        <v>#N/A</v>
      </c>
      <c r="E650" s="183" t="str">
        <f>B650</f>
        <v xml:space="preserve">Lt: </v>
      </c>
      <c r="J650" s="190"/>
    </row>
    <row r="651" spans="1:10" ht="13.35" customHeight="1">
      <c r="A651" s="610" t="str">
        <f t="shared" si="103"/>
        <v xml:space="preserve">  0</v>
      </c>
      <c r="B651" s="610"/>
      <c r="C651" s="200" t="s">
        <v>405</v>
      </c>
      <c r="D651" s="610" t="str">
        <f t="shared" si="106"/>
        <v xml:space="preserve">  0</v>
      </c>
      <c r="E651" s="610"/>
      <c r="J651" s="190"/>
    </row>
    <row r="652" spans="1:10" ht="13.35" customHeight="1">
      <c r="A652" s="609" t="str">
        <f t="shared" si="103"/>
        <v>QFP: JGARCIA   QFV: ADELTORO</v>
      </c>
      <c r="B652" s="609"/>
      <c r="C652" s="200" t="s">
        <v>405</v>
      </c>
      <c r="D652" s="609" t="str">
        <f t="shared" si="106"/>
        <v>QFP: JGARCIA   QFV: ADELTORO</v>
      </c>
      <c r="E652" s="609"/>
      <c r="J652" s="190"/>
    </row>
    <row r="653" spans="1:10" ht="13.35" customHeight="1">
      <c r="A653" s="609" t="str">
        <f t="shared" si="103"/>
        <v>C.JPC/SEXTO NTE/SCOOP   Cama: NA</v>
      </c>
      <c r="B653" s="609"/>
      <c r="C653" s="200" t="s">
        <v>405</v>
      </c>
      <c r="D653" s="609" t="str">
        <f t="shared" si="106"/>
        <v>C.JPC/SEXTO NTE/SCOOP   Cama: NA</v>
      </c>
      <c r="E653" s="609"/>
      <c r="J653" s="190"/>
    </row>
    <row r="654" spans="1:10" ht="13.35" customHeight="1">
      <c r="A654" s="609" t="str">
        <f t="shared" si="103"/>
        <v>UNIDOSSIS S.A.S.</v>
      </c>
      <c r="B654" s="609"/>
      <c r="C654" s="200" t="s">
        <v>405</v>
      </c>
      <c r="D654" s="609" t="str">
        <f t="shared" si="106"/>
        <v>UNIDOSSIS S.A.S.</v>
      </c>
      <c r="E654" s="609"/>
      <c r="J654" s="190"/>
    </row>
    <row r="655" spans="1:10" ht="13.35" customHeight="1">
      <c r="A655" s="610" t="e">
        <f>'DATOS ETIQ'!B$23&amp;"  "&amp;'DATOS ETIQ'!C$23&amp;"  "&amp;'DATOS ETIQ'!D$23&amp;'DATOS ETIQ'!Q$23</f>
        <v>#N/A</v>
      </c>
      <c r="B655" s="610"/>
      <c r="C655" s="200" t="s">
        <v>405</v>
      </c>
      <c r="D655" s="610" t="e">
        <f t="shared" ref="D655:D661" si="107">A655</f>
        <v>#N/A</v>
      </c>
      <c r="E655" s="610"/>
      <c r="J655" s="190"/>
    </row>
    <row r="656" spans="1:10" ht="13.35" customHeight="1" thickBot="1">
      <c r="A656" s="610" t="e">
        <f>IF('DATOS ETIQ'!P$23=1,"Do: "&amp;'DATOS ETIQ'!F$23&amp;"mg   VolDo: "&amp;'DATOS ETIQ'!G$23&amp;"mL","Dilución 1/"&amp;'DATOS ETIQ'!P$23&amp;"  "&amp;'DATOS ETIQ'!E$23&amp;"mg/mL   Do: "&amp;'DATOS ETIQ'!F$23&amp;"mg   VolDo: "&amp;'DATOS ETIQ'!G$23&amp;"mL")</f>
        <v>#N/A</v>
      </c>
      <c r="B656" s="610"/>
      <c r="C656" s="200" t="s">
        <v>405</v>
      </c>
      <c r="D656" s="610" t="e">
        <f t="shared" si="107"/>
        <v>#N/A</v>
      </c>
      <c r="E656" s="610"/>
      <c r="J656" s="190"/>
    </row>
    <row r="657" spans="1:10" ht="13.35" customHeight="1">
      <c r="A657" s="182" t="e">
        <f ca="1">'DATOS ETIQ'!H$23</f>
        <v>#N/A</v>
      </c>
      <c r="B657" s="183" t="str">
        <f>"Lt: "&amp;'DATOS ETIQ'!I$23</f>
        <v xml:space="preserve">Lt: </v>
      </c>
      <c r="C657" s="200" t="s">
        <v>405</v>
      </c>
      <c r="D657" s="182" t="e">
        <f t="shared" ca="1" si="107"/>
        <v>#N/A</v>
      </c>
      <c r="E657" s="183" t="str">
        <f>B657</f>
        <v xml:space="preserve">Lt: </v>
      </c>
      <c r="G657" s="611" t="e">
        <f>'FR PD 001 V1'!T27/4</f>
        <v>#N/A</v>
      </c>
      <c r="J657" s="611">
        <v>22</v>
      </c>
    </row>
    <row r="658" spans="1:10" ht="13.35" customHeight="1" thickBot="1">
      <c r="A658" s="610" t="str">
        <f>'DATOS ETIQ'!J$23&amp;"  "&amp;'DATOS ETIQ'!K$23</f>
        <v xml:space="preserve">  0</v>
      </c>
      <c r="B658" s="610"/>
      <c r="C658" s="200" t="s">
        <v>405</v>
      </c>
      <c r="D658" s="610" t="str">
        <f t="shared" si="107"/>
        <v xml:space="preserve">  0</v>
      </c>
      <c r="E658" s="610"/>
      <c r="G658" s="612"/>
      <c r="J658" s="612"/>
    </row>
    <row r="659" spans="1:10" ht="13.35" customHeight="1">
      <c r="A659" s="609" t="str">
        <f>"QFP: "&amp;'DATOS ETIQ'!L$23&amp;"   QFV: "&amp;'DATOS ETIQ'!M$23</f>
        <v>QFP: JGARCIA   QFV: ADELTORO</v>
      </c>
      <c r="B659" s="609"/>
      <c r="C659" s="200" t="s">
        <v>405</v>
      </c>
      <c r="D659" s="609" t="str">
        <f t="shared" si="107"/>
        <v>QFP: JGARCIA   QFV: ADELTORO</v>
      </c>
      <c r="E659" s="609"/>
      <c r="J659" s="190"/>
    </row>
    <row r="660" spans="1:10" ht="13.35" customHeight="1">
      <c r="A660" s="609" t="str">
        <f>'DATOS ETIQ'!N$23&amp;"   Cama: "&amp;'DATOS ETIQ'!O$23</f>
        <v>C.JPC/SEXTO NTE/SCOOP   Cama: NA</v>
      </c>
      <c r="B660" s="609"/>
      <c r="C660" s="200" t="s">
        <v>405</v>
      </c>
      <c r="D660" s="609" t="str">
        <f t="shared" si="107"/>
        <v>C.JPC/SEXTO NTE/SCOOP   Cama: NA</v>
      </c>
      <c r="E660" s="609"/>
      <c r="J660" s="190"/>
    </row>
    <row r="661" spans="1:10" ht="13.35" customHeight="1">
      <c r="A661" s="609" t="s">
        <v>167</v>
      </c>
      <c r="B661" s="609"/>
      <c r="C661" s="200" t="s">
        <v>405</v>
      </c>
      <c r="D661" s="609" t="str">
        <f t="shared" si="107"/>
        <v>UNIDOSSIS S.A.S.</v>
      </c>
      <c r="E661" s="609"/>
      <c r="J661" s="190"/>
    </row>
    <row r="662" spans="1:10" ht="13.35" customHeight="1">
      <c r="A662" s="199" t="s">
        <v>403</v>
      </c>
      <c r="B662" s="199" t="s">
        <v>403</v>
      </c>
      <c r="C662" s="200" t="s">
        <v>405</v>
      </c>
      <c r="D662" s="199" t="s">
        <v>404</v>
      </c>
      <c r="E662" s="199" t="s">
        <v>403</v>
      </c>
      <c r="J662" s="190"/>
    </row>
    <row r="663" spans="1:10" ht="13.35" customHeight="1">
      <c r="A663" s="610" t="e">
        <f t="shared" ref="A663:A685" si="108">A655</f>
        <v>#N/A</v>
      </c>
      <c r="B663" s="610"/>
      <c r="C663" s="200" t="s">
        <v>405</v>
      </c>
      <c r="D663" s="610" t="e">
        <f t="shared" ref="D663:D669" si="109">A663</f>
        <v>#N/A</v>
      </c>
      <c r="E663" s="610"/>
      <c r="J663" s="190"/>
    </row>
    <row r="664" spans="1:10" ht="13.35" customHeight="1">
      <c r="A664" s="610" t="e">
        <f t="shared" si="108"/>
        <v>#N/A</v>
      </c>
      <c r="B664" s="610"/>
      <c r="C664" s="200" t="s">
        <v>405</v>
      </c>
      <c r="D664" s="610" t="e">
        <f t="shared" si="109"/>
        <v>#N/A</v>
      </c>
      <c r="E664" s="610"/>
      <c r="J664" s="190"/>
    </row>
    <row r="665" spans="1:10" ht="13.35" customHeight="1">
      <c r="A665" s="182" t="e">
        <f t="shared" ca="1" si="108"/>
        <v>#N/A</v>
      </c>
      <c r="B665" s="183" t="str">
        <f>B657</f>
        <v xml:space="preserve">Lt: </v>
      </c>
      <c r="C665" s="200" t="s">
        <v>405</v>
      </c>
      <c r="D665" s="182" t="e">
        <f t="shared" ca="1" si="109"/>
        <v>#N/A</v>
      </c>
      <c r="E665" s="183" t="str">
        <f>B665</f>
        <v xml:space="preserve">Lt: </v>
      </c>
      <c r="J665" s="190"/>
    </row>
    <row r="666" spans="1:10" ht="13.35" customHeight="1">
      <c r="A666" s="610" t="str">
        <f t="shared" si="108"/>
        <v xml:space="preserve">  0</v>
      </c>
      <c r="B666" s="610"/>
      <c r="C666" s="200" t="s">
        <v>405</v>
      </c>
      <c r="D666" s="610" t="str">
        <f t="shared" si="109"/>
        <v xml:space="preserve">  0</v>
      </c>
      <c r="E666" s="610"/>
      <c r="J666" s="190"/>
    </row>
    <row r="667" spans="1:10" ht="13.35" customHeight="1">
      <c r="A667" s="609" t="str">
        <f t="shared" si="108"/>
        <v>QFP: JGARCIA   QFV: ADELTORO</v>
      </c>
      <c r="B667" s="609"/>
      <c r="C667" s="200" t="s">
        <v>405</v>
      </c>
      <c r="D667" s="609" t="str">
        <f t="shared" si="109"/>
        <v>QFP: JGARCIA   QFV: ADELTORO</v>
      </c>
      <c r="E667" s="609"/>
      <c r="J667" s="190"/>
    </row>
    <row r="668" spans="1:10" ht="13.35" customHeight="1">
      <c r="A668" s="609" t="str">
        <f t="shared" si="108"/>
        <v>C.JPC/SEXTO NTE/SCOOP   Cama: NA</v>
      </c>
      <c r="B668" s="609"/>
      <c r="C668" s="200" t="s">
        <v>405</v>
      </c>
      <c r="D668" s="609" t="str">
        <f t="shared" si="109"/>
        <v>C.JPC/SEXTO NTE/SCOOP   Cama: NA</v>
      </c>
      <c r="E668" s="609"/>
      <c r="J668" s="190"/>
    </row>
    <row r="669" spans="1:10" ht="13.35" customHeight="1">
      <c r="A669" s="609" t="str">
        <f t="shared" si="108"/>
        <v>UNIDOSSIS S.A.S.</v>
      </c>
      <c r="B669" s="609"/>
      <c r="C669" s="200" t="s">
        <v>405</v>
      </c>
      <c r="D669" s="609" t="str">
        <f t="shared" si="109"/>
        <v>UNIDOSSIS S.A.S.</v>
      </c>
      <c r="E669" s="609"/>
      <c r="J669" s="190"/>
    </row>
    <row r="670" spans="1:10" ht="13.35" customHeight="1">
      <c r="A670" s="199" t="s">
        <v>403</v>
      </c>
      <c r="B670" s="199" t="s">
        <v>403</v>
      </c>
      <c r="C670" s="200" t="s">
        <v>405</v>
      </c>
      <c r="D670" s="199" t="s">
        <v>404</v>
      </c>
      <c r="E670" s="199" t="s">
        <v>403</v>
      </c>
      <c r="J670" s="190"/>
    </row>
    <row r="671" spans="1:10" ht="13.35" customHeight="1">
      <c r="A671" s="610" t="e">
        <f t="shared" si="108"/>
        <v>#N/A</v>
      </c>
      <c r="B671" s="610"/>
      <c r="C671" s="200" t="s">
        <v>405</v>
      </c>
      <c r="D671" s="610" t="e">
        <f t="shared" ref="D671:D677" si="110">A671</f>
        <v>#N/A</v>
      </c>
      <c r="E671" s="610"/>
      <c r="J671" s="190"/>
    </row>
    <row r="672" spans="1:10" ht="13.35" customHeight="1">
      <c r="A672" s="610" t="e">
        <f t="shared" si="108"/>
        <v>#N/A</v>
      </c>
      <c r="B672" s="610"/>
      <c r="C672" s="200" t="s">
        <v>405</v>
      </c>
      <c r="D672" s="610" t="e">
        <f t="shared" si="110"/>
        <v>#N/A</v>
      </c>
      <c r="E672" s="610"/>
      <c r="J672" s="190"/>
    </row>
    <row r="673" spans="1:10" ht="13.35" customHeight="1">
      <c r="A673" s="182" t="e">
        <f t="shared" ca="1" si="108"/>
        <v>#N/A</v>
      </c>
      <c r="B673" s="183" t="str">
        <f>B665</f>
        <v xml:space="preserve">Lt: </v>
      </c>
      <c r="C673" s="200" t="s">
        <v>405</v>
      </c>
      <c r="D673" s="182" t="e">
        <f t="shared" ca="1" si="110"/>
        <v>#N/A</v>
      </c>
      <c r="E673" s="183" t="str">
        <f>B673</f>
        <v xml:space="preserve">Lt: </v>
      </c>
      <c r="J673" s="190"/>
    </row>
    <row r="674" spans="1:10" ht="13.35" customHeight="1">
      <c r="A674" s="610" t="str">
        <f t="shared" si="108"/>
        <v xml:space="preserve">  0</v>
      </c>
      <c r="B674" s="610"/>
      <c r="C674" s="200" t="s">
        <v>405</v>
      </c>
      <c r="D674" s="610" t="str">
        <f t="shared" si="110"/>
        <v xml:space="preserve">  0</v>
      </c>
      <c r="E674" s="610"/>
      <c r="J674" s="190"/>
    </row>
    <row r="675" spans="1:10" ht="13.35" customHeight="1">
      <c r="A675" s="609" t="str">
        <f t="shared" si="108"/>
        <v>QFP: JGARCIA   QFV: ADELTORO</v>
      </c>
      <c r="B675" s="609"/>
      <c r="C675" s="200" t="s">
        <v>405</v>
      </c>
      <c r="D675" s="609" t="str">
        <f t="shared" si="110"/>
        <v>QFP: JGARCIA   QFV: ADELTORO</v>
      </c>
      <c r="E675" s="609"/>
      <c r="J675" s="190"/>
    </row>
    <row r="676" spans="1:10" ht="13.35" customHeight="1">
      <c r="A676" s="609" t="str">
        <f t="shared" si="108"/>
        <v>C.JPC/SEXTO NTE/SCOOP   Cama: NA</v>
      </c>
      <c r="B676" s="609"/>
      <c r="C676" s="200" t="s">
        <v>405</v>
      </c>
      <c r="D676" s="609" t="str">
        <f t="shared" si="110"/>
        <v>C.JPC/SEXTO NTE/SCOOP   Cama: NA</v>
      </c>
      <c r="E676" s="609"/>
      <c r="J676" s="190"/>
    </row>
    <row r="677" spans="1:10" ht="13.35" customHeight="1">
      <c r="A677" s="609" t="str">
        <f t="shared" si="108"/>
        <v>UNIDOSSIS S.A.S.</v>
      </c>
      <c r="B677" s="609"/>
      <c r="C677" s="200" t="s">
        <v>405</v>
      </c>
      <c r="D677" s="609" t="str">
        <f t="shared" si="110"/>
        <v>UNIDOSSIS S.A.S.</v>
      </c>
      <c r="E677" s="609"/>
      <c r="J677" s="190"/>
    </row>
    <row r="678" spans="1:10" ht="13.35" customHeight="1">
      <c r="A678" s="199" t="s">
        <v>403</v>
      </c>
      <c r="B678" s="199" t="s">
        <v>403</v>
      </c>
      <c r="C678" s="200" t="s">
        <v>405</v>
      </c>
      <c r="D678" s="199" t="s">
        <v>404</v>
      </c>
      <c r="E678" s="199" t="s">
        <v>403</v>
      </c>
      <c r="J678" s="190"/>
    </row>
    <row r="679" spans="1:10" ht="13.35" customHeight="1">
      <c r="A679" s="610" t="e">
        <f t="shared" si="108"/>
        <v>#N/A</v>
      </c>
      <c r="B679" s="610"/>
      <c r="C679" s="200" t="s">
        <v>405</v>
      </c>
      <c r="D679" s="610" t="e">
        <f t="shared" ref="D679:D685" si="111">A679</f>
        <v>#N/A</v>
      </c>
      <c r="E679" s="610"/>
      <c r="J679" s="190"/>
    </row>
    <row r="680" spans="1:10" ht="13.35" customHeight="1">
      <c r="A680" s="610" t="e">
        <f t="shared" si="108"/>
        <v>#N/A</v>
      </c>
      <c r="B680" s="610"/>
      <c r="C680" s="200" t="s">
        <v>405</v>
      </c>
      <c r="D680" s="610" t="e">
        <f t="shared" si="111"/>
        <v>#N/A</v>
      </c>
      <c r="E680" s="610"/>
      <c r="J680" s="190"/>
    </row>
    <row r="681" spans="1:10" ht="13.35" customHeight="1">
      <c r="A681" s="182" t="e">
        <f t="shared" ca="1" si="108"/>
        <v>#N/A</v>
      </c>
      <c r="B681" s="183" t="str">
        <f>B673</f>
        <v xml:space="preserve">Lt: </v>
      </c>
      <c r="C681" s="200" t="s">
        <v>405</v>
      </c>
      <c r="D681" s="182" t="e">
        <f t="shared" ca="1" si="111"/>
        <v>#N/A</v>
      </c>
      <c r="E681" s="183" t="str">
        <f>B681</f>
        <v xml:space="preserve">Lt: </v>
      </c>
      <c r="J681" s="190"/>
    </row>
    <row r="682" spans="1:10" ht="13.35" customHeight="1">
      <c r="A682" s="610" t="str">
        <f t="shared" si="108"/>
        <v xml:space="preserve">  0</v>
      </c>
      <c r="B682" s="610"/>
      <c r="C682" s="200" t="s">
        <v>405</v>
      </c>
      <c r="D682" s="610" t="str">
        <f t="shared" si="111"/>
        <v xml:space="preserve">  0</v>
      </c>
      <c r="E682" s="610"/>
      <c r="J682" s="190"/>
    </row>
    <row r="683" spans="1:10" ht="13.35" customHeight="1">
      <c r="A683" s="609" t="str">
        <f t="shared" si="108"/>
        <v>QFP: JGARCIA   QFV: ADELTORO</v>
      </c>
      <c r="B683" s="609"/>
      <c r="C683" s="200" t="s">
        <v>405</v>
      </c>
      <c r="D683" s="609" t="str">
        <f t="shared" si="111"/>
        <v>QFP: JGARCIA   QFV: ADELTORO</v>
      </c>
      <c r="E683" s="609"/>
      <c r="J683" s="190"/>
    </row>
    <row r="684" spans="1:10" ht="13.35" customHeight="1">
      <c r="A684" s="609" t="str">
        <f t="shared" si="108"/>
        <v>C.JPC/SEXTO NTE/SCOOP   Cama: NA</v>
      </c>
      <c r="B684" s="609"/>
      <c r="C684" s="200" t="s">
        <v>405</v>
      </c>
      <c r="D684" s="609" t="str">
        <f t="shared" si="111"/>
        <v>C.JPC/SEXTO NTE/SCOOP   Cama: NA</v>
      </c>
      <c r="E684" s="609"/>
      <c r="J684" s="190"/>
    </row>
    <row r="685" spans="1:10" ht="13.35" customHeight="1">
      <c r="A685" s="609" t="str">
        <f t="shared" si="108"/>
        <v>UNIDOSSIS S.A.S.</v>
      </c>
      <c r="B685" s="609"/>
      <c r="C685" s="200" t="s">
        <v>405</v>
      </c>
      <c r="D685" s="609" t="str">
        <f t="shared" si="111"/>
        <v>UNIDOSSIS S.A.S.</v>
      </c>
      <c r="E685" s="609"/>
      <c r="J685" s="190"/>
    </row>
    <row r="686" spans="1:10" ht="13.35" customHeight="1">
      <c r="A686" s="610" t="e">
        <f>'DATOS ETIQ'!B$24&amp;"  "&amp;'DATOS ETIQ'!C$24&amp;"  "&amp;'DATOS ETIQ'!D$24&amp;'DATOS ETIQ'!Q$24</f>
        <v>#N/A</v>
      </c>
      <c r="B686" s="610"/>
      <c r="C686" s="200" t="s">
        <v>405</v>
      </c>
      <c r="D686" s="610" t="e">
        <f t="shared" ref="D686:D692" si="112">A686</f>
        <v>#N/A</v>
      </c>
      <c r="E686" s="610"/>
      <c r="J686" s="190"/>
    </row>
    <row r="687" spans="1:10" ht="13.35" customHeight="1" thickBot="1">
      <c r="A687" s="610" t="e">
        <f>IF('DATOS ETIQ'!P$24=1,"Do: "&amp;'DATOS ETIQ'!F$24&amp;"mg   VolDo: "&amp;'DATOS ETIQ'!G$24&amp;"mL","Dilución 1/"&amp;'DATOS ETIQ'!P$24&amp;"  "&amp;'DATOS ETIQ'!E$24&amp;"mg/mL   Do: "&amp;'DATOS ETIQ'!F$24&amp;"mg   VolDo: "&amp;'DATOS ETIQ'!G$24&amp;"mL")</f>
        <v>#N/A</v>
      </c>
      <c r="B687" s="610"/>
      <c r="C687" s="200" t="s">
        <v>405</v>
      </c>
      <c r="D687" s="610" t="e">
        <f t="shared" si="112"/>
        <v>#N/A</v>
      </c>
      <c r="E687" s="610"/>
      <c r="J687" s="190"/>
    </row>
    <row r="688" spans="1:10" ht="13.35" customHeight="1">
      <c r="A688" s="182" t="e">
        <f ca="1">'DATOS ETIQ'!H$24</f>
        <v>#N/A</v>
      </c>
      <c r="B688" s="183" t="str">
        <f>"Lt: "&amp;'DATOS ETIQ'!I$24</f>
        <v xml:space="preserve">Lt: </v>
      </c>
      <c r="C688" s="200" t="s">
        <v>405</v>
      </c>
      <c r="D688" s="182" t="e">
        <f t="shared" ca="1" si="112"/>
        <v>#N/A</v>
      </c>
      <c r="E688" s="183" t="str">
        <f>B688</f>
        <v xml:space="preserve">Lt: </v>
      </c>
      <c r="G688" s="611" t="e">
        <f>'FR PD 001 V1'!T28/4</f>
        <v>#N/A</v>
      </c>
      <c r="J688" s="611">
        <v>23</v>
      </c>
    </row>
    <row r="689" spans="1:10" ht="13.35" customHeight="1" thickBot="1">
      <c r="A689" s="610" t="str">
        <f>'DATOS ETIQ'!J$24&amp;"  "&amp;'DATOS ETIQ'!K$24</f>
        <v xml:space="preserve">  0</v>
      </c>
      <c r="B689" s="610"/>
      <c r="C689" s="200" t="s">
        <v>405</v>
      </c>
      <c r="D689" s="610" t="str">
        <f t="shared" si="112"/>
        <v xml:space="preserve">  0</v>
      </c>
      <c r="E689" s="610"/>
      <c r="G689" s="612"/>
      <c r="J689" s="612"/>
    </row>
    <row r="690" spans="1:10" ht="13.35" customHeight="1">
      <c r="A690" s="609" t="str">
        <f>"QFP: "&amp;'DATOS ETIQ'!L$24&amp;"   QFV: "&amp;'DATOS ETIQ'!M$24</f>
        <v>QFP: JGARCIA   QFV: ADELTORO</v>
      </c>
      <c r="B690" s="609"/>
      <c r="C690" s="200" t="s">
        <v>405</v>
      </c>
      <c r="D690" s="609" t="str">
        <f t="shared" si="112"/>
        <v>QFP: JGARCIA   QFV: ADELTORO</v>
      </c>
      <c r="E690" s="609"/>
      <c r="J690" s="190"/>
    </row>
    <row r="691" spans="1:10" ht="13.35" customHeight="1">
      <c r="A691" s="609" t="str">
        <f>'DATOS ETIQ'!N$24&amp;"   Cama: "&amp;'DATOS ETIQ'!O$24</f>
        <v>C.JPC/SEXTO NTE/SCOOP   Cama: NA</v>
      </c>
      <c r="B691" s="609"/>
      <c r="C691" s="200" t="s">
        <v>405</v>
      </c>
      <c r="D691" s="609" t="str">
        <f t="shared" si="112"/>
        <v>C.JPC/SEXTO NTE/SCOOP   Cama: NA</v>
      </c>
      <c r="E691" s="609"/>
      <c r="J691" s="190"/>
    </row>
    <row r="692" spans="1:10" ht="13.35" customHeight="1">
      <c r="A692" s="609" t="s">
        <v>167</v>
      </c>
      <c r="B692" s="609"/>
      <c r="C692" s="200" t="s">
        <v>405</v>
      </c>
      <c r="D692" s="609" t="str">
        <f t="shared" si="112"/>
        <v>UNIDOSSIS S.A.S.</v>
      </c>
      <c r="E692" s="609"/>
      <c r="J692" s="190"/>
    </row>
    <row r="693" spans="1:10" ht="13.35" customHeight="1">
      <c r="A693" s="199" t="s">
        <v>403</v>
      </c>
      <c r="B693" s="199" t="s">
        <v>403</v>
      </c>
      <c r="C693" s="200" t="s">
        <v>405</v>
      </c>
      <c r="D693" s="199" t="s">
        <v>404</v>
      </c>
      <c r="E693" s="199" t="s">
        <v>403</v>
      </c>
      <c r="J693" s="190"/>
    </row>
    <row r="694" spans="1:10" ht="13.35" customHeight="1">
      <c r="A694" s="610" t="e">
        <f t="shared" ref="A694:A716" si="113">A686</f>
        <v>#N/A</v>
      </c>
      <c r="B694" s="610"/>
      <c r="C694" s="200" t="s">
        <v>405</v>
      </c>
      <c r="D694" s="610" t="e">
        <f t="shared" ref="D694:D700" si="114">A694</f>
        <v>#N/A</v>
      </c>
      <c r="E694" s="610"/>
      <c r="J694" s="190"/>
    </row>
    <row r="695" spans="1:10" ht="13.35" customHeight="1">
      <c r="A695" s="610" t="e">
        <f t="shared" si="113"/>
        <v>#N/A</v>
      </c>
      <c r="B695" s="610"/>
      <c r="C695" s="200" t="s">
        <v>405</v>
      </c>
      <c r="D695" s="610" t="e">
        <f t="shared" si="114"/>
        <v>#N/A</v>
      </c>
      <c r="E695" s="610"/>
      <c r="J695" s="190"/>
    </row>
    <row r="696" spans="1:10" ht="13.35" customHeight="1">
      <c r="A696" s="182" t="e">
        <f t="shared" ca="1" si="113"/>
        <v>#N/A</v>
      </c>
      <c r="B696" s="183" t="str">
        <f>B688</f>
        <v xml:space="preserve">Lt: </v>
      </c>
      <c r="C696" s="200" t="s">
        <v>405</v>
      </c>
      <c r="D696" s="182" t="e">
        <f t="shared" ca="1" si="114"/>
        <v>#N/A</v>
      </c>
      <c r="E696" s="183" t="str">
        <f>B696</f>
        <v xml:space="preserve">Lt: </v>
      </c>
      <c r="J696" s="190"/>
    </row>
    <row r="697" spans="1:10" ht="13.35" customHeight="1">
      <c r="A697" s="610" t="str">
        <f t="shared" si="113"/>
        <v xml:space="preserve">  0</v>
      </c>
      <c r="B697" s="610"/>
      <c r="C697" s="200" t="s">
        <v>405</v>
      </c>
      <c r="D697" s="610" t="str">
        <f t="shared" si="114"/>
        <v xml:space="preserve">  0</v>
      </c>
      <c r="E697" s="610"/>
      <c r="J697" s="190"/>
    </row>
    <row r="698" spans="1:10" ht="13.35" customHeight="1">
      <c r="A698" s="609" t="str">
        <f t="shared" si="113"/>
        <v>QFP: JGARCIA   QFV: ADELTORO</v>
      </c>
      <c r="B698" s="609"/>
      <c r="C698" s="200" t="s">
        <v>405</v>
      </c>
      <c r="D698" s="609" t="str">
        <f t="shared" si="114"/>
        <v>QFP: JGARCIA   QFV: ADELTORO</v>
      </c>
      <c r="E698" s="609"/>
      <c r="J698" s="190"/>
    </row>
    <row r="699" spans="1:10" ht="13.35" customHeight="1">
      <c r="A699" s="609" t="str">
        <f t="shared" si="113"/>
        <v>C.JPC/SEXTO NTE/SCOOP   Cama: NA</v>
      </c>
      <c r="B699" s="609"/>
      <c r="C699" s="200" t="s">
        <v>405</v>
      </c>
      <c r="D699" s="609" t="str">
        <f t="shared" si="114"/>
        <v>C.JPC/SEXTO NTE/SCOOP   Cama: NA</v>
      </c>
      <c r="E699" s="609"/>
      <c r="J699" s="190"/>
    </row>
    <row r="700" spans="1:10" ht="13.35" customHeight="1">
      <c r="A700" s="609" t="str">
        <f t="shared" si="113"/>
        <v>UNIDOSSIS S.A.S.</v>
      </c>
      <c r="B700" s="609"/>
      <c r="C700" s="200" t="s">
        <v>405</v>
      </c>
      <c r="D700" s="609" t="str">
        <f t="shared" si="114"/>
        <v>UNIDOSSIS S.A.S.</v>
      </c>
      <c r="E700" s="609"/>
      <c r="J700" s="190"/>
    </row>
    <row r="701" spans="1:10" ht="13.35" customHeight="1">
      <c r="A701" s="199" t="s">
        <v>403</v>
      </c>
      <c r="B701" s="199" t="s">
        <v>403</v>
      </c>
      <c r="C701" s="200" t="s">
        <v>405</v>
      </c>
      <c r="D701" s="199" t="s">
        <v>404</v>
      </c>
      <c r="E701" s="199" t="s">
        <v>403</v>
      </c>
      <c r="J701" s="190"/>
    </row>
    <row r="702" spans="1:10" ht="13.35" customHeight="1">
      <c r="A702" s="610" t="e">
        <f t="shared" si="113"/>
        <v>#N/A</v>
      </c>
      <c r="B702" s="610"/>
      <c r="C702" s="200" t="s">
        <v>405</v>
      </c>
      <c r="D702" s="610" t="e">
        <f t="shared" ref="D702:D708" si="115">A702</f>
        <v>#N/A</v>
      </c>
      <c r="E702" s="610"/>
      <c r="J702" s="190"/>
    </row>
    <row r="703" spans="1:10" ht="13.35" customHeight="1">
      <c r="A703" s="610" t="e">
        <f t="shared" si="113"/>
        <v>#N/A</v>
      </c>
      <c r="B703" s="610"/>
      <c r="C703" s="200" t="s">
        <v>405</v>
      </c>
      <c r="D703" s="610" t="e">
        <f t="shared" si="115"/>
        <v>#N/A</v>
      </c>
      <c r="E703" s="610"/>
      <c r="J703" s="190"/>
    </row>
    <row r="704" spans="1:10" ht="13.35" customHeight="1">
      <c r="A704" s="182" t="e">
        <f t="shared" ca="1" si="113"/>
        <v>#N/A</v>
      </c>
      <c r="B704" s="183" t="str">
        <f>B696</f>
        <v xml:space="preserve">Lt: </v>
      </c>
      <c r="C704" s="200" t="s">
        <v>405</v>
      </c>
      <c r="D704" s="182" t="e">
        <f t="shared" ca="1" si="115"/>
        <v>#N/A</v>
      </c>
      <c r="E704" s="183" t="str">
        <f>B704</f>
        <v xml:space="preserve">Lt: </v>
      </c>
      <c r="J704" s="190"/>
    </row>
    <row r="705" spans="1:10" ht="13.35" customHeight="1">
      <c r="A705" s="610" t="str">
        <f t="shared" si="113"/>
        <v xml:space="preserve">  0</v>
      </c>
      <c r="B705" s="610"/>
      <c r="C705" s="200" t="s">
        <v>405</v>
      </c>
      <c r="D705" s="610" t="str">
        <f t="shared" si="115"/>
        <v xml:space="preserve">  0</v>
      </c>
      <c r="E705" s="610"/>
      <c r="J705" s="190"/>
    </row>
    <row r="706" spans="1:10" ht="13.35" customHeight="1">
      <c r="A706" s="609" t="str">
        <f t="shared" si="113"/>
        <v>QFP: JGARCIA   QFV: ADELTORO</v>
      </c>
      <c r="B706" s="609"/>
      <c r="C706" s="200" t="s">
        <v>405</v>
      </c>
      <c r="D706" s="609" t="str">
        <f t="shared" si="115"/>
        <v>QFP: JGARCIA   QFV: ADELTORO</v>
      </c>
      <c r="E706" s="609"/>
      <c r="J706" s="190"/>
    </row>
    <row r="707" spans="1:10" ht="13.35" customHeight="1">
      <c r="A707" s="609" t="str">
        <f t="shared" si="113"/>
        <v>C.JPC/SEXTO NTE/SCOOP   Cama: NA</v>
      </c>
      <c r="B707" s="609"/>
      <c r="C707" s="200" t="s">
        <v>405</v>
      </c>
      <c r="D707" s="609" t="str">
        <f t="shared" si="115"/>
        <v>C.JPC/SEXTO NTE/SCOOP   Cama: NA</v>
      </c>
      <c r="E707" s="609"/>
      <c r="J707" s="190"/>
    </row>
    <row r="708" spans="1:10" ht="13.35" customHeight="1">
      <c r="A708" s="609" t="str">
        <f t="shared" si="113"/>
        <v>UNIDOSSIS S.A.S.</v>
      </c>
      <c r="B708" s="609"/>
      <c r="C708" s="200" t="s">
        <v>405</v>
      </c>
      <c r="D708" s="609" t="str">
        <f t="shared" si="115"/>
        <v>UNIDOSSIS S.A.S.</v>
      </c>
      <c r="E708" s="609"/>
      <c r="J708" s="190"/>
    </row>
    <row r="709" spans="1:10" ht="13.35" customHeight="1">
      <c r="A709" s="199" t="s">
        <v>403</v>
      </c>
      <c r="B709" s="199" t="s">
        <v>403</v>
      </c>
      <c r="C709" s="200" t="s">
        <v>405</v>
      </c>
      <c r="D709" s="199" t="s">
        <v>404</v>
      </c>
      <c r="E709" s="199" t="s">
        <v>403</v>
      </c>
      <c r="J709" s="190"/>
    </row>
    <row r="710" spans="1:10" ht="13.35" customHeight="1">
      <c r="A710" s="610" t="e">
        <f t="shared" si="113"/>
        <v>#N/A</v>
      </c>
      <c r="B710" s="610"/>
      <c r="C710" s="200" t="s">
        <v>405</v>
      </c>
      <c r="D710" s="610" t="e">
        <f t="shared" ref="D710:D716" si="116">A710</f>
        <v>#N/A</v>
      </c>
      <c r="E710" s="610"/>
      <c r="J710" s="190"/>
    </row>
    <row r="711" spans="1:10" ht="13.35" customHeight="1">
      <c r="A711" s="610" t="e">
        <f t="shared" si="113"/>
        <v>#N/A</v>
      </c>
      <c r="B711" s="610"/>
      <c r="C711" s="200" t="s">
        <v>405</v>
      </c>
      <c r="D711" s="610" t="e">
        <f t="shared" si="116"/>
        <v>#N/A</v>
      </c>
      <c r="E711" s="610"/>
      <c r="J711" s="190"/>
    </row>
    <row r="712" spans="1:10" ht="13.35" customHeight="1">
      <c r="A712" s="182" t="e">
        <f t="shared" ca="1" si="113"/>
        <v>#N/A</v>
      </c>
      <c r="B712" s="183" t="str">
        <f>B704</f>
        <v xml:space="preserve">Lt: </v>
      </c>
      <c r="C712" s="200" t="s">
        <v>405</v>
      </c>
      <c r="D712" s="182" t="e">
        <f t="shared" ca="1" si="116"/>
        <v>#N/A</v>
      </c>
      <c r="E712" s="183" t="str">
        <f>B712</f>
        <v xml:space="preserve">Lt: </v>
      </c>
      <c r="J712" s="190"/>
    </row>
    <row r="713" spans="1:10" ht="13.35" customHeight="1">
      <c r="A713" s="610" t="str">
        <f t="shared" si="113"/>
        <v xml:space="preserve">  0</v>
      </c>
      <c r="B713" s="610"/>
      <c r="C713" s="200" t="s">
        <v>405</v>
      </c>
      <c r="D713" s="610" t="str">
        <f t="shared" si="116"/>
        <v xml:space="preserve">  0</v>
      </c>
      <c r="E713" s="610"/>
      <c r="J713" s="190"/>
    </row>
    <row r="714" spans="1:10" ht="13.35" customHeight="1">
      <c r="A714" s="609" t="str">
        <f t="shared" si="113"/>
        <v>QFP: JGARCIA   QFV: ADELTORO</v>
      </c>
      <c r="B714" s="609"/>
      <c r="C714" s="200" t="s">
        <v>405</v>
      </c>
      <c r="D714" s="609" t="str">
        <f t="shared" si="116"/>
        <v>QFP: JGARCIA   QFV: ADELTORO</v>
      </c>
      <c r="E714" s="609"/>
      <c r="J714" s="190"/>
    </row>
    <row r="715" spans="1:10" ht="13.35" customHeight="1">
      <c r="A715" s="609" t="str">
        <f t="shared" si="113"/>
        <v>C.JPC/SEXTO NTE/SCOOP   Cama: NA</v>
      </c>
      <c r="B715" s="609"/>
      <c r="C715" s="200" t="s">
        <v>405</v>
      </c>
      <c r="D715" s="609" t="str">
        <f t="shared" si="116"/>
        <v>C.JPC/SEXTO NTE/SCOOP   Cama: NA</v>
      </c>
      <c r="E715" s="609"/>
      <c r="J715" s="190"/>
    </row>
    <row r="716" spans="1:10" ht="13.35" customHeight="1">
      <c r="A716" s="609" t="str">
        <f t="shared" si="113"/>
        <v>UNIDOSSIS S.A.S.</v>
      </c>
      <c r="B716" s="609"/>
      <c r="C716" s="200" t="s">
        <v>405</v>
      </c>
      <c r="D716" s="609" t="str">
        <f t="shared" si="116"/>
        <v>UNIDOSSIS S.A.S.</v>
      </c>
      <c r="E716" s="609"/>
      <c r="J716" s="190"/>
    </row>
    <row r="717" spans="1:10" ht="13.35" customHeight="1">
      <c r="A717" s="610" t="e">
        <f>'DATOS ETIQ'!B$25&amp;"  "&amp;'DATOS ETIQ'!C$25&amp;"  "&amp;'DATOS ETIQ'!D$25&amp;'DATOS ETIQ'!Q$25</f>
        <v>#N/A</v>
      </c>
      <c r="B717" s="610"/>
      <c r="C717" s="200" t="s">
        <v>405</v>
      </c>
      <c r="D717" s="610" t="e">
        <f t="shared" ref="D717:D723" si="117">A717</f>
        <v>#N/A</v>
      </c>
      <c r="E717" s="610"/>
      <c r="J717" s="190"/>
    </row>
    <row r="718" spans="1:10" ht="13.35" customHeight="1" thickBot="1">
      <c r="A718" s="610" t="e">
        <f>IF('DATOS ETIQ'!P$25=1,"Do: "&amp;'DATOS ETIQ'!F$25&amp;"mg   VolDo: "&amp;'DATOS ETIQ'!G$25&amp;"mL","Dilución 1/"&amp;'DATOS ETIQ'!P$25&amp;"  "&amp;'DATOS ETIQ'!E$25&amp;"mg/mL   Do: "&amp;'DATOS ETIQ'!F$25&amp;"mg   VolDo: "&amp;'DATOS ETIQ'!G$25&amp;"mL")</f>
        <v>#N/A</v>
      </c>
      <c r="B718" s="610"/>
      <c r="C718" s="200" t="s">
        <v>405</v>
      </c>
      <c r="D718" s="610" t="e">
        <f t="shared" si="117"/>
        <v>#N/A</v>
      </c>
      <c r="E718" s="610"/>
      <c r="J718" s="190"/>
    </row>
    <row r="719" spans="1:10" ht="13.35" customHeight="1">
      <c r="A719" s="182" t="e">
        <f ca="1">'DATOS ETIQ'!H$25</f>
        <v>#N/A</v>
      </c>
      <c r="B719" s="183" t="str">
        <f>"Lt: "&amp;'DATOS ETIQ'!I$25</f>
        <v xml:space="preserve">Lt: </v>
      </c>
      <c r="C719" s="200" t="s">
        <v>405</v>
      </c>
      <c r="D719" s="182" t="e">
        <f t="shared" ca="1" si="117"/>
        <v>#N/A</v>
      </c>
      <c r="E719" s="183" t="str">
        <f>B719</f>
        <v xml:space="preserve">Lt: </v>
      </c>
      <c r="G719" s="611" t="e">
        <f>'FR PD 001 V1'!T29/4</f>
        <v>#N/A</v>
      </c>
      <c r="J719" s="611">
        <v>24</v>
      </c>
    </row>
    <row r="720" spans="1:10" ht="13.35" customHeight="1" thickBot="1">
      <c r="A720" s="610" t="str">
        <f>'DATOS ETIQ'!J$25&amp;"  "&amp;'DATOS ETIQ'!K$25</f>
        <v xml:space="preserve">  0</v>
      </c>
      <c r="B720" s="610"/>
      <c r="C720" s="200" t="s">
        <v>405</v>
      </c>
      <c r="D720" s="610" t="str">
        <f t="shared" si="117"/>
        <v xml:space="preserve">  0</v>
      </c>
      <c r="E720" s="610"/>
      <c r="G720" s="612"/>
      <c r="J720" s="612"/>
    </row>
    <row r="721" spans="1:10" ht="13.35" customHeight="1">
      <c r="A721" s="609" t="str">
        <f>"QFP: "&amp;'DATOS ETIQ'!L$25&amp;"   QFV: "&amp;'DATOS ETIQ'!M$25</f>
        <v>QFP: JGARCIA   QFV: ADELTORO</v>
      </c>
      <c r="B721" s="609"/>
      <c r="C721" s="200" t="s">
        <v>405</v>
      </c>
      <c r="D721" s="609" t="str">
        <f t="shared" si="117"/>
        <v>QFP: JGARCIA   QFV: ADELTORO</v>
      </c>
      <c r="E721" s="609"/>
      <c r="J721" s="190"/>
    </row>
    <row r="722" spans="1:10" ht="13.35" customHeight="1">
      <c r="A722" s="609" t="str">
        <f>'DATOS ETIQ'!N$25&amp;"   Cama: "&amp;'DATOS ETIQ'!O$25</f>
        <v>C.JPC/SEXTO NTE/SCOOP   Cama: NA</v>
      </c>
      <c r="B722" s="609"/>
      <c r="C722" s="200" t="s">
        <v>405</v>
      </c>
      <c r="D722" s="609" t="str">
        <f t="shared" si="117"/>
        <v>C.JPC/SEXTO NTE/SCOOP   Cama: NA</v>
      </c>
      <c r="E722" s="609"/>
      <c r="J722" s="190"/>
    </row>
    <row r="723" spans="1:10" ht="13.35" customHeight="1">
      <c r="A723" s="609" t="s">
        <v>167</v>
      </c>
      <c r="B723" s="609"/>
      <c r="C723" s="200" t="s">
        <v>405</v>
      </c>
      <c r="D723" s="609" t="str">
        <f t="shared" si="117"/>
        <v>UNIDOSSIS S.A.S.</v>
      </c>
      <c r="E723" s="609"/>
      <c r="J723" s="190"/>
    </row>
    <row r="724" spans="1:10" ht="13.35" customHeight="1">
      <c r="A724" s="199" t="s">
        <v>403</v>
      </c>
      <c r="B724" s="199" t="s">
        <v>403</v>
      </c>
      <c r="C724" s="200" t="s">
        <v>405</v>
      </c>
      <c r="D724" s="199" t="s">
        <v>404</v>
      </c>
      <c r="E724" s="199" t="s">
        <v>403</v>
      </c>
      <c r="J724" s="190"/>
    </row>
    <row r="725" spans="1:10" ht="13.35" customHeight="1">
      <c r="A725" s="610" t="e">
        <f t="shared" ref="A725:A747" si="118">A717</f>
        <v>#N/A</v>
      </c>
      <c r="B725" s="610"/>
      <c r="C725" s="200" t="s">
        <v>405</v>
      </c>
      <c r="D725" s="610" t="e">
        <f t="shared" ref="D725:D731" si="119">A725</f>
        <v>#N/A</v>
      </c>
      <c r="E725" s="610"/>
      <c r="J725" s="190"/>
    </row>
    <row r="726" spans="1:10" ht="13.35" customHeight="1">
      <c r="A726" s="610" t="e">
        <f t="shared" si="118"/>
        <v>#N/A</v>
      </c>
      <c r="B726" s="610"/>
      <c r="C726" s="200" t="s">
        <v>405</v>
      </c>
      <c r="D726" s="610" t="e">
        <f t="shared" si="119"/>
        <v>#N/A</v>
      </c>
      <c r="E726" s="610"/>
      <c r="J726" s="190"/>
    </row>
    <row r="727" spans="1:10" ht="13.35" customHeight="1">
      <c r="A727" s="182" t="e">
        <f t="shared" ca="1" si="118"/>
        <v>#N/A</v>
      </c>
      <c r="B727" s="183" t="str">
        <f>B719</f>
        <v xml:space="preserve">Lt: </v>
      </c>
      <c r="C727" s="200" t="s">
        <v>405</v>
      </c>
      <c r="D727" s="182" t="e">
        <f t="shared" ca="1" si="119"/>
        <v>#N/A</v>
      </c>
      <c r="E727" s="183" t="str">
        <f>B727</f>
        <v xml:space="preserve">Lt: </v>
      </c>
      <c r="J727" s="190"/>
    </row>
    <row r="728" spans="1:10" ht="13.35" customHeight="1">
      <c r="A728" s="610" t="str">
        <f t="shared" si="118"/>
        <v xml:space="preserve">  0</v>
      </c>
      <c r="B728" s="610"/>
      <c r="C728" s="200" t="s">
        <v>405</v>
      </c>
      <c r="D728" s="610" t="str">
        <f t="shared" si="119"/>
        <v xml:space="preserve">  0</v>
      </c>
      <c r="E728" s="610"/>
      <c r="J728" s="190"/>
    </row>
    <row r="729" spans="1:10" ht="13.35" customHeight="1">
      <c r="A729" s="609" t="str">
        <f t="shared" si="118"/>
        <v>QFP: JGARCIA   QFV: ADELTORO</v>
      </c>
      <c r="B729" s="609"/>
      <c r="C729" s="200" t="s">
        <v>405</v>
      </c>
      <c r="D729" s="609" t="str">
        <f t="shared" si="119"/>
        <v>QFP: JGARCIA   QFV: ADELTORO</v>
      </c>
      <c r="E729" s="609"/>
      <c r="J729" s="190"/>
    </row>
    <row r="730" spans="1:10" ht="13.35" customHeight="1">
      <c r="A730" s="609" t="str">
        <f t="shared" si="118"/>
        <v>C.JPC/SEXTO NTE/SCOOP   Cama: NA</v>
      </c>
      <c r="B730" s="609"/>
      <c r="C730" s="200" t="s">
        <v>405</v>
      </c>
      <c r="D730" s="609" t="str">
        <f t="shared" si="119"/>
        <v>C.JPC/SEXTO NTE/SCOOP   Cama: NA</v>
      </c>
      <c r="E730" s="609"/>
      <c r="J730" s="190"/>
    </row>
    <row r="731" spans="1:10" ht="13.35" customHeight="1">
      <c r="A731" s="609" t="str">
        <f t="shared" si="118"/>
        <v>UNIDOSSIS S.A.S.</v>
      </c>
      <c r="B731" s="609"/>
      <c r="C731" s="200" t="s">
        <v>405</v>
      </c>
      <c r="D731" s="609" t="str">
        <f t="shared" si="119"/>
        <v>UNIDOSSIS S.A.S.</v>
      </c>
      <c r="E731" s="609"/>
      <c r="J731" s="190"/>
    </row>
    <row r="732" spans="1:10" ht="13.35" customHeight="1">
      <c r="A732" s="199" t="s">
        <v>403</v>
      </c>
      <c r="B732" s="199" t="s">
        <v>403</v>
      </c>
      <c r="C732" s="200" t="s">
        <v>405</v>
      </c>
      <c r="D732" s="199" t="s">
        <v>404</v>
      </c>
      <c r="E732" s="199" t="s">
        <v>403</v>
      </c>
      <c r="J732" s="190"/>
    </row>
    <row r="733" spans="1:10" ht="13.35" customHeight="1">
      <c r="A733" s="610" t="e">
        <f t="shared" si="118"/>
        <v>#N/A</v>
      </c>
      <c r="B733" s="610"/>
      <c r="C733" s="200" t="s">
        <v>405</v>
      </c>
      <c r="D733" s="610" t="e">
        <f t="shared" ref="D733:D739" si="120">A733</f>
        <v>#N/A</v>
      </c>
      <c r="E733" s="610"/>
      <c r="J733" s="190"/>
    </row>
    <row r="734" spans="1:10" ht="13.35" customHeight="1">
      <c r="A734" s="610" t="e">
        <f t="shared" si="118"/>
        <v>#N/A</v>
      </c>
      <c r="B734" s="610"/>
      <c r="C734" s="200" t="s">
        <v>405</v>
      </c>
      <c r="D734" s="610" t="e">
        <f t="shared" si="120"/>
        <v>#N/A</v>
      </c>
      <c r="E734" s="610"/>
      <c r="J734" s="190"/>
    </row>
    <row r="735" spans="1:10" ht="13.35" customHeight="1">
      <c r="A735" s="182" t="e">
        <f t="shared" ca="1" si="118"/>
        <v>#N/A</v>
      </c>
      <c r="B735" s="183" t="str">
        <f>B727</f>
        <v xml:space="preserve">Lt: </v>
      </c>
      <c r="C735" s="200" t="s">
        <v>405</v>
      </c>
      <c r="D735" s="182" t="e">
        <f t="shared" ca="1" si="120"/>
        <v>#N/A</v>
      </c>
      <c r="E735" s="183" t="str">
        <f>B735</f>
        <v xml:space="preserve">Lt: </v>
      </c>
      <c r="J735" s="190"/>
    </row>
    <row r="736" spans="1:10" ht="13.35" customHeight="1">
      <c r="A736" s="610" t="str">
        <f t="shared" si="118"/>
        <v xml:space="preserve">  0</v>
      </c>
      <c r="B736" s="610"/>
      <c r="C736" s="200" t="s">
        <v>405</v>
      </c>
      <c r="D736" s="610" t="str">
        <f t="shared" si="120"/>
        <v xml:space="preserve">  0</v>
      </c>
      <c r="E736" s="610"/>
      <c r="J736" s="190"/>
    </row>
    <row r="737" spans="1:10" ht="13.35" customHeight="1">
      <c r="A737" s="609" t="str">
        <f t="shared" si="118"/>
        <v>QFP: JGARCIA   QFV: ADELTORO</v>
      </c>
      <c r="B737" s="609"/>
      <c r="C737" s="200" t="s">
        <v>405</v>
      </c>
      <c r="D737" s="609" t="str">
        <f t="shared" si="120"/>
        <v>QFP: JGARCIA   QFV: ADELTORO</v>
      </c>
      <c r="E737" s="609"/>
      <c r="J737" s="190"/>
    </row>
    <row r="738" spans="1:10" ht="13.35" customHeight="1">
      <c r="A738" s="609" t="str">
        <f t="shared" si="118"/>
        <v>C.JPC/SEXTO NTE/SCOOP   Cama: NA</v>
      </c>
      <c r="B738" s="609"/>
      <c r="C738" s="200" t="s">
        <v>405</v>
      </c>
      <c r="D738" s="609" t="str">
        <f t="shared" si="120"/>
        <v>C.JPC/SEXTO NTE/SCOOP   Cama: NA</v>
      </c>
      <c r="E738" s="609"/>
      <c r="J738" s="190"/>
    </row>
    <row r="739" spans="1:10" ht="13.35" customHeight="1">
      <c r="A739" s="609" t="str">
        <f t="shared" si="118"/>
        <v>UNIDOSSIS S.A.S.</v>
      </c>
      <c r="B739" s="609"/>
      <c r="C739" s="200" t="s">
        <v>405</v>
      </c>
      <c r="D739" s="609" t="str">
        <f t="shared" si="120"/>
        <v>UNIDOSSIS S.A.S.</v>
      </c>
      <c r="E739" s="609"/>
      <c r="J739" s="190"/>
    </row>
    <row r="740" spans="1:10" ht="13.35" customHeight="1">
      <c r="A740" s="199" t="s">
        <v>403</v>
      </c>
      <c r="B740" s="199" t="s">
        <v>403</v>
      </c>
      <c r="C740" s="200" t="s">
        <v>405</v>
      </c>
      <c r="D740" s="199" t="s">
        <v>404</v>
      </c>
      <c r="E740" s="199" t="s">
        <v>403</v>
      </c>
      <c r="J740" s="190"/>
    </row>
    <row r="741" spans="1:10" ht="13.35" customHeight="1">
      <c r="A741" s="610" t="e">
        <f t="shared" si="118"/>
        <v>#N/A</v>
      </c>
      <c r="B741" s="610"/>
      <c r="C741" s="200" t="s">
        <v>405</v>
      </c>
      <c r="D741" s="610" t="e">
        <f t="shared" ref="D741:D747" si="121">A741</f>
        <v>#N/A</v>
      </c>
      <c r="E741" s="610"/>
      <c r="J741" s="190"/>
    </row>
    <row r="742" spans="1:10" ht="13.35" customHeight="1">
      <c r="A742" s="610" t="e">
        <f t="shared" si="118"/>
        <v>#N/A</v>
      </c>
      <c r="B742" s="610"/>
      <c r="C742" s="200" t="s">
        <v>405</v>
      </c>
      <c r="D742" s="610" t="e">
        <f t="shared" si="121"/>
        <v>#N/A</v>
      </c>
      <c r="E742" s="610"/>
      <c r="J742" s="190"/>
    </row>
    <row r="743" spans="1:10" ht="13.35" customHeight="1">
      <c r="A743" s="182" t="e">
        <f t="shared" ca="1" si="118"/>
        <v>#N/A</v>
      </c>
      <c r="B743" s="183" t="str">
        <f>B735</f>
        <v xml:space="preserve">Lt: </v>
      </c>
      <c r="C743" s="200" t="s">
        <v>405</v>
      </c>
      <c r="D743" s="182" t="e">
        <f t="shared" ca="1" si="121"/>
        <v>#N/A</v>
      </c>
      <c r="E743" s="183" t="str">
        <f>B743</f>
        <v xml:space="preserve">Lt: </v>
      </c>
      <c r="J743" s="190"/>
    </row>
    <row r="744" spans="1:10" ht="13.35" customHeight="1">
      <c r="A744" s="610" t="str">
        <f t="shared" si="118"/>
        <v xml:space="preserve">  0</v>
      </c>
      <c r="B744" s="610"/>
      <c r="C744" s="200" t="s">
        <v>405</v>
      </c>
      <c r="D744" s="610" t="str">
        <f t="shared" si="121"/>
        <v xml:space="preserve">  0</v>
      </c>
      <c r="E744" s="610"/>
      <c r="J744" s="190"/>
    </row>
    <row r="745" spans="1:10" ht="13.35" customHeight="1">
      <c r="A745" s="609" t="str">
        <f t="shared" si="118"/>
        <v>QFP: JGARCIA   QFV: ADELTORO</v>
      </c>
      <c r="B745" s="609"/>
      <c r="C745" s="200" t="s">
        <v>405</v>
      </c>
      <c r="D745" s="609" t="str">
        <f t="shared" si="121"/>
        <v>QFP: JGARCIA   QFV: ADELTORO</v>
      </c>
      <c r="E745" s="609"/>
      <c r="J745" s="190"/>
    </row>
    <row r="746" spans="1:10" ht="13.35" customHeight="1">
      <c r="A746" s="609" t="str">
        <f t="shared" si="118"/>
        <v>C.JPC/SEXTO NTE/SCOOP   Cama: NA</v>
      </c>
      <c r="B746" s="609"/>
      <c r="C746" s="200" t="s">
        <v>405</v>
      </c>
      <c r="D746" s="609" t="str">
        <f t="shared" si="121"/>
        <v>C.JPC/SEXTO NTE/SCOOP   Cama: NA</v>
      </c>
      <c r="E746" s="609"/>
      <c r="J746" s="190"/>
    </row>
    <row r="747" spans="1:10" ht="13.35" customHeight="1">
      <c r="A747" s="609" t="str">
        <f t="shared" si="118"/>
        <v>UNIDOSSIS S.A.S.</v>
      </c>
      <c r="B747" s="609"/>
      <c r="C747" s="200" t="s">
        <v>405</v>
      </c>
      <c r="D747" s="609" t="str">
        <f t="shared" si="121"/>
        <v>UNIDOSSIS S.A.S.</v>
      </c>
      <c r="E747" s="609"/>
      <c r="J747" s="190"/>
    </row>
    <row r="748" spans="1:10" ht="13.35" customHeight="1">
      <c r="A748" s="610" t="e">
        <f>'DATOS ETIQ'!B$26&amp;"  "&amp;'DATOS ETIQ'!C$26&amp;"  "&amp;'DATOS ETIQ'!D$26&amp;'DATOS ETIQ'!Q$26</f>
        <v>#N/A</v>
      </c>
      <c r="B748" s="610"/>
      <c r="C748" s="200" t="s">
        <v>405</v>
      </c>
      <c r="D748" s="610" t="e">
        <f t="shared" ref="D748:D754" si="122">A748</f>
        <v>#N/A</v>
      </c>
      <c r="E748" s="610"/>
      <c r="J748" s="190"/>
    </row>
    <row r="749" spans="1:10" ht="13.35" customHeight="1" thickBot="1">
      <c r="A749" s="610" t="e">
        <f>IF('DATOS ETIQ'!P$26=1,"Do: "&amp;'DATOS ETIQ'!F$26&amp;"mg   VolDo: "&amp;'DATOS ETIQ'!G$26&amp;"mL","Dilución 1/"&amp;'DATOS ETIQ'!P$26&amp;"  "&amp;'DATOS ETIQ'!E$26&amp;"mg/mL   Do: "&amp;'DATOS ETIQ'!F$26&amp;"mg   VolDo: "&amp;'DATOS ETIQ'!G$26&amp;"mL")</f>
        <v>#N/A</v>
      </c>
      <c r="B749" s="610"/>
      <c r="C749" s="200" t="s">
        <v>405</v>
      </c>
      <c r="D749" s="610" t="e">
        <f t="shared" si="122"/>
        <v>#N/A</v>
      </c>
      <c r="E749" s="610"/>
      <c r="J749" s="190"/>
    </row>
    <row r="750" spans="1:10" ht="13.35" customHeight="1">
      <c r="A750" s="182" t="e">
        <f ca="1">'DATOS ETIQ'!H$26</f>
        <v>#N/A</v>
      </c>
      <c r="B750" s="183" t="str">
        <f>"Lt: "&amp;'DATOS ETIQ'!I$26</f>
        <v xml:space="preserve">Lt: </v>
      </c>
      <c r="C750" s="200" t="s">
        <v>405</v>
      </c>
      <c r="D750" s="182" t="e">
        <f t="shared" ca="1" si="122"/>
        <v>#N/A</v>
      </c>
      <c r="E750" s="183" t="str">
        <f>B750</f>
        <v xml:space="preserve">Lt: </v>
      </c>
      <c r="G750" s="611" t="e">
        <f>'FR PD 001 V1'!T30/4</f>
        <v>#N/A</v>
      </c>
      <c r="J750" s="611">
        <v>25</v>
      </c>
    </row>
    <row r="751" spans="1:10" ht="13.35" customHeight="1" thickBot="1">
      <c r="A751" s="610" t="str">
        <f>'DATOS ETIQ'!J$26&amp;"  "&amp;'DATOS ETIQ'!K$26</f>
        <v xml:space="preserve">  0</v>
      </c>
      <c r="B751" s="610"/>
      <c r="C751" s="200" t="s">
        <v>405</v>
      </c>
      <c r="D751" s="610" t="str">
        <f t="shared" si="122"/>
        <v xml:space="preserve">  0</v>
      </c>
      <c r="E751" s="610"/>
      <c r="G751" s="612"/>
      <c r="J751" s="612"/>
    </row>
    <row r="752" spans="1:10" ht="13.35" customHeight="1">
      <c r="A752" s="609" t="str">
        <f>"QFP: "&amp;'DATOS ETIQ'!L$26&amp;"   QFV: "&amp;'DATOS ETIQ'!M$26</f>
        <v>QFP: JGARCIA   QFV: ADELTORO</v>
      </c>
      <c r="B752" s="609"/>
      <c r="C752" s="200" t="s">
        <v>405</v>
      </c>
      <c r="D752" s="609" t="str">
        <f t="shared" si="122"/>
        <v>QFP: JGARCIA   QFV: ADELTORO</v>
      </c>
      <c r="E752" s="609"/>
      <c r="J752" s="190"/>
    </row>
    <row r="753" spans="1:10" ht="13.35" customHeight="1">
      <c r="A753" s="609" t="str">
        <f>'DATOS ETIQ'!N$26&amp;"   Cama: "&amp;'DATOS ETIQ'!O$26</f>
        <v>C.JPC/SEXTO NTE/SCOOP   Cama: NA</v>
      </c>
      <c r="B753" s="609"/>
      <c r="C753" s="200" t="s">
        <v>405</v>
      </c>
      <c r="D753" s="609" t="str">
        <f t="shared" si="122"/>
        <v>C.JPC/SEXTO NTE/SCOOP   Cama: NA</v>
      </c>
      <c r="E753" s="609"/>
      <c r="J753" s="190"/>
    </row>
    <row r="754" spans="1:10" ht="13.35" customHeight="1">
      <c r="A754" s="609" t="s">
        <v>167</v>
      </c>
      <c r="B754" s="609"/>
      <c r="C754" s="200" t="s">
        <v>405</v>
      </c>
      <c r="D754" s="609" t="str">
        <f t="shared" si="122"/>
        <v>UNIDOSSIS S.A.S.</v>
      </c>
      <c r="E754" s="609"/>
      <c r="J754" s="190"/>
    </row>
    <row r="755" spans="1:10" ht="13.35" customHeight="1">
      <c r="A755" s="199" t="s">
        <v>403</v>
      </c>
      <c r="B755" s="199" t="s">
        <v>403</v>
      </c>
      <c r="C755" s="200" t="s">
        <v>405</v>
      </c>
      <c r="D755" s="199" t="s">
        <v>404</v>
      </c>
      <c r="E755" s="199" t="s">
        <v>403</v>
      </c>
      <c r="J755" s="190"/>
    </row>
    <row r="756" spans="1:10" ht="13.35" customHeight="1">
      <c r="A756" s="610" t="e">
        <f t="shared" ref="A756:A762" si="123">A748</f>
        <v>#N/A</v>
      </c>
      <c r="B756" s="610"/>
      <c r="C756" s="200" t="s">
        <v>405</v>
      </c>
      <c r="D756" s="610" t="e">
        <f t="shared" ref="D756:D762" si="124">A756</f>
        <v>#N/A</v>
      </c>
      <c r="E756" s="610"/>
      <c r="J756" s="190"/>
    </row>
    <row r="757" spans="1:10" ht="13.35" customHeight="1">
      <c r="A757" s="610" t="e">
        <f t="shared" si="123"/>
        <v>#N/A</v>
      </c>
      <c r="B757" s="610"/>
      <c r="C757" s="200" t="s">
        <v>405</v>
      </c>
      <c r="D757" s="610" t="e">
        <f t="shared" si="124"/>
        <v>#N/A</v>
      </c>
      <c r="E757" s="610"/>
      <c r="J757" s="190"/>
    </row>
    <row r="758" spans="1:10" ht="13.35" customHeight="1">
      <c r="A758" s="182" t="e">
        <f t="shared" ca="1" si="123"/>
        <v>#N/A</v>
      </c>
      <c r="B758" s="183" t="str">
        <f>B750</f>
        <v xml:space="preserve">Lt: </v>
      </c>
      <c r="C758" s="200" t="s">
        <v>405</v>
      </c>
      <c r="D758" s="182" t="e">
        <f t="shared" ca="1" si="124"/>
        <v>#N/A</v>
      </c>
      <c r="E758" s="183" t="str">
        <f>B758</f>
        <v xml:space="preserve">Lt: </v>
      </c>
      <c r="J758" s="190"/>
    </row>
    <row r="759" spans="1:10" ht="13.35" customHeight="1">
      <c r="A759" s="610" t="str">
        <f t="shared" si="123"/>
        <v xml:space="preserve">  0</v>
      </c>
      <c r="B759" s="610"/>
      <c r="C759" s="200" t="s">
        <v>405</v>
      </c>
      <c r="D759" s="610" t="str">
        <f t="shared" si="124"/>
        <v xml:space="preserve">  0</v>
      </c>
      <c r="E759" s="610"/>
      <c r="J759" s="190"/>
    </row>
    <row r="760" spans="1:10" ht="13.35" customHeight="1">
      <c r="A760" s="609" t="str">
        <f t="shared" si="123"/>
        <v>QFP: JGARCIA   QFV: ADELTORO</v>
      </c>
      <c r="B760" s="609"/>
      <c r="C760" s="200" t="s">
        <v>405</v>
      </c>
      <c r="D760" s="609" t="str">
        <f t="shared" si="124"/>
        <v>QFP: JGARCIA   QFV: ADELTORO</v>
      </c>
      <c r="E760" s="609"/>
      <c r="J760" s="190"/>
    </row>
    <row r="761" spans="1:10" ht="13.35" customHeight="1">
      <c r="A761" s="609" t="str">
        <f t="shared" si="123"/>
        <v>C.JPC/SEXTO NTE/SCOOP   Cama: NA</v>
      </c>
      <c r="B761" s="609"/>
      <c r="C761" s="200" t="s">
        <v>405</v>
      </c>
      <c r="D761" s="609" t="str">
        <f t="shared" si="124"/>
        <v>C.JPC/SEXTO NTE/SCOOP   Cama: NA</v>
      </c>
      <c r="E761" s="609"/>
      <c r="J761" s="190"/>
    </row>
    <row r="762" spans="1:10" ht="13.35" customHeight="1">
      <c r="A762" s="609" t="str">
        <f t="shared" si="123"/>
        <v>UNIDOSSIS S.A.S.</v>
      </c>
      <c r="B762" s="609"/>
      <c r="C762" s="200" t="s">
        <v>405</v>
      </c>
      <c r="D762" s="609" t="str">
        <f t="shared" si="124"/>
        <v>UNIDOSSIS S.A.S.</v>
      </c>
      <c r="E762" s="609"/>
      <c r="J762" s="190"/>
    </row>
    <row r="763" spans="1:10" ht="13.35" customHeight="1">
      <c r="A763" s="199" t="s">
        <v>403</v>
      </c>
      <c r="B763" s="199" t="s">
        <v>403</v>
      </c>
      <c r="C763" s="200" t="s">
        <v>405</v>
      </c>
      <c r="D763" s="199" t="s">
        <v>404</v>
      </c>
      <c r="E763" s="199" t="s">
        <v>403</v>
      </c>
      <c r="J763" s="190"/>
    </row>
    <row r="764" spans="1:10" ht="13.35" customHeight="1">
      <c r="A764" s="610" t="e">
        <f t="shared" ref="A764:A770" si="125">A756</f>
        <v>#N/A</v>
      </c>
      <c r="B764" s="610"/>
      <c r="C764" s="200" t="s">
        <v>405</v>
      </c>
      <c r="D764" s="610" t="e">
        <f t="shared" ref="D764:D770" si="126">A764</f>
        <v>#N/A</v>
      </c>
      <c r="E764" s="610"/>
      <c r="J764" s="190"/>
    </row>
    <row r="765" spans="1:10" ht="13.35" customHeight="1">
      <c r="A765" s="610" t="e">
        <f t="shared" si="125"/>
        <v>#N/A</v>
      </c>
      <c r="B765" s="610"/>
      <c r="C765" s="200" t="s">
        <v>405</v>
      </c>
      <c r="D765" s="610" t="e">
        <f t="shared" si="126"/>
        <v>#N/A</v>
      </c>
      <c r="E765" s="610"/>
      <c r="J765" s="190"/>
    </row>
    <row r="766" spans="1:10" ht="13.35" customHeight="1">
      <c r="A766" s="182" t="e">
        <f t="shared" ca="1" si="125"/>
        <v>#N/A</v>
      </c>
      <c r="B766" s="183" t="str">
        <f>B758</f>
        <v xml:space="preserve">Lt: </v>
      </c>
      <c r="C766" s="200" t="s">
        <v>405</v>
      </c>
      <c r="D766" s="182" t="e">
        <f t="shared" ca="1" si="126"/>
        <v>#N/A</v>
      </c>
      <c r="E766" s="183" t="str">
        <f>B766</f>
        <v xml:space="preserve">Lt: </v>
      </c>
      <c r="J766" s="190"/>
    </row>
    <row r="767" spans="1:10" ht="13.35" customHeight="1">
      <c r="A767" s="610" t="str">
        <f t="shared" si="125"/>
        <v xml:space="preserve">  0</v>
      </c>
      <c r="B767" s="610"/>
      <c r="C767" s="200" t="s">
        <v>405</v>
      </c>
      <c r="D767" s="610" t="str">
        <f t="shared" si="126"/>
        <v xml:space="preserve">  0</v>
      </c>
      <c r="E767" s="610"/>
      <c r="J767" s="190"/>
    </row>
    <row r="768" spans="1:10" ht="13.35" customHeight="1">
      <c r="A768" s="609" t="str">
        <f t="shared" si="125"/>
        <v>QFP: JGARCIA   QFV: ADELTORO</v>
      </c>
      <c r="B768" s="609"/>
      <c r="C768" s="200" t="s">
        <v>405</v>
      </c>
      <c r="D768" s="609" t="str">
        <f t="shared" si="126"/>
        <v>QFP: JGARCIA   QFV: ADELTORO</v>
      </c>
      <c r="E768" s="609"/>
      <c r="J768" s="190"/>
    </row>
    <row r="769" spans="1:10" ht="13.35" customHeight="1">
      <c r="A769" s="609" t="str">
        <f t="shared" si="125"/>
        <v>C.JPC/SEXTO NTE/SCOOP   Cama: NA</v>
      </c>
      <c r="B769" s="609"/>
      <c r="C769" s="200" t="s">
        <v>405</v>
      </c>
      <c r="D769" s="609" t="str">
        <f t="shared" si="126"/>
        <v>C.JPC/SEXTO NTE/SCOOP   Cama: NA</v>
      </c>
      <c r="E769" s="609"/>
      <c r="J769" s="190"/>
    </row>
    <row r="770" spans="1:10" ht="13.35" customHeight="1">
      <c r="A770" s="609" t="str">
        <f t="shared" si="125"/>
        <v>UNIDOSSIS S.A.S.</v>
      </c>
      <c r="B770" s="609"/>
      <c r="C770" s="200" t="s">
        <v>405</v>
      </c>
      <c r="D770" s="609" t="str">
        <f t="shared" si="126"/>
        <v>UNIDOSSIS S.A.S.</v>
      </c>
      <c r="E770" s="609"/>
      <c r="J770" s="190"/>
    </row>
    <row r="771" spans="1:10" ht="13.35" customHeight="1">
      <c r="A771" s="199" t="s">
        <v>403</v>
      </c>
      <c r="B771" s="199" t="s">
        <v>403</v>
      </c>
      <c r="C771" s="200" t="s">
        <v>405</v>
      </c>
      <c r="D771" s="199" t="s">
        <v>404</v>
      </c>
      <c r="E771" s="199" t="s">
        <v>403</v>
      </c>
      <c r="J771" s="190"/>
    </row>
    <row r="772" spans="1:10" ht="13.35" customHeight="1">
      <c r="A772" s="610" t="e">
        <f t="shared" ref="A772:A778" si="127">A764</f>
        <v>#N/A</v>
      </c>
      <c r="B772" s="610"/>
      <c r="C772" s="200" t="s">
        <v>405</v>
      </c>
      <c r="D772" s="610" t="e">
        <f t="shared" ref="D772:D778" si="128">A772</f>
        <v>#N/A</v>
      </c>
      <c r="E772" s="610"/>
      <c r="J772" s="190"/>
    </row>
    <row r="773" spans="1:10" ht="13.35" customHeight="1">
      <c r="A773" s="610" t="e">
        <f t="shared" si="127"/>
        <v>#N/A</v>
      </c>
      <c r="B773" s="610"/>
      <c r="C773" s="200" t="s">
        <v>405</v>
      </c>
      <c r="D773" s="610" t="e">
        <f t="shared" si="128"/>
        <v>#N/A</v>
      </c>
      <c r="E773" s="610"/>
      <c r="J773" s="190"/>
    </row>
    <row r="774" spans="1:10" ht="13.35" customHeight="1">
      <c r="A774" s="182" t="e">
        <f t="shared" ca="1" si="127"/>
        <v>#N/A</v>
      </c>
      <c r="B774" s="183" t="str">
        <f>B766</f>
        <v xml:space="preserve">Lt: </v>
      </c>
      <c r="C774" s="200" t="s">
        <v>405</v>
      </c>
      <c r="D774" s="182" t="e">
        <f t="shared" ca="1" si="128"/>
        <v>#N/A</v>
      </c>
      <c r="E774" s="183" t="str">
        <f>B774</f>
        <v xml:space="preserve">Lt: </v>
      </c>
      <c r="J774" s="190"/>
    </row>
    <row r="775" spans="1:10" ht="13.35" customHeight="1">
      <c r="A775" s="610" t="str">
        <f t="shared" si="127"/>
        <v xml:space="preserve">  0</v>
      </c>
      <c r="B775" s="610"/>
      <c r="C775" s="200" t="s">
        <v>405</v>
      </c>
      <c r="D775" s="610" t="str">
        <f t="shared" si="128"/>
        <v xml:space="preserve">  0</v>
      </c>
      <c r="E775" s="610"/>
      <c r="J775" s="190"/>
    </row>
    <row r="776" spans="1:10" ht="13.35" customHeight="1">
      <c r="A776" s="609" t="str">
        <f t="shared" si="127"/>
        <v>QFP: JGARCIA   QFV: ADELTORO</v>
      </c>
      <c r="B776" s="609"/>
      <c r="C776" s="200" t="s">
        <v>405</v>
      </c>
      <c r="D776" s="609" t="str">
        <f t="shared" si="128"/>
        <v>QFP: JGARCIA   QFV: ADELTORO</v>
      </c>
      <c r="E776" s="609"/>
      <c r="J776" s="190"/>
    </row>
    <row r="777" spans="1:10" ht="13.35" customHeight="1">
      <c r="A777" s="609" t="str">
        <f t="shared" si="127"/>
        <v>C.JPC/SEXTO NTE/SCOOP   Cama: NA</v>
      </c>
      <c r="B777" s="609"/>
      <c r="C777" s="200" t="s">
        <v>405</v>
      </c>
      <c r="D777" s="609" t="str">
        <f t="shared" si="128"/>
        <v>C.JPC/SEXTO NTE/SCOOP   Cama: NA</v>
      </c>
      <c r="E777" s="609"/>
      <c r="J777" s="190"/>
    </row>
    <row r="778" spans="1:10" ht="13.35" customHeight="1">
      <c r="A778" s="609" t="str">
        <f t="shared" si="127"/>
        <v>UNIDOSSIS S.A.S.</v>
      </c>
      <c r="B778" s="609"/>
      <c r="C778" s="200" t="s">
        <v>405</v>
      </c>
      <c r="D778" s="609" t="str">
        <f t="shared" si="128"/>
        <v>UNIDOSSIS S.A.S.</v>
      </c>
      <c r="E778" s="609"/>
      <c r="J778" s="190"/>
    </row>
    <row r="779" spans="1:10" ht="13.35" customHeight="1">
      <c r="A779" s="610" t="e">
        <f>'DATOS ETIQ'!B$27&amp;"  "&amp;'DATOS ETIQ'!C$27&amp;"  "&amp;'DATOS ETIQ'!D$27&amp;'DATOS ETIQ'!Q$27</f>
        <v>#N/A</v>
      </c>
      <c r="B779" s="610"/>
      <c r="C779" s="200" t="s">
        <v>405</v>
      </c>
      <c r="D779" s="610" t="e">
        <f t="shared" ref="D779:D785" si="129">A779</f>
        <v>#N/A</v>
      </c>
      <c r="E779" s="610"/>
      <c r="J779" s="190"/>
    </row>
    <row r="780" spans="1:10" ht="13.35" customHeight="1" thickBot="1">
      <c r="A780" s="610" t="e">
        <f>IF('DATOS ETIQ'!P$27=1,"Do: "&amp;'DATOS ETIQ'!F$27&amp;"mg   VolDo: "&amp;'DATOS ETIQ'!G$27&amp;"mL","Dilución 1/"&amp;'DATOS ETIQ'!P$27&amp;"  "&amp;'DATOS ETIQ'!E$27&amp;"mg/mL   Do: "&amp;'DATOS ETIQ'!F$27&amp;"mg   VolDo: "&amp;'DATOS ETIQ'!G$27&amp;"mL")</f>
        <v>#N/A</v>
      </c>
      <c r="B780" s="610"/>
      <c r="C780" s="200" t="s">
        <v>405</v>
      </c>
      <c r="D780" s="610" t="e">
        <f t="shared" si="129"/>
        <v>#N/A</v>
      </c>
      <c r="E780" s="610"/>
      <c r="J780" s="190"/>
    </row>
    <row r="781" spans="1:10" ht="13.35" customHeight="1">
      <c r="A781" s="182" t="e">
        <f ca="1">'DATOS ETIQ'!H$27</f>
        <v>#N/A</v>
      </c>
      <c r="B781" s="183" t="str">
        <f>"Lt: "&amp;'DATOS ETIQ'!I$27</f>
        <v xml:space="preserve">Lt: </v>
      </c>
      <c r="C781" s="200" t="s">
        <v>405</v>
      </c>
      <c r="D781" s="182" t="e">
        <f t="shared" ca="1" si="129"/>
        <v>#N/A</v>
      </c>
      <c r="E781" s="183" t="str">
        <f>B781</f>
        <v xml:space="preserve">Lt: </v>
      </c>
      <c r="G781" s="611" t="e">
        <f>'FR PD 001 V1'!T31/4</f>
        <v>#N/A</v>
      </c>
      <c r="J781" s="611">
        <v>26</v>
      </c>
    </row>
    <row r="782" spans="1:10" ht="13.35" customHeight="1" thickBot="1">
      <c r="A782" s="610" t="str">
        <f>'DATOS ETIQ'!J$27&amp;"  "&amp;'DATOS ETIQ'!K$27</f>
        <v xml:space="preserve">  0</v>
      </c>
      <c r="B782" s="610"/>
      <c r="C782" s="200" t="s">
        <v>405</v>
      </c>
      <c r="D782" s="610" t="str">
        <f t="shared" si="129"/>
        <v xml:space="preserve">  0</v>
      </c>
      <c r="E782" s="610"/>
      <c r="G782" s="612"/>
      <c r="J782" s="612"/>
    </row>
    <row r="783" spans="1:10" ht="13.35" customHeight="1">
      <c r="A783" s="609" t="str">
        <f>"QFP: "&amp;'DATOS ETIQ'!L$27&amp;"   QFV: "&amp;'DATOS ETIQ'!M$27</f>
        <v>QFP: JGARCIA   QFV: ADELTORO</v>
      </c>
      <c r="B783" s="609"/>
      <c r="C783" s="200" t="s">
        <v>405</v>
      </c>
      <c r="D783" s="609" t="str">
        <f t="shared" si="129"/>
        <v>QFP: JGARCIA   QFV: ADELTORO</v>
      </c>
      <c r="E783" s="609"/>
      <c r="J783" s="190"/>
    </row>
    <row r="784" spans="1:10" ht="13.35" customHeight="1">
      <c r="A784" s="609" t="str">
        <f>'DATOS ETIQ'!N$27&amp;"   Cama: "&amp;'DATOS ETIQ'!O$27</f>
        <v>C.JPC/SEXTO NTE/SCOOP   Cama: NA</v>
      </c>
      <c r="B784" s="609"/>
      <c r="C784" s="200" t="s">
        <v>405</v>
      </c>
      <c r="D784" s="609" t="str">
        <f t="shared" si="129"/>
        <v>C.JPC/SEXTO NTE/SCOOP   Cama: NA</v>
      </c>
      <c r="E784" s="609"/>
      <c r="J784" s="190"/>
    </row>
    <row r="785" spans="1:10" ht="13.35" customHeight="1">
      <c r="A785" s="609" t="s">
        <v>167</v>
      </c>
      <c r="B785" s="609"/>
      <c r="C785" s="200" t="s">
        <v>405</v>
      </c>
      <c r="D785" s="609" t="str">
        <f t="shared" si="129"/>
        <v>UNIDOSSIS S.A.S.</v>
      </c>
      <c r="E785" s="609"/>
      <c r="J785" s="190"/>
    </row>
    <row r="786" spans="1:10" ht="13.35" customHeight="1">
      <c r="A786" s="199" t="s">
        <v>403</v>
      </c>
      <c r="B786" s="199" t="s">
        <v>403</v>
      </c>
      <c r="C786" s="200" t="s">
        <v>405</v>
      </c>
      <c r="D786" s="199" t="s">
        <v>404</v>
      </c>
      <c r="E786" s="199" t="s">
        <v>403</v>
      </c>
      <c r="J786" s="190"/>
    </row>
    <row r="787" spans="1:10" ht="13.35" customHeight="1">
      <c r="A787" s="610" t="e">
        <f t="shared" ref="A787:A793" si="130">A779</f>
        <v>#N/A</v>
      </c>
      <c r="B787" s="610"/>
      <c r="C787" s="200" t="s">
        <v>405</v>
      </c>
      <c r="D787" s="610" t="e">
        <f t="shared" ref="D787:D793" si="131">A787</f>
        <v>#N/A</v>
      </c>
      <c r="E787" s="610"/>
      <c r="J787" s="190"/>
    </row>
    <row r="788" spans="1:10" ht="13.35" customHeight="1">
      <c r="A788" s="610" t="e">
        <f t="shared" si="130"/>
        <v>#N/A</v>
      </c>
      <c r="B788" s="610"/>
      <c r="C788" s="200" t="s">
        <v>405</v>
      </c>
      <c r="D788" s="610" t="e">
        <f t="shared" si="131"/>
        <v>#N/A</v>
      </c>
      <c r="E788" s="610"/>
      <c r="J788" s="190"/>
    </row>
    <row r="789" spans="1:10" ht="13.35" customHeight="1">
      <c r="A789" s="182" t="e">
        <f t="shared" ca="1" si="130"/>
        <v>#N/A</v>
      </c>
      <c r="B789" s="183" t="str">
        <f>B781</f>
        <v xml:space="preserve">Lt: </v>
      </c>
      <c r="C789" s="200" t="s">
        <v>405</v>
      </c>
      <c r="D789" s="182" t="e">
        <f t="shared" ca="1" si="131"/>
        <v>#N/A</v>
      </c>
      <c r="E789" s="183" t="str">
        <f>B789</f>
        <v xml:space="preserve">Lt: </v>
      </c>
      <c r="J789" s="190"/>
    </row>
    <row r="790" spans="1:10" ht="13.35" customHeight="1">
      <c r="A790" s="610" t="str">
        <f t="shared" si="130"/>
        <v xml:space="preserve">  0</v>
      </c>
      <c r="B790" s="610"/>
      <c r="C790" s="200" t="s">
        <v>405</v>
      </c>
      <c r="D790" s="610" t="str">
        <f t="shared" si="131"/>
        <v xml:space="preserve">  0</v>
      </c>
      <c r="E790" s="610"/>
      <c r="J790" s="190"/>
    </row>
    <row r="791" spans="1:10" ht="13.35" customHeight="1">
      <c r="A791" s="609" t="str">
        <f t="shared" si="130"/>
        <v>QFP: JGARCIA   QFV: ADELTORO</v>
      </c>
      <c r="B791" s="609"/>
      <c r="C791" s="200" t="s">
        <v>405</v>
      </c>
      <c r="D791" s="609" t="str">
        <f t="shared" si="131"/>
        <v>QFP: JGARCIA   QFV: ADELTORO</v>
      </c>
      <c r="E791" s="609"/>
      <c r="J791" s="190"/>
    </row>
    <row r="792" spans="1:10" ht="13.35" customHeight="1">
      <c r="A792" s="609" t="str">
        <f t="shared" si="130"/>
        <v>C.JPC/SEXTO NTE/SCOOP   Cama: NA</v>
      </c>
      <c r="B792" s="609"/>
      <c r="C792" s="200" t="s">
        <v>405</v>
      </c>
      <c r="D792" s="609" t="str">
        <f t="shared" si="131"/>
        <v>C.JPC/SEXTO NTE/SCOOP   Cama: NA</v>
      </c>
      <c r="E792" s="609"/>
      <c r="J792" s="190"/>
    </row>
    <row r="793" spans="1:10" ht="13.35" customHeight="1">
      <c r="A793" s="609" t="str">
        <f t="shared" si="130"/>
        <v>UNIDOSSIS S.A.S.</v>
      </c>
      <c r="B793" s="609"/>
      <c r="C793" s="200" t="s">
        <v>405</v>
      </c>
      <c r="D793" s="609" t="str">
        <f t="shared" si="131"/>
        <v>UNIDOSSIS S.A.S.</v>
      </c>
      <c r="E793" s="609"/>
      <c r="J793" s="190"/>
    </row>
    <row r="794" spans="1:10" ht="13.35" customHeight="1">
      <c r="A794" s="199" t="s">
        <v>403</v>
      </c>
      <c r="B794" s="199" t="s">
        <v>403</v>
      </c>
      <c r="C794" s="200" t="s">
        <v>405</v>
      </c>
      <c r="D794" s="199" t="s">
        <v>404</v>
      </c>
      <c r="E794" s="199" t="s">
        <v>403</v>
      </c>
      <c r="J794" s="190"/>
    </row>
    <row r="795" spans="1:10" ht="13.35" customHeight="1">
      <c r="A795" s="610" t="e">
        <f t="shared" ref="A795:A801" si="132">A787</f>
        <v>#N/A</v>
      </c>
      <c r="B795" s="610"/>
      <c r="C795" s="200" t="s">
        <v>405</v>
      </c>
      <c r="D795" s="610" t="e">
        <f t="shared" ref="D795:D801" si="133">A795</f>
        <v>#N/A</v>
      </c>
      <c r="E795" s="610"/>
      <c r="J795" s="190"/>
    </row>
    <row r="796" spans="1:10" ht="13.35" customHeight="1">
      <c r="A796" s="610" t="e">
        <f t="shared" si="132"/>
        <v>#N/A</v>
      </c>
      <c r="B796" s="610"/>
      <c r="C796" s="200" t="s">
        <v>405</v>
      </c>
      <c r="D796" s="610" t="e">
        <f t="shared" si="133"/>
        <v>#N/A</v>
      </c>
      <c r="E796" s="610"/>
      <c r="J796" s="190"/>
    </row>
    <row r="797" spans="1:10" ht="13.35" customHeight="1">
      <c r="A797" s="182" t="e">
        <f t="shared" ca="1" si="132"/>
        <v>#N/A</v>
      </c>
      <c r="B797" s="183" t="str">
        <f>B789</f>
        <v xml:space="preserve">Lt: </v>
      </c>
      <c r="C797" s="200" t="s">
        <v>405</v>
      </c>
      <c r="D797" s="182" t="e">
        <f t="shared" ca="1" si="133"/>
        <v>#N/A</v>
      </c>
      <c r="E797" s="183" t="str">
        <f>B797</f>
        <v xml:space="preserve">Lt: </v>
      </c>
      <c r="J797" s="190"/>
    </row>
    <row r="798" spans="1:10" ht="13.35" customHeight="1">
      <c r="A798" s="610" t="str">
        <f t="shared" si="132"/>
        <v xml:space="preserve">  0</v>
      </c>
      <c r="B798" s="610"/>
      <c r="C798" s="200" t="s">
        <v>405</v>
      </c>
      <c r="D798" s="610" t="str">
        <f t="shared" si="133"/>
        <v xml:space="preserve">  0</v>
      </c>
      <c r="E798" s="610"/>
      <c r="J798" s="190"/>
    </row>
    <row r="799" spans="1:10" ht="13.35" customHeight="1">
      <c r="A799" s="609" t="str">
        <f t="shared" si="132"/>
        <v>QFP: JGARCIA   QFV: ADELTORO</v>
      </c>
      <c r="B799" s="609"/>
      <c r="C799" s="200" t="s">
        <v>405</v>
      </c>
      <c r="D799" s="609" t="str">
        <f t="shared" si="133"/>
        <v>QFP: JGARCIA   QFV: ADELTORO</v>
      </c>
      <c r="E799" s="609"/>
      <c r="J799" s="190"/>
    </row>
    <row r="800" spans="1:10" ht="13.35" customHeight="1">
      <c r="A800" s="609" t="str">
        <f t="shared" si="132"/>
        <v>C.JPC/SEXTO NTE/SCOOP   Cama: NA</v>
      </c>
      <c r="B800" s="609"/>
      <c r="C800" s="200" t="s">
        <v>405</v>
      </c>
      <c r="D800" s="609" t="str">
        <f t="shared" si="133"/>
        <v>C.JPC/SEXTO NTE/SCOOP   Cama: NA</v>
      </c>
      <c r="E800" s="609"/>
      <c r="J800" s="190"/>
    </row>
    <row r="801" spans="1:10" ht="13.35" customHeight="1">
      <c r="A801" s="609" t="str">
        <f t="shared" si="132"/>
        <v>UNIDOSSIS S.A.S.</v>
      </c>
      <c r="B801" s="609"/>
      <c r="C801" s="200" t="s">
        <v>405</v>
      </c>
      <c r="D801" s="609" t="str">
        <f t="shared" si="133"/>
        <v>UNIDOSSIS S.A.S.</v>
      </c>
      <c r="E801" s="609"/>
      <c r="J801" s="190"/>
    </row>
    <row r="802" spans="1:10" ht="13.35" customHeight="1">
      <c r="A802" s="199" t="s">
        <v>403</v>
      </c>
      <c r="B802" s="199" t="s">
        <v>403</v>
      </c>
      <c r="C802" s="200" t="s">
        <v>405</v>
      </c>
      <c r="D802" s="199" t="s">
        <v>404</v>
      </c>
      <c r="E802" s="199" t="s">
        <v>403</v>
      </c>
      <c r="J802" s="190"/>
    </row>
    <row r="803" spans="1:10" ht="13.35" customHeight="1">
      <c r="A803" s="610" t="e">
        <f t="shared" ref="A803:A809" si="134">A795</f>
        <v>#N/A</v>
      </c>
      <c r="B803" s="610"/>
      <c r="C803" s="200" t="s">
        <v>405</v>
      </c>
      <c r="D803" s="610" t="e">
        <f t="shared" ref="D803:D809" si="135">A803</f>
        <v>#N/A</v>
      </c>
      <c r="E803" s="610"/>
      <c r="J803" s="190"/>
    </row>
    <row r="804" spans="1:10" ht="13.35" customHeight="1">
      <c r="A804" s="610" t="e">
        <f t="shared" si="134"/>
        <v>#N/A</v>
      </c>
      <c r="B804" s="610"/>
      <c r="C804" s="200" t="s">
        <v>405</v>
      </c>
      <c r="D804" s="610" t="e">
        <f t="shared" si="135"/>
        <v>#N/A</v>
      </c>
      <c r="E804" s="610"/>
      <c r="J804" s="190"/>
    </row>
    <row r="805" spans="1:10" ht="13.35" customHeight="1">
      <c r="A805" s="182" t="e">
        <f t="shared" ca="1" si="134"/>
        <v>#N/A</v>
      </c>
      <c r="B805" s="183" t="str">
        <f>B797</f>
        <v xml:space="preserve">Lt: </v>
      </c>
      <c r="C805" s="200" t="s">
        <v>405</v>
      </c>
      <c r="D805" s="182" t="e">
        <f t="shared" ca="1" si="135"/>
        <v>#N/A</v>
      </c>
      <c r="E805" s="183" t="str">
        <f>B805</f>
        <v xml:space="preserve">Lt: </v>
      </c>
      <c r="J805" s="190"/>
    </row>
    <row r="806" spans="1:10" ht="13.35" customHeight="1">
      <c r="A806" s="610" t="str">
        <f t="shared" si="134"/>
        <v xml:space="preserve">  0</v>
      </c>
      <c r="B806" s="610"/>
      <c r="C806" s="200" t="s">
        <v>405</v>
      </c>
      <c r="D806" s="610" t="str">
        <f t="shared" si="135"/>
        <v xml:space="preserve">  0</v>
      </c>
      <c r="E806" s="610"/>
      <c r="J806" s="190"/>
    </row>
    <row r="807" spans="1:10" ht="13.35" customHeight="1">
      <c r="A807" s="609" t="str">
        <f t="shared" si="134"/>
        <v>QFP: JGARCIA   QFV: ADELTORO</v>
      </c>
      <c r="B807" s="609"/>
      <c r="C807" s="200" t="s">
        <v>405</v>
      </c>
      <c r="D807" s="609" t="str">
        <f t="shared" si="135"/>
        <v>QFP: JGARCIA   QFV: ADELTORO</v>
      </c>
      <c r="E807" s="609"/>
      <c r="J807" s="190"/>
    </row>
    <row r="808" spans="1:10" ht="13.35" customHeight="1">
      <c r="A808" s="609" t="str">
        <f t="shared" si="134"/>
        <v>C.JPC/SEXTO NTE/SCOOP   Cama: NA</v>
      </c>
      <c r="B808" s="609"/>
      <c r="C808" s="200" t="s">
        <v>405</v>
      </c>
      <c r="D808" s="609" t="str">
        <f t="shared" si="135"/>
        <v>C.JPC/SEXTO NTE/SCOOP   Cama: NA</v>
      </c>
      <c r="E808" s="609"/>
      <c r="J808" s="190"/>
    </row>
    <row r="809" spans="1:10" ht="13.35" customHeight="1">
      <c r="A809" s="609" t="str">
        <f t="shared" si="134"/>
        <v>UNIDOSSIS S.A.S.</v>
      </c>
      <c r="B809" s="609"/>
      <c r="C809" s="200" t="s">
        <v>405</v>
      </c>
      <c r="D809" s="609" t="str">
        <f t="shared" si="135"/>
        <v>UNIDOSSIS S.A.S.</v>
      </c>
      <c r="E809" s="609"/>
      <c r="J809" s="190"/>
    </row>
    <row r="810" spans="1:10" ht="13.35" customHeight="1">
      <c r="A810" s="610" t="e">
        <f>'DATOS ETIQ'!B$28&amp;"  "&amp;'DATOS ETIQ'!C$28&amp;"  "&amp;'DATOS ETIQ'!D$28&amp;'DATOS ETIQ'!Q$28</f>
        <v>#N/A</v>
      </c>
      <c r="B810" s="610"/>
      <c r="C810" s="200" t="s">
        <v>405</v>
      </c>
      <c r="D810" s="610" t="e">
        <f t="shared" ref="D810:D816" si="136">A810</f>
        <v>#N/A</v>
      </c>
      <c r="E810" s="610"/>
      <c r="J810" s="190"/>
    </row>
    <row r="811" spans="1:10" ht="13.35" customHeight="1" thickBot="1">
      <c r="A811" s="610" t="e">
        <f>IF('DATOS ETIQ'!P$28=1,"Do: "&amp;'DATOS ETIQ'!F$28&amp;"mg   VolDo: "&amp;'DATOS ETIQ'!G$28&amp;"mL","Dilución 1/"&amp;'DATOS ETIQ'!P$28&amp;"  "&amp;'DATOS ETIQ'!E$28&amp;"mg/mL   Do: "&amp;'DATOS ETIQ'!F$28&amp;"mg   VolDo: "&amp;'DATOS ETIQ'!G$28&amp;"mL")</f>
        <v>#N/A</v>
      </c>
      <c r="B811" s="610"/>
      <c r="C811" s="200" t="s">
        <v>405</v>
      </c>
      <c r="D811" s="610" t="e">
        <f t="shared" si="136"/>
        <v>#N/A</v>
      </c>
      <c r="E811" s="610"/>
      <c r="J811" s="190"/>
    </row>
    <row r="812" spans="1:10" ht="13.35" customHeight="1">
      <c r="A812" s="182" t="e">
        <f ca="1">'DATOS ETIQ'!H$28</f>
        <v>#N/A</v>
      </c>
      <c r="B812" s="183" t="str">
        <f>"Lt: "&amp;'DATOS ETIQ'!I$28</f>
        <v xml:space="preserve">Lt: </v>
      </c>
      <c r="C812" s="200" t="s">
        <v>405</v>
      </c>
      <c r="D812" s="182" t="e">
        <f t="shared" ca="1" si="136"/>
        <v>#N/A</v>
      </c>
      <c r="E812" s="183" t="str">
        <f>B812</f>
        <v xml:space="preserve">Lt: </v>
      </c>
      <c r="G812" s="611" t="e">
        <f>'FR PD 001 V1'!T32/4</f>
        <v>#N/A</v>
      </c>
      <c r="J812" s="611">
        <v>27</v>
      </c>
    </row>
    <row r="813" spans="1:10" ht="13.35" customHeight="1" thickBot="1">
      <c r="A813" s="610" t="str">
        <f>'DATOS ETIQ'!J$28&amp;"  "&amp;'DATOS ETIQ'!K$28</f>
        <v xml:space="preserve">  0</v>
      </c>
      <c r="B813" s="610"/>
      <c r="C813" s="200" t="s">
        <v>405</v>
      </c>
      <c r="D813" s="610" t="str">
        <f t="shared" si="136"/>
        <v xml:space="preserve">  0</v>
      </c>
      <c r="E813" s="610"/>
      <c r="G813" s="612"/>
      <c r="J813" s="612"/>
    </row>
    <row r="814" spans="1:10" ht="13.35" customHeight="1">
      <c r="A814" s="609" t="str">
        <f>"QFP: "&amp;'DATOS ETIQ'!L$28&amp;"   QFV: "&amp;'DATOS ETIQ'!M$28</f>
        <v>QFP: JGARCIA   QFV: ADELTORO</v>
      </c>
      <c r="B814" s="609"/>
      <c r="C814" s="200" t="s">
        <v>405</v>
      </c>
      <c r="D814" s="609" t="str">
        <f t="shared" si="136"/>
        <v>QFP: JGARCIA   QFV: ADELTORO</v>
      </c>
      <c r="E814" s="609"/>
      <c r="J814" s="190"/>
    </row>
    <row r="815" spans="1:10" ht="13.35" customHeight="1">
      <c r="A815" s="609" t="str">
        <f>'DATOS ETIQ'!N$28&amp;"   Cama: "&amp;'DATOS ETIQ'!O$28</f>
        <v>C.JPC/SEXTO NTE/SCOOP   Cama: NA</v>
      </c>
      <c r="B815" s="609"/>
      <c r="C815" s="200" t="s">
        <v>405</v>
      </c>
      <c r="D815" s="609" t="str">
        <f t="shared" si="136"/>
        <v>C.JPC/SEXTO NTE/SCOOP   Cama: NA</v>
      </c>
      <c r="E815" s="609"/>
      <c r="J815" s="190"/>
    </row>
    <row r="816" spans="1:10" ht="13.35" customHeight="1">
      <c r="A816" s="609" t="s">
        <v>167</v>
      </c>
      <c r="B816" s="609"/>
      <c r="C816" s="200" t="s">
        <v>405</v>
      </c>
      <c r="D816" s="609" t="str">
        <f t="shared" si="136"/>
        <v>UNIDOSSIS S.A.S.</v>
      </c>
      <c r="E816" s="609"/>
      <c r="J816" s="190"/>
    </row>
    <row r="817" spans="1:10" ht="13.35" customHeight="1">
      <c r="A817" s="199" t="s">
        <v>403</v>
      </c>
      <c r="B817" s="199" t="s">
        <v>403</v>
      </c>
      <c r="C817" s="200" t="s">
        <v>405</v>
      </c>
      <c r="D817" s="199" t="s">
        <v>404</v>
      </c>
      <c r="E817" s="199" t="s">
        <v>403</v>
      </c>
      <c r="J817" s="190"/>
    </row>
    <row r="818" spans="1:10" ht="13.35" customHeight="1">
      <c r="A818" s="610" t="e">
        <f t="shared" ref="A818:A824" si="137">A810</f>
        <v>#N/A</v>
      </c>
      <c r="B818" s="610"/>
      <c r="C818" s="200" t="s">
        <v>405</v>
      </c>
      <c r="D818" s="610" t="e">
        <f t="shared" ref="D818:D824" si="138">A818</f>
        <v>#N/A</v>
      </c>
      <c r="E818" s="610"/>
      <c r="J818" s="190"/>
    </row>
    <row r="819" spans="1:10" ht="13.35" customHeight="1">
      <c r="A819" s="610" t="e">
        <f t="shared" si="137"/>
        <v>#N/A</v>
      </c>
      <c r="B819" s="610"/>
      <c r="C819" s="200" t="s">
        <v>405</v>
      </c>
      <c r="D819" s="610" t="e">
        <f t="shared" si="138"/>
        <v>#N/A</v>
      </c>
      <c r="E819" s="610"/>
      <c r="J819" s="190"/>
    </row>
    <row r="820" spans="1:10" ht="13.35" customHeight="1">
      <c r="A820" s="182" t="e">
        <f t="shared" ca="1" si="137"/>
        <v>#N/A</v>
      </c>
      <c r="B820" s="183" t="str">
        <f>B812</f>
        <v xml:space="preserve">Lt: </v>
      </c>
      <c r="C820" s="200" t="s">
        <v>405</v>
      </c>
      <c r="D820" s="182" t="e">
        <f t="shared" ca="1" si="138"/>
        <v>#N/A</v>
      </c>
      <c r="E820" s="183" t="str">
        <f>B820</f>
        <v xml:space="preserve">Lt: </v>
      </c>
      <c r="J820" s="190"/>
    </row>
    <row r="821" spans="1:10" ht="13.35" customHeight="1">
      <c r="A821" s="610" t="str">
        <f t="shared" si="137"/>
        <v xml:space="preserve">  0</v>
      </c>
      <c r="B821" s="610"/>
      <c r="C821" s="200" t="s">
        <v>405</v>
      </c>
      <c r="D821" s="610" t="str">
        <f t="shared" si="138"/>
        <v xml:space="preserve">  0</v>
      </c>
      <c r="E821" s="610"/>
      <c r="J821" s="190"/>
    </row>
    <row r="822" spans="1:10" ht="13.35" customHeight="1">
      <c r="A822" s="609" t="str">
        <f t="shared" si="137"/>
        <v>QFP: JGARCIA   QFV: ADELTORO</v>
      </c>
      <c r="B822" s="609"/>
      <c r="C822" s="200" t="s">
        <v>405</v>
      </c>
      <c r="D822" s="609" t="str">
        <f t="shared" si="138"/>
        <v>QFP: JGARCIA   QFV: ADELTORO</v>
      </c>
      <c r="E822" s="609"/>
      <c r="J822" s="190"/>
    </row>
    <row r="823" spans="1:10" ht="13.35" customHeight="1">
      <c r="A823" s="609" t="str">
        <f t="shared" si="137"/>
        <v>C.JPC/SEXTO NTE/SCOOP   Cama: NA</v>
      </c>
      <c r="B823" s="609"/>
      <c r="C823" s="200" t="s">
        <v>405</v>
      </c>
      <c r="D823" s="609" t="str">
        <f t="shared" si="138"/>
        <v>C.JPC/SEXTO NTE/SCOOP   Cama: NA</v>
      </c>
      <c r="E823" s="609"/>
      <c r="J823" s="190"/>
    </row>
    <row r="824" spans="1:10" ht="13.35" customHeight="1">
      <c r="A824" s="609" t="str">
        <f t="shared" si="137"/>
        <v>UNIDOSSIS S.A.S.</v>
      </c>
      <c r="B824" s="609"/>
      <c r="C824" s="200" t="s">
        <v>405</v>
      </c>
      <c r="D824" s="609" t="str">
        <f t="shared" si="138"/>
        <v>UNIDOSSIS S.A.S.</v>
      </c>
      <c r="E824" s="609"/>
      <c r="J824" s="190"/>
    </row>
    <row r="825" spans="1:10" ht="13.35" customHeight="1">
      <c r="A825" s="199" t="s">
        <v>403</v>
      </c>
      <c r="B825" s="199" t="s">
        <v>403</v>
      </c>
      <c r="C825" s="200" t="s">
        <v>405</v>
      </c>
      <c r="D825" s="199" t="s">
        <v>404</v>
      </c>
      <c r="E825" s="199" t="s">
        <v>403</v>
      </c>
      <c r="J825" s="190"/>
    </row>
    <row r="826" spans="1:10" ht="13.35" customHeight="1">
      <c r="A826" s="610" t="e">
        <f t="shared" ref="A826:A832" si="139">A818</f>
        <v>#N/A</v>
      </c>
      <c r="B826" s="610"/>
      <c r="C826" s="200" t="s">
        <v>405</v>
      </c>
      <c r="D826" s="610" t="e">
        <f t="shared" ref="D826:D832" si="140">A826</f>
        <v>#N/A</v>
      </c>
      <c r="E826" s="610"/>
      <c r="J826" s="190"/>
    </row>
    <row r="827" spans="1:10" ht="13.35" customHeight="1">
      <c r="A827" s="610" t="e">
        <f t="shared" si="139"/>
        <v>#N/A</v>
      </c>
      <c r="B827" s="610"/>
      <c r="C827" s="200" t="s">
        <v>405</v>
      </c>
      <c r="D827" s="610" t="e">
        <f t="shared" si="140"/>
        <v>#N/A</v>
      </c>
      <c r="E827" s="610"/>
      <c r="J827" s="190"/>
    </row>
    <row r="828" spans="1:10" ht="13.35" customHeight="1">
      <c r="A828" s="182" t="e">
        <f t="shared" ca="1" si="139"/>
        <v>#N/A</v>
      </c>
      <c r="B828" s="183" t="str">
        <f>B820</f>
        <v xml:space="preserve">Lt: </v>
      </c>
      <c r="C828" s="200" t="s">
        <v>405</v>
      </c>
      <c r="D828" s="182" t="e">
        <f t="shared" ca="1" si="140"/>
        <v>#N/A</v>
      </c>
      <c r="E828" s="183" t="str">
        <f>B828</f>
        <v xml:space="preserve">Lt: </v>
      </c>
      <c r="J828" s="190"/>
    </row>
    <row r="829" spans="1:10" ht="13.35" customHeight="1">
      <c r="A829" s="610" t="str">
        <f t="shared" si="139"/>
        <v xml:space="preserve">  0</v>
      </c>
      <c r="B829" s="610"/>
      <c r="C829" s="200" t="s">
        <v>405</v>
      </c>
      <c r="D829" s="610" t="str">
        <f t="shared" si="140"/>
        <v xml:space="preserve">  0</v>
      </c>
      <c r="E829" s="610"/>
      <c r="J829" s="190"/>
    </row>
    <row r="830" spans="1:10" ht="13.35" customHeight="1">
      <c r="A830" s="609" t="str">
        <f t="shared" si="139"/>
        <v>QFP: JGARCIA   QFV: ADELTORO</v>
      </c>
      <c r="B830" s="609"/>
      <c r="C830" s="200" t="s">
        <v>405</v>
      </c>
      <c r="D830" s="609" t="str">
        <f t="shared" si="140"/>
        <v>QFP: JGARCIA   QFV: ADELTORO</v>
      </c>
      <c r="E830" s="609"/>
      <c r="J830" s="190"/>
    </row>
    <row r="831" spans="1:10" ht="13.35" customHeight="1">
      <c r="A831" s="609" t="str">
        <f t="shared" si="139"/>
        <v>C.JPC/SEXTO NTE/SCOOP   Cama: NA</v>
      </c>
      <c r="B831" s="609"/>
      <c r="C831" s="200" t="s">
        <v>405</v>
      </c>
      <c r="D831" s="609" t="str">
        <f t="shared" si="140"/>
        <v>C.JPC/SEXTO NTE/SCOOP   Cama: NA</v>
      </c>
      <c r="E831" s="609"/>
      <c r="J831" s="190"/>
    </row>
    <row r="832" spans="1:10" ht="13.35" customHeight="1">
      <c r="A832" s="609" t="str">
        <f t="shared" si="139"/>
        <v>UNIDOSSIS S.A.S.</v>
      </c>
      <c r="B832" s="609"/>
      <c r="C832" s="200" t="s">
        <v>405</v>
      </c>
      <c r="D832" s="609" t="str">
        <f t="shared" si="140"/>
        <v>UNIDOSSIS S.A.S.</v>
      </c>
      <c r="E832" s="609"/>
      <c r="J832" s="190"/>
    </row>
    <row r="833" spans="1:10" ht="13.35" customHeight="1">
      <c r="A833" s="199" t="s">
        <v>403</v>
      </c>
      <c r="B833" s="199" t="s">
        <v>403</v>
      </c>
      <c r="C833" s="200" t="s">
        <v>405</v>
      </c>
      <c r="D833" s="199" t="s">
        <v>404</v>
      </c>
      <c r="E833" s="199" t="s">
        <v>403</v>
      </c>
      <c r="J833" s="190"/>
    </row>
    <row r="834" spans="1:10" ht="13.35" customHeight="1">
      <c r="A834" s="610" t="e">
        <f t="shared" ref="A834:A840" si="141">A826</f>
        <v>#N/A</v>
      </c>
      <c r="B834" s="610"/>
      <c r="C834" s="200" t="s">
        <v>405</v>
      </c>
      <c r="D834" s="610" t="e">
        <f t="shared" ref="D834:D840" si="142">A834</f>
        <v>#N/A</v>
      </c>
      <c r="E834" s="610"/>
      <c r="J834" s="190"/>
    </row>
    <row r="835" spans="1:10" ht="13.35" customHeight="1">
      <c r="A835" s="610" t="e">
        <f t="shared" si="141"/>
        <v>#N/A</v>
      </c>
      <c r="B835" s="610"/>
      <c r="C835" s="200" t="s">
        <v>405</v>
      </c>
      <c r="D835" s="610" t="e">
        <f t="shared" si="142"/>
        <v>#N/A</v>
      </c>
      <c r="E835" s="610"/>
      <c r="J835" s="190"/>
    </row>
    <row r="836" spans="1:10" ht="13.35" customHeight="1">
      <c r="A836" s="182" t="e">
        <f t="shared" ca="1" si="141"/>
        <v>#N/A</v>
      </c>
      <c r="B836" s="183" t="str">
        <f>B828</f>
        <v xml:space="preserve">Lt: </v>
      </c>
      <c r="C836" s="200" t="s">
        <v>405</v>
      </c>
      <c r="D836" s="182" t="e">
        <f t="shared" ca="1" si="142"/>
        <v>#N/A</v>
      </c>
      <c r="E836" s="183" t="str">
        <f>B836</f>
        <v xml:space="preserve">Lt: </v>
      </c>
      <c r="J836" s="190"/>
    </row>
    <row r="837" spans="1:10" ht="13.35" customHeight="1">
      <c r="A837" s="610" t="str">
        <f t="shared" si="141"/>
        <v xml:space="preserve">  0</v>
      </c>
      <c r="B837" s="610"/>
      <c r="C837" s="200" t="s">
        <v>405</v>
      </c>
      <c r="D837" s="610" t="str">
        <f t="shared" si="142"/>
        <v xml:space="preserve">  0</v>
      </c>
      <c r="E837" s="610"/>
      <c r="J837" s="190"/>
    </row>
    <row r="838" spans="1:10" ht="13.35" customHeight="1">
      <c r="A838" s="609" t="str">
        <f t="shared" si="141"/>
        <v>QFP: JGARCIA   QFV: ADELTORO</v>
      </c>
      <c r="B838" s="609"/>
      <c r="C838" s="200" t="s">
        <v>405</v>
      </c>
      <c r="D838" s="609" t="str">
        <f t="shared" si="142"/>
        <v>QFP: JGARCIA   QFV: ADELTORO</v>
      </c>
      <c r="E838" s="609"/>
      <c r="J838" s="190"/>
    </row>
    <row r="839" spans="1:10" ht="13.35" customHeight="1">
      <c r="A839" s="609" t="str">
        <f t="shared" si="141"/>
        <v>C.JPC/SEXTO NTE/SCOOP   Cama: NA</v>
      </c>
      <c r="B839" s="609"/>
      <c r="C839" s="200" t="s">
        <v>405</v>
      </c>
      <c r="D839" s="609" t="str">
        <f t="shared" si="142"/>
        <v>C.JPC/SEXTO NTE/SCOOP   Cama: NA</v>
      </c>
      <c r="E839" s="609"/>
      <c r="J839" s="190"/>
    </row>
    <row r="840" spans="1:10" ht="13.35" customHeight="1">
      <c r="A840" s="609" t="str">
        <f t="shared" si="141"/>
        <v>UNIDOSSIS S.A.S.</v>
      </c>
      <c r="B840" s="609"/>
      <c r="C840" s="200" t="s">
        <v>405</v>
      </c>
      <c r="D840" s="609" t="str">
        <f t="shared" si="142"/>
        <v>UNIDOSSIS S.A.S.</v>
      </c>
      <c r="E840" s="609"/>
      <c r="J840" s="190"/>
    </row>
    <row r="841" spans="1:10" ht="13.35" customHeight="1">
      <c r="A841" s="610" t="e">
        <f>'DATOS ETIQ'!B$29&amp;"  "&amp;'DATOS ETIQ'!C$29&amp;"  "&amp;'DATOS ETIQ'!D$29&amp;'DATOS ETIQ'!Q$29</f>
        <v>#N/A</v>
      </c>
      <c r="B841" s="610"/>
      <c r="C841" s="200" t="s">
        <v>405</v>
      </c>
      <c r="D841" s="610" t="e">
        <f t="shared" ref="D841:D847" si="143">A841</f>
        <v>#N/A</v>
      </c>
      <c r="E841" s="610"/>
      <c r="J841" s="190"/>
    </row>
    <row r="842" spans="1:10" ht="13.35" customHeight="1" thickBot="1">
      <c r="A842" s="610" t="e">
        <f>IF('DATOS ETIQ'!P$29=1,"Do: "&amp;'DATOS ETIQ'!F$29&amp;"mg   VolDo: "&amp;'DATOS ETIQ'!G$29&amp;"mL","Dilución 1/"&amp;'DATOS ETIQ'!P$29&amp;"  "&amp;'DATOS ETIQ'!E$29&amp;"mg/mL   Do: "&amp;'DATOS ETIQ'!F$29&amp;"mg   VolDo: "&amp;'DATOS ETIQ'!G$29&amp;"mL")</f>
        <v>#N/A</v>
      </c>
      <c r="B842" s="610"/>
      <c r="C842" s="200" t="s">
        <v>405</v>
      </c>
      <c r="D842" s="610" t="e">
        <f t="shared" si="143"/>
        <v>#N/A</v>
      </c>
      <c r="E842" s="610"/>
      <c r="J842" s="190"/>
    </row>
    <row r="843" spans="1:10" ht="13.35" customHeight="1">
      <c r="A843" s="182" t="e">
        <f ca="1">'DATOS ETIQ'!H$29</f>
        <v>#N/A</v>
      </c>
      <c r="B843" s="183" t="str">
        <f>"Lt: "&amp;'DATOS ETIQ'!I$29</f>
        <v xml:space="preserve">Lt: </v>
      </c>
      <c r="C843" s="200" t="s">
        <v>405</v>
      </c>
      <c r="D843" s="182" t="e">
        <f t="shared" ca="1" si="143"/>
        <v>#N/A</v>
      </c>
      <c r="E843" s="183" t="str">
        <f>B843</f>
        <v xml:space="preserve">Lt: </v>
      </c>
      <c r="G843" s="611" t="e">
        <f>'FR PD 001 V1'!T33/4</f>
        <v>#N/A</v>
      </c>
      <c r="J843" s="611">
        <v>28</v>
      </c>
    </row>
    <row r="844" spans="1:10" ht="13.35" customHeight="1" thickBot="1">
      <c r="A844" s="610" t="str">
        <f>'DATOS ETIQ'!J$29&amp;"  "&amp;'DATOS ETIQ'!K$29</f>
        <v xml:space="preserve">  0</v>
      </c>
      <c r="B844" s="610"/>
      <c r="C844" s="200" t="s">
        <v>405</v>
      </c>
      <c r="D844" s="610" t="str">
        <f t="shared" si="143"/>
        <v xml:space="preserve">  0</v>
      </c>
      <c r="E844" s="610"/>
      <c r="G844" s="612"/>
      <c r="J844" s="612"/>
    </row>
    <row r="845" spans="1:10" ht="13.35" customHeight="1">
      <c r="A845" s="609" t="str">
        <f>"QFP: "&amp;'DATOS ETIQ'!L$29&amp;"   QFV: "&amp;'DATOS ETIQ'!M$29</f>
        <v>QFP: JGARCIA   QFV: ADELTORO</v>
      </c>
      <c r="B845" s="609"/>
      <c r="C845" s="200" t="s">
        <v>405</v>
      </c>
      <c r="D845" s="609" t="str">
        <f t="shared" si="143"/>
        <v>QFP: JGARCIA   QFV: ADELTORO</v>
      </c>
      <c r="E845" s="609"/>
      <c r="J845" s="190"/>
    </row>
    <row r="846" spans="1:10" ht="13.35" customHeight="1">
      <c r="A846" s="609" t="str">
        <f>'DATOS ETIQ'!N$29&amp;"   Cama: "&amp;'DATOS ETIQ'!O$29</f>
        <v>C.JPC/SEXTO NTE/SCOOP   Cama: NA</v>
      </c>
      <c r="B846" s="609"/>
      <c r="C846" s="200" t="s">
        <v>405</v>
      </c>
      <c r="D846" s="609" t="str">
        <f t="shared" si="143"/>
        <v>C.JPC/SEXTO NTE/SCOOP   Cama: NA</v>
      </c>
      <c r="E846" s="609"/>
      <c r="J846" s="190"/>
    </row>
    <row r="847" spans="1:10" ht="13.35" customHeight="1">
      <c r="A847" s="609" t="s">
        <v>167</v>
      </c>
      <c r="B847" s="609"/>
      <c r="C847" s="200" t="s">
        <v>405</v>
      </c>
      <c r="D847" s="609" t="str">
        <f t="shared" si="143"/>
        <v>UNIDOSSIS S.A.S.</v>
      </c>
      <c r="E847" s="609"/>
      <c r="J847" s="190"/>
    </row>
    <row r="848" spans="1:10" ht="13.35" customHeight="1">
      <c r="A848" s="199" t="s">
        <v>403</v>
      </c>
      <c r="B848" s="199" t="s">
        <v>403</v>
      </c>
      <c r="C848" s="200" t="s">
        <v>405</v>
      </c>
      <c r="D848" s="199" t="s">
        <v>404</v>
      </c>
      <c r="E848" s="199" t="s">
        <v>403</v>
      </c>
      <c r="J848" s="190"/>
    </row>
    <row r="849" spans="1:10" ht="13.35" customHeight="1">
      <c r="A849" s="610" t="e">
        <f t="shared" ref="A849:A855" si="144">A841</f>
        <v>#N/A</v>
      </c>
      <c r="B849" s="610"/>
      <c r="C849" s="200" t="s">
        <v>405</v>
      </c>
      <c r="D849" s="610" t="e">
        <f t="shared" ref="D849:D855" si="145">A849</f>
        <v>#N/A</v>
      </c>
      <c r="E849" s="610"/>
      <c r="J849" s="190"/>
    </row>
    <row r="850" spans="1:10" ht="13.35" customHeight="1">
      <c r="A850" s="610" t="e">
        <f t="shared" si="144"/>
        <v>#N/A</v>
      </c>
      <c r="B850" s="610"/>
      <c r="C850" s="200" t="s">
        <v>405</v>
      </c>
      <c r="D850" s="610" t="e">
        <f t="shared" si="145"/>
        <v>#N/A</v>
      </c>
      <c r="E850" s="610"/>
      <c r="J850" s="190"/>
    </row>
    <row r="851" spans="1:10" ht="13.35" customHeight="1">
      <c r="A851" s="182" t="e">
        <f t="shared" ca="1" si="144"/>
        <v>#N/A</v>
      </c>
      <c r="B851" s="183" t="str">
        <f>B843</f>
        <v xml:space="preserve">Lt: </v>
      </c>
      <c r="C851" s="200" t="s">
        <v>405</v>
      </c>
      <c r="D851" s="182" t="e">
        <f t="shared" ca="1" si="145"/>
        <v>#N/A</v>
      </c>
      <c r="E851" s="183" t="str">
        <f>B851</f>
        <v xml:space="preserve">Lt: </v>
      </c>
      <c r="J851" s="190"/>
    </row>
    <row r="852" spans="1:10" ht="13.35" customHeight="1">
      <c r="A852" s="610" t="str">
        <f t="shared" si="144"/>
        <v xml:space="preserve">  0</v>
      </c>
      <c r="B852" s="610"/>
      <c r="C852" s="200" t="s">
        <v>405</v>
      </c>
      <c r="D852" s="610" t="str">
        <f t="shared" si="145"/>
        <v xml:space="preserve">  0</v>
      </c>
      <c r="E852" s="610"/>
      <c r="J852" s="190"/>
    </row>
    <row r="853" spans="1:10" ht="13.35" customHeight="1">
      <c r="A853" s="609" t="str">
        <f t="shared" si="144"/>
        <v>QFP: JGARCIA   QFV: ADELTORO</v>
      </c>
      <c r="B853" s="609"/>
      <c r="C853" s="200" t="s">
        <v>405</v>
      </c>
      <c r="D853" s="609" t="str">
        <f t="shared" si="145"/>
        <v>QFP: JGARCIA   QFV: ADELTORO</v>
      </c>
      <c r="E853" s="609"/>
      <c r="J853" s="190"/>
    </row>
    <row r="854" spans="1:10" ht="13.35" customHeight="1">
      <c r="A854" s="609" t="str">
        <f t="shared" si="144"/>
        <v>C.JPC/SEXTO NTE/SCOOP   Cama: NA</v>
      </c>
      <c r="B854" s="609"/>
      <c r="C854" s="200" t="s">
        <v>405</v>
      </c>
      <c r="D854" s="609" t="str">
        <f t="shared" si="145"/>
        <v>C.JPC/SEXTO NTE/SCOOP   Cama: NA</v>
      </c>
      <c r="E854" s="609"/>
      <c r="J854" s="190"/>
    </row>
    <row r="855" spans="1:10" ht="13.35" customHeight="1">
      <c r="A855" s="609" t="str">
        <f t="shared" si="144"/>
        <v>UNIDOSSIS S.A.S.</v>
      </c>
      <c r="B855" s="609"/>
      <c r="C855" s="200" t="s">
        <v>405</v>
      </c>
      <c r="D855" s="609" t="str">
        <f t="shared" si="145"/>
        <v>UNIDOSSIS S.A.S.</v>
      </c>
      <c r="E855" s="609"/>
      <c r="J855" s="190"/>
    </row>
    <row r="856" spans="1:10" ht="13.35" customHeight="1">
      <c r="A856" s="199" t="s">
        <v>403</v>
      </c>
      <c r="B856" s="199" t="s">
        <v>403</v>
      </c>
      <c r="C856" s="200" t="s">
        <v>405</v>
      </c>
      <c r="D856" s="199" t="s">
        <v>404</v>
      </c>
      <c r="E856" s="199" t="s">
        <v>403</v>
      </c>
      <c r="J856" s="190"/>
    </row>
    <row r="857" spans="1:10" ht="13.35" customHeight="1">
      <c r="A857" s="610" t="e">
        <f t="shared" ref="A857:A863" si="146">A849</f>
        <v>#N/A</v>
      </c>
      <c r="B857" s="610"/>
      <c r="C857" s="200" t="s">
        <v>405</v>
      </c>
      <c r="D857" s="610" t="e">
        <f t="shared" ref="D857:D863" si="147">A857</f>
        <v>#N/A</v>
      </c>
      <c r="E857" s="610"/>
      <c r="J857" s="190"/>
    </row>
    <row r="858" spans="1:10" ht="13.35" customHeight="1">
      <c r="A858" s="610" t="e">
        <f t="shared" si="146"/>
        <v>#N/A</v>
      </c>
      <c r="B858" s="610"/>
      <c r="C858" s="200" t="s">
        <v>405</v>
      </c>
      <c r="D858" s="610" t="e">
        <f t="shared" si="147"/>
        <v>#N/A</v>
      </c>
      <c r="E858" s="610"/>
      <c r="J858" s="190"/>
    </row>
    <row r="859" spans="1:10" ht="13.35" customHeight="1">
      <c r="A859" s="182" t="e">
        <f t="shared" ca="1" si="146"/>
        <v>#N/A</v>
      </c>
      <c r="B859" s="183" t="str">
        <f>B851</f>
        <v xml:space="preserve">Lt: </v>
      </c>
      <c r="C859" s="200" t="s">
        <v>405</v>
      </c>
      <c r="D859" s="182" t="e">
        <f t="shared" ca="1" si="147"/>
        <v>#N/A</v>
      </c>
      <c r="E859" s="183" t="str">
        <f>B859</f>
        <v xml:space="preserve">Lt: </v>
      </c>
      <c r="J859" s="190"/>
    </row>
    <row r="860" spans="1:10" ht="13.35" customHeight="1">
      <c r="A860" s="610" t="str">
        <f t="shared" si="146"/>
        <v xml:space="preserve">  0</v>
      </c>
      <c r="B860" s="610"/>
      <c r="C860" s="200" t="s">
        <v>405</v>
      </c>
      <c r="D860" s="610" t="str">
        <f t="shared" si="147"/>
        <v xml:space="preserve">  0</v>
      </c>
      <c r="E860" s="610"/>
      <c r="J860" s="190"/>
    </row>
    <row r="861" spans="1:10" ht="13.35" customHeight="1">
      <c r="A861" s="609" t="str">
        <f t="shared" si="146"/>
        <v>QFP: JGARCIA   QFV: ADELTORO</v>
      </c>
      <c r="B861" s="609"/>
      <c r="C861" s="200" t="s">
        <v>405</v>
      </c>
      <c r="D861" s="609" t="str">
        <f t="shared" si="147"/>
        <v>QFP: JGARCIA   QFV: ADELTORO</v>
      </c>
      <c r="E861" s="609"/>
      <c r="J861" s="190"/>
    </row>
    <row r="862" spans="1:10" ht="13.35" customHeight="1">
      <c r="A862" s="609" t="str">
        <f t="shared" si="146"/>
        <v>C.JPC/SEXTO NTE/SCOOP   Cama: NA</v>
      </c>
      <c r="B862" s="609"/>
      <c r="C862" s="200" t="s">
        <v>405</v>
      </c>
      <c r="D862" s="609" t="str">
        <f t="shared" si="147"/>
        <v>C.JPC/SEXTO NTE/SCOOP   Cama: NA</v>
      </c>
      <c r="E862" s="609"/>
      <c r="J862" s="190"/>
    </row>
    <row r="863" spans="1:10" ht="13.35" customHeight="1">
      <c r="A863" s="609" t="str">
        <f t="shared" si="146"/>
        <v>UNIDOSSIS S.A.S.</v>
      </c>
      <c r="B863" s="609"/>
      <c r="C863" s="200" t="s">
        <v>405</v>
      </c>
      <c r="D863" s="609" t="str">
        <f t="shared" si="147"/>
        <v>UNIDOSSIS S.A.S.</v>
      </c>
      <c r="E863" s="609"/>
      <c r="J863" s="190"/>
    </row>
    <row r="864" spans="1:10" ht="13.35" customHeight="1">
      <c r="A864" s="199" t="s">
        <v>403</v>
      </c>
      <c r="B864" s="199" t="s">
        <v>403</v>
      </c>
      <c r="C864" s="200" t="s">
        <v>405</v>
      </c>
      <c r="D864" s="199" t="s">
        <v>404</v>
      </c>
      <c r="E864" s="199" t="s">
        <v>403</v>
      </c>
      <c r="J864" s="190"/>
    </row>
    <row r="865" spans="1:10" ht="13.35" customHeight="1">
      <c r="A865" s="610" t="e">
        <f t="shared" ref="A865:A871" si="148">A857</f>
        <v>#N/A</v>
      </c>
      <c r="B865" s="610"/>
      <c r="C865" s="200" t="s">
        <v>405</v>
      </c>
      <c r="D865" s="610" t="e">
        <f t="shared" ref="D865:D871" si="149">A865</f>
        <v>#N/A</v>
      </c>
      <c r="E865" s="610"/>
      <c r="J865" s="190"/>
    </row>
    <row r="866" spans="1:10" ht="13.35" customHeight="1">
      <c r="A866" s="610" t="e">
        <f t="shared" si="148"/>
        <v>#N/A</v>
      </c>
      <c r="B866" s="610"/>
      <c r="C866" s="200" t="s">
        <v>405</v>
      </c>
      <c r="D866" s="610" t="e">
        <f t="shared" si="149"/>
        <v>#N/A</v>
      </c>
      <c r="E866" s="610"/>
      <c r="J866" s="190"/>
    </row>
    <row r="867" spans="1:10" ht="13.35" customHeight="1">
      <c r="A867" s="182" t="e">
        <f t="shared" ca="1" si="148"/>
        <v>#N/A</v>
      </c>
      <c r="B867" s="183" t="str">
        <f>B859</f>
        <v xml:space="preserve">Lt: </v>
      </c>
      <c r="C867" s="200" t="s">
        <v>405</v>
      </c>
      <c r="D867" s="182" t="e">
        <f t="shared" ca="1" si="149"/>
        <v>#N/A</v>
      </c>
      <c r="E867" s="183" t="str">
        <f>B867</f>
        <v xml:space="preserve">Lt: </v>
      </c>
      <c r="J867" s="190"/>
    </row>
    <row r="868" spans="1:10" ht="13.35" customHeight="1">
      <c r="A868" s="610" t="str">
        <f t="shared" si="148"/>
        <v xml:space="preserve">  0</v>
      </c>
      <c r="B868" s="610"/>
      <c r="C868" s="200" t="s">
        <v>405</v>
      </c>
      <c r="D868" s="610" t="str">
        <f t="shared" si="149"/>
        <v xml:space="preserve">  0</v>
      </c>
      <c r="E868" s="610"/>
      <c r="J868" s="190"/>
    </row>
    <row r="869" spans="1:10" ht="13.35" customHeight="1">
      <c r="A869" s="609" t="str">
        <f t="shared" si="148"/>
        <v>QFP: JGARCIA   QFV: ADELTORO</v>
      </c>
      <c r="B869" s="609"/>
      <c r="C869" s="200" t="s">
        <v>405</v>
      </c>
      <c r="D869" s="609" t="str">
        <f t="shared" si="149"/>
        <v>QFP: JGARCIA   QFV: ADELTORO</v>
      </c>
      <c r="E869" s="609"/>
      <c r="J869" s="190"/>
    </row>
    <row r="870" spans="1:10" ht="13.35" customHeight="1">
      <c r="A870" s="609" t="str">
        <f t="shared" si="148"/>
        <v>C.JPC/SEXTO NTE/SCOOP   Cama: NA</v>
      </c>
      <c r="B870" s="609"/>
      <c r="C870" s="200" t="s">
        <v>405</v>
      </c>
      <c r="D870" s="609" t="str">
        <f t="shared" si="149"/>
        <v>C.JPC/SEXTO NTE/SCOOP   Cama: NA</v>
      </c>
      <c r="E870" s="609"/>
      <c r="J870" s="190"/>
    </row>
    <row r="871" spans="1:10" ht="13.35" customHeight="1">
      <c r="A871" s="609" t="str">
        <f t="shared" si="148"/>
        <v>UNIDOSSIS S.A.S.</v>
      </c>
      <c r="B871" s="609"/>
      <c r="C871" s="200" t="s">
        <v>405</v>
      </c>
      <c r="D871" s="609" t="str">
        <f t="shared" si="149"/>
        <v>UNIDOSSIS S.A.S.</v>
      </c>
      <c r="E871" s="609"/>
      <c r="J871" s="190"/>
    </row>
    <row r="872" spans="1:10" ht="13.35" customHeight="1">
      <c r="A872" s="610" t="e">
        <f>'DATOS ETIQ'!B$30&amp;"  "&amp;'DATOS ETIQ'!C$30&amp;"  "&amp;'DATOS ETIQ'!D$30&amp;'DATOS ETIQ'!Q$30</f>
        <v>#N/A</v>
      </c>
      <c r="B872" s="610"/>
      <c r="C872" s="200" t="s">
        <v>405</v>
      </c>
      <c r="D872" s="610" t="e">
        <f t="shared" ref="D872:D878" si="150">A872</f>
        <v>#N/A</v>
      </c>
      <c r="E872" s="610"/>
      <c r="J872" s="190"/>
    </row>
    <row r="873" spans="1:10" ht="13.35" customHeight="1" thickBot="1">
      <c r="A873" s="610" t="e">
        <f>IF('DATOS ETIQ'!P$30=1,"Do: "&amp;'DATOS ETIQ'!F$30&amp;"mg   VolDo: "&amp;'DATOS ETIQ'!G$30&amp;"mL","Dilución 1/"&amp;'DATOS ETIQ'!P$30&amp;"  "&amp;'DATOS ETIQ'!E$30&amp;"mg/mL   Do: "&amp;'DATOS ETIQ'!F$30&amp;"mg   VolDo: "&amp;'DATOS ETIQ'!G$30&amp;"mL")</f>
        <v>#N/A</v>
      </c>
      <c r="B873" s="610"/>
      <c r="C873" s="200" t="s">
        <v>405</v>
      </c>
      <c r="D873" s="610" t="e">
        <f t="shared" si="150"/>
        <v>#N/A</v>
      </c>
      <c r="E873" s="610"/>
      <c r="J873" s="190"/>
    </row>
    <row r="874" spans="1:10" ht="13.35" customHeight="1">
      <c r="A874" s="182" t="e">
        <f ca="1">'DATOS ETIQ'!H$30</f>
        <v>#N/A</v>
      </c>
      <c r="B874" s="183" t="str">
        <f>"Lt: "&amp;'DATOS ETIQ'!I$30</f>
        <v xml:space="preserve">Lt: </v>
      </c>
      <c r="C874" s="200" t="s">
        <v>405</v>
      </c>
      <c r="D874" s="182" t="e">
        <f t="shared" ca="1" si="150"/>
        <v>#N/A</v>
      </c>
      <c r="E874" s="183" t="str">
        <f>B874</f>
        <v xml:space="preserve">Lt: </v>
      </c>
      <c r="G874" s="611" t="e">
        <f>'FR PD 001 V1'!T34/4</f>
        <v>#N/A</v>
      </c>
      <c r="J874" s="611">
        <v>29</v>
      </c>
    </row>
    <row r="875" spans="1:10" ht="13.35" customHeight="1" thickBot="1">
      <c r="A875" s="610" t="str">
        <f>'DATOS ETIQ'!J$30&amp;"  "&amp;'DATOS ETIQ'!K$30</f>
        <v xml:space="preserve">  0</v>
      </c>
      <c r="B875" s="610"/>
      <c r="C875" s="200" t="s">
        <v>405</v>
      </c>
      <c r="D875" s="610" t="str">
        <f t="shared" si="150"/>
        <v xml:space="preserve">  0</v>
      </c>
      <c r="E875" s="610"/>
      <c r="G875" s="612"/>
      <c r="J875" s="612"/>
    </row>
    <row r="876" spans="1:10" ht="13.35" customHeight="1">
      <c r="A876" s="609" t="str">
        <f>"QFP: "&amp;'DATOS ETIQ'!L$30&amp;"   QFV: "&amp;'DATOS ETIQ'!M$30</f>
        <v>QFP: JGARCIA   QFV: ADELTORO</v>
      </c>
      <c r="B876" s="609"/>
      <c r="C876" s="200" t="s">
        <v>405</v>
      </c>
      <c r="D876" s="609" t="str">
        <f t="shared" si="150"/>
        <v>QFP: JGARCIA   QFV: ADELTORO</v>
      </c>
      <c r="E876" s="609"/>
      <c r="J876" s="190"/>
    </row>
    <row r="877" spans="1:10" ht="13.35" customHeight="1">
      <c r="A877" s="609" t="str">
        <f>'DATOS ETIQ'!N$30&amp;"   Cama: "&amp;'DATOS ETIQ'!O$30</f>
        <v>C.JPC/SEXTO NTE/SCOOP   Cama: NA</v>
      </c>
      <c r="B877" s="609"/>
      <c r="C877" s="200" t="s">
        <v>405</v>
      </c>
      <c r="D877" s="609" t="str">
        <f t="shared" si="150"/>
        <v>C.JPC/SEXTO NTE/SCOOP   Cama: NA</v>
      </c>
      <c r="E877" s="609"/>
      <c r="J877" s="190"/>
    </row>
    <row r="878" spans="1:10" ht="13.35" customHeight="1">
      <c r="A878" s="609" t="s">
        <v>167</v>
      </c>
      <c r="B878" s="609"/>
      <c r="C878" s="200" t="s">
        <v>405</v>
      </c>
      <c r="D878" s="609" t="str">
        <f t="shared" si="150"/>
        <v>UNIDOSSIS S.A.S.</v>
      </c>
      <c r="E878" s="609"/>
      <c r="J878" s="190"/>
    </row>
    <row r="879" spans="1:10" ht="13.35" customHeight="1">
      <c r="A879" s="199" t="s">
        <v>403</v>
      </c>
      <c r="B879" s="199" t="s">
        <v>403</v>
      </c>
      <c r="C879" s="200" t="s">
        <v>405</v>
      </c>
      <c r="D879" s="199" t="s">
        <v>404</v>
      </c>
      <c r="E879" s="199" t="s">
        <v>403</v>
      </c>
      <c r="J879" s="190"/>
    </row>
    <row r="880" spans="1:10" ht="13.35" customHeight="1">
      <c r="A880" s="610" t="e">
        <f t="shared" ref="A880:A886" si="151">A872</f>
        <v>#N/A</v>
      </c>
      <c r="B880" s="610"/>
      <c r="C880" s="200" t="s">
        <v>405</v>
      </c>
      <c r="D880" s="610" t="e">
        <f t="shared" ref="D880:D886" si="152">A880</f>
        <v>#N/A</v>
      </c>
      <c r="E880" s="610"/>
      <c r="J880" s="190"/>
    </row>
    <row r="881" spans="1:10" ht="13.35" customHeight="1">
      <c r="A881" s="610" t="e">
        <f t="shared" si="151"/>
        <v>#N/A</v>
      </c>
      <c r="B881" s="610"/>
      <c r="C881" s="200" t="s">
        <v>405</v>
      </c>
      <c r="D881" s="610" t="e">
        <f t="shared" si="152"/>
        <v>#N/A</v>
      </c>
      <c r="E881" s="610"/>
      <c r="J881" s="190"/>
    </row>
    <row r="882" spans="1:10" ht="13.35" customHeight="1">
      <c r="A882" s="182" t="e">
        <f t="shared" ca="1" si="151"/>
        <v>#N/A</v>
      </c>
      <c r="B882" s="183" t="str">
        <f>B874</f>
        <v xml:space="preserve">Lt: </v>
      </c>
      <c r="C882" s="200" t="s">
        <v>405</v>
      </c>
      <c r="D882" s="182" t="e">
        <f t="shared" ca="1" si="152"/>
        <v>#N/A</v>
      </c>
      <c r="E882" s="183" t="str">
        <f>B882</f>
        <v xml:space="preserve">Lt: </v>
      </c>
      <c r="J882" s="190"/>
    </row>
    <row r="883" spans="1:10" ht="13.35" customHeight="1">
      <c r="A883" s="610" t="str">
        <f t="shared" si="151"/>
        <v xml:space="preserve">  0</v>
      </c>
      <c r="B883" s="610"/>
      <c r="C883" s="200" t="s">
        <v>405</v>
      </c>
      <c r="D883" s="610" t="str">
        <f t="shared" si="152"/>
        <v xml:space="preserve">  0</v>
      </c>
      <c r="E883" s="610"/>
      <c r="J883" s="190"/>
    </row>
    <row r="884" spans="1:10" ht="13.35" customHeight="1">
      <c r="A884" s="609" t="str">
        <f t="shared" si="151"/>
        <v>QFP: JGARCIA   QFV: ADELTORO</v>
      </c>
      <c r="B884" s="609"/>
      <c r="C884" s="200" t="s">
        <v>405</v>
      </c>
      <c r="D884" s="609" t="str">
        <f t="shared" si="152"/>
        <v>QFP: JGARCIA   QFV: ADELTORO</v>
      </c>
      <c r="E884" s="609"/>
      <c r="J884" s="190"/>
    </row>
    <row r="885" spans="1:10" ht="13.35" customHeight="1">
      <c r="A885" s="609" t="str">
        <f t="shared" si="151"/>
        <v>C.JPC/SEXTO NTE/SCOOP   Cama: NA</v>
      </c>
      <c r="B885" s="609"/>
      <c r="C885" s="200" t="s">
        <v>405</v>
      </c>
      <c r="D885" s="609" t="str">
        <f t="shared" si="152"/>
        <v>C.JPC/SEXTO NTE/SCOOP   Cama: NA</v>
      </c>
      <c r="E885" s="609"/>
      <c r="J885" s="190"/>
    </row>
    <row r="886" spans="1:10" ht="13.35" customHeight="1">
      <c r="A886" s="609" t="str">
        <f t="shared" si="151"/>
        <v>UNIDOSSIS S.A.S.</v>
      </c>
      <c r="B886" s="609"/>
      <c r="C886" s="200" t="s">
        <v>405</v>
      </c>
      <c r="D886" s="609" t="str">
        <f t="shared" si="152"/>
        <v>UNIDOSSIS S.A.S.</v>
      </c>
      <c r="E886" s="609"/>
      <c r="J886" s="190"/>
    </row>
    <row r="887" spans="1:10" ht="13.35" customHeight="1">
      <c r="A887" s="199" t="s">
        <v>403</v>
      </c>
      <c r="B887" s="199" t="s">
        <v>403</v>
      </c>
      <c r="C887" s="200" t="s">
        <v>405</v>
      </c>
      <c r="D887" s="199" t="s">
        <v>404</v>
      </c>
      <c r="E887" s="199" t="s">
        <v>403</v>
      </c>
      <c r="J887" s="190"/>
    </row>
    <row r="888" spans="1:10" ht="13.35" customHeight="1">
      <c r="A888" s="610" t="e">
        <f t="shared" ref="A888:A894" si="153">A880</f>
        <v>#N/A</v>
      </c>
      <c r="B888" s="610"/>
      <c r="C888" s="200" t="s">
        <v>405</v>
      </c>
      <c r="D888" s="610" t="e">
        <f t="shared" ref="D888:D894" si="154">A888</f>
        <v>#N/A</v>
      </c>
      <c r="E888" s="610"/>
      <c r="J888" s="190"/>
    </row>
    <row r="889" spans="1:10" ht="13.35" customHeight="1">
      <c r="A889" s="610" t="e">
        <f t="shared" si="153"/>
        <v>#N/A</v>
      </c>
      <c r="B889" s="610"/>
      <c r="C889" s="200" t="s">
        <v>405</v>
      </c>
      <c r="D889" s="610" t="e">
        <f t="shared" si="154"/>
        <v>#N/A</v>
      </c>
      <c r="E889" s="610"/>
      <c r="J889" s="190"/>
    </row>
    <row r="890" spans="1:10" ht="13.35" customHeight="1">
      <c r="A890" s="182" t="e">
        <f t="shared" ca="1" si="153"/>
        <v>#N/A</v>
      </c>
      <c r="B890" s="183" t="str">
        <f>B882</f>
        <v xml:space="preserve">Lt: </v>
      </c>
      <c r="C890" s="200" t="s">
        <v>405</v>
      </c>
      <c r="D890" s="182" t="e">
        <f t="shared" ca="1" si="154"/>
        <v>#N/A</v>
      </c>
      <c r="E890" s="183" t="str">
        <f>B890</f>
        <v xml:space="preserve">Lt: </v>
      </c>
      <c r="J890" s="190"/>
    </row>
    <row r="891" spans="1:10" ht="13.35" customHeight="1">
      <c r="A891" s="610" t="str">
        <f t="shared" si="153"/>
        <v xml:space="preserve">  0</v>
      </c>
      <c r="B891" s="610"/>
      <c r="C891" s="200" t="s">
        <v>405</v>
      </c>
      <c r="D891" s="610" t="str">
        <f t="shared" si="154"/>
        <v xml:space="preserve">  0</v>
      </c>
      <c r="E891" s="610"/>
      <c r="J891" s="190"/>
    </row>
    <row r="892" spans="1:10" ht="13.35" customHeight="1">
      <c r="A892" s="609" t="str">
        <f t="shared" si="153"/>
        <v>QFP: JGARCIA   QFV: ADELTORO</v>
      </c>
      <c r="B892" s="609"/>
      <c r="C892" s="200" t="s">
        <v>405</v>
      </c>
      <c r="D892" s="609" t="str">
        <f t="shared" si="154"/>
        <v>QFP: JGARCIA   QFV: ADELTORO</v>
      </c>
      <c r="E892" s="609"/>
      <c r="J892" s="190"/>
    </row>
    <row r="893" spans="1:10" ht="13.35" customHeight="1">
      <c r="A893" s="609" t="str">
        <f t="shared" si="153"/>
        <v>C.JPC/SEXTO NTE/SCOOP   Cama: NA</v>
      </c>
      <c r="B893" s="609"/>
      <c r="C893" s="200" t="s">
        <v>405</v>
      </c>
      <c r="D893" s="609" t="str">
        <f t="shared" si="154"/>
        <v>C.JPC/SEXTO NTE/SCOOP   Cama: NA</v>
      </c>
      <c r="E893" s="609"/>
      <c r="J893" s="190"/>
    </row>
    <row r="894" spans="1:10" ht="13.35" customHeight="1">
      <c r="A894" s="609" t="str">
        <f t="shared" si="153"/>
        <v>UNIDOSSIS S.A.S.</v>
      </c>
      <c r="B894" s="609"/>
      <c r="C894" s="200" t="s">
        <v>405</v>
      </c>
      <c r="D894" s="609" t="str">
        <f t="shared" si="154"/>
        <v>UNIDOSSIS S.A.S.</v>
      </c>
      <c r="E894" s="609"/>
      <c r="J894" s="190"/>
    </row>
    <row r="895" spans="1:10" ht="13.35" customHeight="1">
      <c r="A895" s="199" t="s">
        <v>403</v>
      </c>
      <c r="B895" s="199" t="s">
        <v>403</v>
      </c>
      <c r="C895" s="200" t="s">
        <v>405</v>
      </c>
      <c r="D895" s="199" t="s">
        <v>404</v>
      </c>
      <c r="E895" s="199" t="s">
        <v>403</v>
      </c>
      <c r="J895" s="190"/>
    </row>
    <row r="896" spans="1:10" ht="13.35" customHeight="1">
      <c r="A896" s="610" t="e">
        <f t="shared" ref="A896:A902" si="155">A888</f>
        <v>#N/A</v>
      </c>
      <c r="B896" s="610"/>
      <c r="C896" s="200" t="s">
        <v>405</v>
      </c>
      <c r="D896" s="610" t="e">
        <f t="shared" ref="D896:D902" si="156">A896</f>
        <v>#N/A</v>
      </c>
      <c r="E896" s="610"/>
      <c r="J896" s="190"/>
    </row>
    <row r="897" spans="1:10" ht="13.35" customHeight="1">
      <c r="A897" s="610" t="e">
        <f t="shared" si="155"/>
        <v>#N/A</v>
      </c>
      <c r="B897" s="610"/>
      <c r="C897" s="200" t="s">
        <v>405</v>
      </c>
      <c r="D897" s="610" t="e">
        <f t="shared" si="156"/>
        <v>#N/A</v>
      </c>
      <c r="E897" s="610"/>
      <c r="J897" s="190"/>
    </row>
    <row r="898" spans="1:10" ht="13.35" customHeight="1">
      <c r="A898" s="182" t="e">
        <f t="shared" ca="1" si="155"/>
        <v>#N/A</v>
      </c>
      <c r="B898" s="183" t="str">
        <f>B890</f>
        <v xml:space="preserve">Lt: </v>
      </c>
      <c r="C898" s="200" t="s">
        <v>405</v>
      </c>
      <c r="D898" s="182" t="e">
        <f t="shared" ca="1" si="156"/>
        <v>#N/A</v>
      </c>
      <c r="E898" s="183" t="str">
        <f>B898</f>
        <v xml:space="preserve">Lt: </v>
      </c>
      <c r="J898" s="190"/>
    </row>
    <row r="899" spans="1:10" ht="13.35" customHeight="1">
      <c r="A899" s="610" t="str">
        <f t="shared" si="155"/>
        <v xml:space="preserve">  0</v>
      </c>
      <c r="B899" s="610"/>
      <c r="C899" s="200" t="s">
        <v>405</v>
      </c>
      <c r="D899" s="610" t="str">
        <f t="shared" si="156"/>
        <v xml:space="preserve">  0</v>
      </c>
      <c r="E899" s="610"/>
      <c r="J899" s="190"/>
    </row>
    <row r="900" spans="1:10" ht="13.35" customHeight="1">
      <c r="A900" s="609" t="str">
        <f t="shared" si="155"/>
        <v>QFP: JGARCIA   QFV: ADELTORO</v>
      </c>
      <c r="B900" s="609"/>
      <c r="C900" s="200" t="s">
        <v>405</v>
      </c>
      <c r="D900" s="609" t="str">
        <f t="shared" si="156"/>
        <v>QFP: JGARCIA   QFV: ADELTORO</v>
      </c>
      <c r="E900" s="609"/>
      <c r="J900" s="190"/>
    </row>
    <row r="901" spans="1:10" ht="13.35" customHeight="1">
      <c r="A901" s="609" t="str">
        <f t="shared" si="155"/>
        <v>C.JPC/SEXTO NTE/SCOOP   Cama: NA</v>
      </c>
      <c r="B901" s="609"/>
      <c r="C901" s="200" t="s">
        <v>405</v>
      </c>
      <c r="D901" s="609" t="str">
        <f t="shared" si="156"/>
        <v>C.JPC/SEXTO NTE/SCOOP   Cama: NA</v>
      </c>
      <c r="E901" s="609"/>
      <c r="J901" s="190"/>
    </row>
    <row r="902" spans="1:10" ht="13.35" customHeight="1">
      <c r="A902" s="609" t="str">
        <f t="shared" si="155"/>
        <v>UNIDOSSIS S.A.S.</v>
      </c>
      <c r="B902" s="609"/>
      <c r="C902" s="200" t="s">
        <v>405</v>
      </c>
      <c r="D902" s="609" t="str">
        <f t="shared" si="156"/>
        <v>UNIDOSSIS S.A.S.</v>
      </c>
      <c r="E902" s="609"/>
      <c r="J902" s="190"/>
    </row>
    <row r="903" spans="1:10" ht="13.35" customHeight="1">
      <c r="A903" s="610" t="e">
        <f>'DATOS ETIQ'!B$31&amp;"  "&amp;'DATOS ETIQ'!C$31&amp;"  "&amp;'DATOS ETIQ'!D$31&amp;'DATOS ETIQ'!Q$31</f>
        <v>#N/A</v>
      </c>
      <c r="B903" s="610"/>
      <c r="C903" s="200" t="s">
        <v>405</v>
      </c>
      <c r="D903" s="610" t="e">
        <f t="shared" ref="D903:D909" si="157">A903</f>
        <v>#N/A</v>
      </c>
      <c r="E903" s="610"/>
      <c r="J903" s="190"/>
    </row>
    <row r="904" spans="1:10" ht="13.35" customHeight="1" thickBot="1">
      <c r="A904" s="610" t="e">
        <f>IF('DATOS ETIQ'!P$31=1,"Do: "&amp;'DATOS ETIQ'!F$31&amp;"mg   VolDo: "&amp;'DATOS ETIQ'!G$31&amp;"mL","Dilución 1/"&amp;'DATOS ETIQ'!P$31&amp;"  "&amp;'DATOS ETIQ'!E$31&amp;"mg/mL   Do: "&amp;'DATOS ETIQ'!F$31&amp;"mg   VolDo: "&amp;'DATOS ETIQ'!G$31&amp;"mL")</f>
        <v>#N/A</v>
      </c>
      <c r="B904" s="610"/>
      <c r="C904" s="200" t="s">
        <v>405</v>
      </c>
      <c r="D904" s="610" t="e">
        <f t="shared" si="157"/>
        <v>#N/A</v>
      </c>
      <c r="E904" s="610"/>
      <c r="J904" s="190"/>
    </row>
    <row r="905" spans="1:10" ht="13.35" customHeight="1">
      <c r="A905" s="182" t="e">
        <f ca="1">'DATOS ETIQ'!H$31</f>
        <v>#N/A</v>
      </c>
      <c r="B905" s="183" t="str">
        <f>"Lt: "&amp;'DATOS ETIQ'!I$31</f>
        <v xml:space="preserve">Lt: </v>
      </c>
      <c r="C905" s="200" t="s">
        <v>405</v>
      </c>
      <c r="D905" s="182" t="e">
        <f t="shared" ca="1" si="157"/>
        <v>#N/A</v>
      </c>
      <c r="E905" s="183" t="str">
        <f>B905</f>
        <v xml:space="preserve">Lt: </v>
      </c>
      <c r="G905" s="611" t="e">
        <f>'FR PD 001 V1'!T35/4</f>
        <v>#N/A</v>
      </c>
      <c r="J905" s="611">
        <v>30</v>
      </c>
    </row>
    <row r="906" spans="1:10" ht="13.35" customHeight="1" thickBot="1">
      <c r="A906" s="610" t="str">
        <f>'DATOS ETIQ'!J$31&amp;"  "&amp;'DATOS ETIQ'!K$31</f>
        <v xml:space="preserve">  0</v>
      </c>
      <c r="B906" s="610"/>
      <c r="C906" s="200" t="s">
        <v>405</v>
      </c>
      <c r="D906" s="610" t="str">
        <f t="shared" si="157"/>
        <v xml:space="preserve">  0</v>
      </c>
      <c r="E906" s="610"/>
      <c r="G906" s="612"/>
      <c r="J906" s="612"/>
    </row>
    <row r="907" spans="1:10" ht="13.35" customHeight="1">
      <c r="A907" s="609" t="str">
        <f>"QFP: "&amp;'DATOS ETIQ'!L$31&amp;"   QFV: "&amp;'DATOS ETIQ'!M$31</f>
        <v>QFP: JGARCIA   QFV: ADELTORO</v>
      </c>
      <c r="B907" s="609"/>
      <c r="C907" s="200" t="s">
        <v>405</v>
      </c>
      <c r="D907" s="609" t="str">
        <f t="shared" si="157"/>
        <v>QFP: JGARCIA   QFV: ADELTORO</v>
      </c>
      <c r="E907" s="609"/>
      <c r="J907" s="190"/>
    </row>
    <row r="908" spans="1:10" ht="13.35" customHeight="1">
      <c r="A908" s="609" t="str">
        <f>'DATOS ETIQ'!N$31&amp;"   Cama: "&amp;'DATOS ETIQ'!O$31</f>
        <v>C.JPC/SEXTO NTE/SCOOP   Cama: NA</v>
      </c>
      <c r="B908" s="609"/>
      <c r="C908" s="200" t="s">
        <v>405</v>
      </c>
      <c r="D908" s="609" t="str">
        <f t="shared" si="157"/>
        <v>C.JPC/SEXTO NTE/SCOOP   Cama: NA</v>
      </c>
      <c r="E908" s="609"/>
      <c r="J908" s="190"/>
    </row>
    <row r="909" spans="1:10" ht="13.35" customHeight="1">
      <c r="A909" s="609" t="s">
        <v>167</v>
      </c>
      <c r="B909" s="609"/>
      <c r="C909" s="200" t="s">
        <v>405</v>
      </c>
      <c r="D909" s="609" t="str">
        <f t="shared" si="157"/>
        <v>UNIDOSSIS S.A.S.</v>
      </c>
      <c r="E909" s="609"/>
      <c r="J909" s="190"/>
    </row>
    <row r="910" spans="1:10" ht="13.35" customHeight="1">
      <c r="A910" s="199" t="s">
        <v>403</v>
      </c>
      <c r="B910" s="199" t="s">
        <v>403</v>
      </c>
      <c r="C910" s="200" t="s">
        <v>405</v>
      </c>
      <c r="D910" s="199" t="s">
        <v>404</v>
      </c>
      <c r="E910" s="199" t="s">
        <v>403</v>
      </c>
      <c r="J910" s="190"/>
    </row>
    <row r="911" spans="1:10" ht="13.35" customHeight="1">
      <c r="A911" s="610" t="e">
        <f t="shared" ref="A911:A917" si="158">A903</f>
        <v>#N/A</v>
      </c>
      <c r="B911" s="610"/>
      <c r="C911" s="200" t="s">
        <v>405</v>
      </c>
      <c r="D911" s="610" t="e">
        <f t="shared" ref="D911:D917" si="159">A911</f>
        <v>#N/A</v>
      </c>
      <c r="E911" s="610"/>
      <c r="J911" s="190"/>
    </row>
    <row r="912" spans="1:10" ht="13.35" customHeight="1">
      <c r="A912" s="610" t="e">
        <f t="shared" si="158"/>
        <v>#N/A</v>
      </c>
      <c r="B912" s="610"/>
      <c r="C912" s="200" t="s">
        <v>405</v>
      </c>
      <c r="D912" s="610" t="e">
        <f t="shared" si="159"/>
        <v>#N/A</v>
      </c>
      <c r="E912" s="610"/>
      <c r="J912" s="190"/>
    </row>
    <row r="913" spans="1:10" ht="13.35" customHeight="1">
      <c r="A913" s="182" t="e">
        <f t="shared" ca="1" si="158"/>
        <v>#N/A</v>
      </c>
      <c r="B913" s="183" t="str">
        <f>B905</f>
        <v xml:space="preserve">Lt: </v>
      </c>
      <c r="C913" s="200" t="s">
        <v>405</v>
      </c>
      <c r="D913" s="182" t="e">
        <f t="shared" ca="1" si="159"/>
        <v>#N/A</v>
      </c>
      <c r="E913" s="183" t="str">
        <f>B913</f>
        <v xml:space="preserve">Lt: </v>
      </c>
      <c r="J913" s="190"/>
    </row>
    <row r="914" spans="1:10" ht="13.35" customHeight="1">
      <c r="A914" s="610" t="str">
        <f t="shared" si="158"/>
        <v xml:space="preserve">  0</v>
      </c>
      <c r="B914" s="610"/>
      <c r="C914" s="200" t="s">
        <v>405</v>
      </c>
      <c r="D914" s="610" t="str">
        <f t="shared" si="159"/>
        <v xml:space="preserve">  0</v>
      </c>
      <c r="E914" s="610"/>
      <c r="J914" s="190"/>
    </row>
    <row r="915" spans="1:10" ht="13.35" customHeight="1">
      <c r="A915" s="609" t="str">
        <f t="shared" si="158"/>
        <v>QFP: JGARCIA   QFV: ADELTORO</v>
      </c>
      <c r="B915" s="609"/>
      <c r="C915" s="200" t="s">
        <v>405</v>
      </c>
      <c r="D915" s="609" t="str">
        <f t="shared" si="159"/>
        <v>QFP: JGARCIA   QFV: ADELTORO</v>
      </c>
      <c r="E915" s="609"/>
      <c r="J915" s="190"/>
    </row>
    <row r="916" spans="1:10" ht="13.35" customHeight="1">
      <c r="A916" s="609" t="str">
        <f t="shared" si="158"/>
        <v>C.JPC/SEXTO NTE/SCOOP   Cama: NA</v>
      </c>
      <c r="B916" s="609"/>
      <c r="C916" s="200" t="s">
        <v>405</v>
      </c>
      <c r="D916" s="609" t="str">
        <f t="shared" si="159"/>
        <v>C.JPC/SEXTO NTE/SCOOP   Cama: NA</v>
      </c>
      <c r="E916" s="609"/>
      <c r="J916" s="190"/>
    </row>
    <row r="917" spans="1:10" ht="13.35" customHeight="1">
      <c r="A917" s="609" t="str">
        <f t="shared" si="158"/>
        <v>UNIDOSSIS S.A.S.</v>
      </c>
      <c r="B917" s="609"/>
      <c r="C917" s="200" t="s">
        <v>405</v>
      </c>
      <c r="D917" s="609" t="str">
        <f t="shared" si="159"/>
        <v>UNIDOSSIS S.A.S.</v>
      </c>
      <c r="E917" s="609"/>
      <c r="J917" s="190"/>
    </row>
    <row r="918" spans="1:10" ht="13.35" customHeight="1">
      <c r="A918" s="199" t="s">
        <v>403</v>
      </c>
      <c r="B918" s="199" t="s">
        <v>403</v>
      </c>
      <c r="C918" s="200" t="s">
        <v>405</v>
      </c>
      <c r="D918" s="199" t="s">
        <v>404</v>
      </c>
      <c r="E918" s="199" t="s">
        <v>403</v>
      </c>
      <c r="J918" s="190"/>
    </row>
    <row r="919" spans="1:10" ht="13.35" customHeight="1">
      <c r="A919" s="610" t="e">
        <f t="shared" ref="A919:A925" si="160">A911</f>
        <v>#N/A</v>
      </c>
      <c r="B919" s="610"/>
      <c r="C919" s="200" t="s">
        <v>405</v>
      </c>
      <c r="D919" s="610" t="e">
        <f t="shared" ref="D919:D925" si="161">A919</f>
        <v>#N/A</v>
      </c>
      <c r="E919" s="610"/>
      <c r="J919" s="190"/>
    </row>
    <row r="920" spans="1:10" ht="13.35" customHeight="1">
      <c r="A920" s="610" t="e">
        <f t="shared" si="160"/>
        <v>#N/A</v>
      </c>
      <c r="B920" s="610"/>
      <c r="C920" s="200" t="s">
        <v>405</v>
      </c>
      <c r="D920" s="610" t="e">
        <f t="shared" si="161"/>
        <v>#N/A</v>
      </c>
      <c r="E920" s="610"/>
      <c r="J920" s="190"/>
    </row>
    <row r="921" spans="1:10" ht="13.35" customHeight="1">
      <c r="A921" s="182" t="e">
        <f t="shared" ca="1" si="160"/>
        <v>#N/A</v>
      </c>
      <c r="B921" s="183" t="str">
        <f>B913</f>
        <v xml:space="preserve">Lt: </v>
      </c>
      <c r="C921" s="200" t="s">
        <v>405</v>
      </c>
      <c r="D921" s="182" t="e">
        <f t="shared" ca="1" si="161"/>
        <v>#N/A</v>
      </c>
      <c r="E921" s="183" t="str">
        <f>B921</f>
        <v xml:space="preserve">Lt: </v>
      </c>
      <c r="J921" s="190"/>
    </row>
    <row r="922" spans="1:10" ht="13.35" customHeight="1">
      <c r="A922" s="610" t="str">
        <f t="shared" si="160"/>
        <v xml:space="preserve">  0</v>
      </c>
      <c r="B922" s="610"/>
      <c r="C922" s="200" t="s">
        <v>405</v>
      </c>
      <c r="D922" s="610" t="str">
        <f t="shared" si="161"/>
        <v xml:space="preserve">  0</v>
      </c>
      <c r="E922" s="610"/>
      <c r="J922" s="190"/>
    </row>
    <row r="923" spans="1:10" ht="13.35" customHeight="1">
      <c r="A923" s="609" t="str">
        <f t="shared" si="160"/>
        <v>QFP: JGARCIA   QFV: ADELTORO</v>
      </c>
      <c r="B923" s="609"/>
      <c r="C923" s="200" t="s">
        <v>405</v>
      </c>
      <c r="D923" s="609" t="str">
        <f t="shared" si="161"/>
        <v>QFP: JGARCIA   QFV: ADELTORO</v>
      </c>
      <c r="E923" s="609"/>
      <c r="J923" s="190"/>
    </row>
    <row r="924" spans="1:10" ht="13.35" customHeight="1">
      <c r="A924" s="609" t="str">
        <f t="shared" si="160"/>
        <v>C.JPC/SEXTO NTE/SCOOP   Cama: NA</v>
      </c>
      <c r="B924" s="609"/>
      <c r="C924" s="200" t="s">
        <v>405</v>
      </c>
      <c r="D924" s="609" t="str">
        <f t="shared" si="161"/>
        <v>C.JPC/SEXTO NTE/SCOOP   Cama: NA</v>
      </c>
      <c r="E924" s="609"/>
      <c r="J924" s="190"/>
    </row>
    <row r="925" spans="1:10" ht="13.35" customHeight="1">
      <c r="A925" s="609" t="str">
        <f t="shared" si="160"/>
        <v>UNIDOSSIS S.A.S.</v>
      </c>
      <c r="B925" s="609"/>
      <c r="C925" s="200" t="s">
        <v>405</v>
      </c>
      <c r="D925" s="609" t="str">
        <f t="shared" si="161"/>
        <v>UNIDOSSIS S.A.S.</v>
      </c>
      <c r="E925" s="609"/>
      <c r="J925" s="190"/>
    </row>
    <row r="926" spans="1:10" ht="13.35" customHeight="1">
      <c r="A926" s="199" t="s">
        <v>403</v>
      </c>
      <c r="B926" s="199" t="s">
        <v>403</v>
      </c>
      <c r="C926" s="200" t="s">
        <v>405</v>
      </c>
      <c r="D926" s="199" t="s">
        <v>404</v>
      </c>
      <c r="E926" s="199" t="s">
        <v>403</v>
      </c>
      <c r="J926" s="190"/>
    </row>
    <row r="927" spans="1:10" ht="13.35" customHeight="1">
      <c r="A927" s="610" t="e">
        <f t="shared" ref="A927:A933" si="162">A919</f>
        <v>#N/A</v>
      </c>
      <c r="B927" s="610"/>
      <c r="C927" s="200" t="s">
        <v>405</v>
      </c>
      <c r="D927" s="610" t="e">
        <f t="shared" ref="D927:D933" si="163">A927</f>
        <v>#N/A</v>
      </c>
      <c r="E927" s="610"/>
      <c r="J927" s="190"/>
    </row>
    <row r="928" spans="1:10" ht="13.35" customHeight="1">
      <c r="A928" s="610" t="e">
        <f t="shared" si="162"/>
        <v>#N/A</v>
      </c>
      <c r="B928" s="610"/>
      <c r="C928" s="200" t="s">
        <v>405</v>
      </c>
      <c r="D928" s="610" t="e">
        <f t="shared" si="163"/>
        <v>#N/A</v>
      </c>
      <c r="E928" s="610"/>
      <c r="J928" s="190"/>
    </row>
    <row r="929" spans="1:10" ht="13.35" customHeight="1">
      <c r="A929" s="182" t="e">
        <f t="shared" ca="1" si="162"/>
        <v>#N/A</v>
      </c>
      <c r="B929" s="183" t="str">
        <f>B921</f>
        <v xml:space="preserve">Lt: </v>
      </c>
      <c r="C929" s="200" t="s">
        <v>405</v>
      </c>
      <c r="D929" s="182" t="e">
        <f t="shared" ca="1" si="163"/>
        <v>#N/A</v>
      </c>
      <c r="E929" s="183" t="str">
        <f>B929</f>
        <v xml:space="preserve">Lt: </v>
      </c>
      <c r="J929" s="190"/>
    </row>
    <row r="930" spans="1:10" ht="13.35" customHeight="1">
      <c r="A930" s="610" t="str">
        <f t="shared" si="162"/>
        <v xml:space="preserve">  0</v>
      </c>
      <c r="B930" s="610"/>
      <c r="C930" s="200" t="s">
        <v>405</v>
      </c>
      <c r="D930" s="610" t="str">
        <f t="shared" si="163"/>
        <v xml:space="preserve">  0</v>
      </c>
      <c r="E930" s="610"/>
      <c r="J930" s="190"/>
    </row>
    <row r="931" spans="1:10" ht="13.35" customHeight="1">
      <c r="A931" s="609" t="str">
        <f t="shared" si="162"/>
        <v>QFP: JGARCIA   QFV: ADELTORO</v>
      </c>
      <c r="B931" s="609"/>
      <c r="C931" s="200" t="s">
        <v>405</v>
      </c>
      <c r="D931" s="609" t="str">
        <f t="shared" si="163"/>
        <v>QFP: JGARCIA   QFV: ADELTORO</v>
      </c>
      <c r="E931" s="609"/>
      <c r="J931" s="190"/>
    </row>
    <row r="932" spans="1:10" ht="13.35" customHeight="1">
      <c r="A932" s="609" t="str">
        <f t="shared" si="162"/>
        <v>C.JPC/SEXTO NTE/SCOOP   Cama: NA</v>
      </c>
      <c r="B932" s="609"/>
      <c r="C932" s="200" t="s">
        <v>405</v>
      </c>
      <c r="D932" s="609" t="str">
        <f t="shared" si="163"/>
        <v>C.JPC/SEXTO NTE/SCOOP   Cama: NA</v>
      </c>
      <c r="E932" s="609"/>
      <c r="J932" s="190"/>
    </row>
    <row r="933" spans="1:10" ht="13.35" customHeight="1">
      <c r="A933" s="609" t="str">
        <f t="shared" si="162"/>
        <v>UNIDOSSIS S.A.S.</v>
      </c>
      <c r="B933" s="609"/>
      <c r="C933" s="200" t="s">
        <v>405</v>
      </c>
      <c r="D933" s="609" t="str">
        <f t="shared" si="163"/>
        <v>UNIDOSSIS S.A.S.</v>
      </c>
      <c r="E933" s="609"/>
      <c r="J933" s="190"/>
    </row>
    <row r="934" spans="1:10" ht="13.35" customHeight="1">
      <c r="A934" s="610" t="e">
        <f>'DATOS ETIQ'!B$32&amp;"  "&amp;'DATOS ETIQ'!C$32&amp;"  "&amp;'DATOS ETIQ'!D$32&amp;'DATOS ETIQ'!Q$32</f>
        <v>#N/A</v>
      </c>
      <c r="B934" s="610"/>
      <c r="C934" s="200" t="s">
        <v>405</v>
      </c>
      <c r="D934" s="610" t="e">
        <f t="shared" ref="D934:D940" si="164">A934</f>
        <v>#N/A</v>
      </c>
      <c r="E934" s="610"/>
      <c r="J934" s="190"/>
    </row>
    <row r="935" spans="1:10" ht="13.35" customHeight="1" thickBot="1">
      <c r="A935" s="610" t="e">
        <f>IF('DATOS ETIQ'!P$32=1,"Do: "&amp;'DATOS ETIQ'!F$32&amp;"mg   VolDo: "&amp;'DATOS ETIQ'!G$32&amp;"mL","Dilución 1/"&amp;'DATOS ETIQ'!P$32&amp;"  "&amp;'DATOS ETIQ'!E$32&amp;"mg/mL   Do: "&amp;'DATOS ETIQ'!F$32&amp;"mg   VolDo: "&amp;'DATOS ETIQ'!G$32&amp;"mL")</f>
        <v>#N/A</v>
      </c>
      <c r="B935" s="610"/>
      <c r="C935" s="200" t="s">
        <v>405</v>
      </c>
      <c r="D935" s="610" t="e">
        <f t="shared" si="164"/>
        <v>#N/A</v>
      </c>
      <c r="E935" s="610"/>
      <c r="J935" s="190"/>
    </row>
    <row r="936" spans="1:10" ht="13.35" customHeight="1">
      <c r="A936" s="182" t="e">
        <f ca="1">'DATOS ETIQ'!H$32</f>
        <v>#N/A</v>
      </c>
      <c r="B936" s="183" t="str">
        <f>"Lt: "&amp;'DATOS ETIQ'!I$32</f>
        <v xml:space="preserve">Lt: </v>
      </c>
      <c r="C936" s="200" t="s">
        <v>405</v>
      </c>
      <c r="D936" s="182" t="e">
        <f t="shared" ca="1" si="164"/>
        <v>#N/A</v>
      </c>
      <c r="E936" s="183" t="str">
        <f>B936</f>
        <v xml:space="preserve">Lt: </v>
      </c>
      <c r="G936" s="611" t="e">
        <f>'FR PD 001 V1'!T36/4</f>
        <v>#N/A</v>
      </c>
      <c r="J936" s="611">
        <v>31</v>
      </c>
    </row>
    <row r="937" spans="1:10" ht="13.35" customHeight="1" thickBot="1">
      <c r="A937" s="610" t="str">
        <f>'DATOS ETIQ'!J$32&amp;"  "&amp;'DATOS ETIQ'!K$32</f>
        <v xml:space="preserve">  0</v>
      </c>
      <c r="B937" s="610"/>
      <c r="C937" s="200" t="s">
        <v>405</v>
      </c>
      <c r="D937" s="610" t="str">
        <f t="shared" si="164"/>
        <v xml:space="preserve">  0</v>
      </c>
      <c r="E937" s="610"/>
      <c r="G937" s="612"/>
      <c r="J937" s="612"/>
    </row>
    <row r="938" spans="1:10" ht="13.35" customHeight="1">
      <c r="A938" s="609" t="str">
        <f>"QFP: "&amp;'DATOS ETIQ'!L$32&amp;"   QFV: "&amp;'DATOS ETIQ'!M$32</f>
        <v>QFP: JGARCIA   QFV: ADELTORO</v>
      </c>
      <c r="B938" s="609"/>
      <c r="C938" s="200" t="s">
        <v>405</v>
      </c>
      <c r="D938" s="609" t="str">
        <f t="shared" si="164"/>
        <v>QFP: JGARCIA   QFV: ADELTORO</v>
      </c>
      <c r="E938" s="609"/>
      <c r="J938" s="190"/>
    </row>
    <row r="939" spans="1:10" ht="13.35" customHeight="1">
      <c r="A939" s="609" t="str">
        <f>'DATOS ETIQ'!N$32&amp;"   Cama: "&amp;'DATOS ETIQ'!O$32</f>
        <v>C.JPC/SEXTO NTE/SCOOP   Cama: NA</v>
      </c>
      <c r="B939" s="609"/>
      <c r="C939" s="200" t="s">
        <v>405</v>
      </c>
      <c r="D939" s="609" t="str">
        <f t="shared" si="164"/>
        <v>C.JPC/SEXTO NTE/SCOOP   Cama: NA</v>
      </c>
      <c r="E939" s="609"/>
      <c r="J939" s="190"/>
    </row>
    <row r="940" spans="1:10" ht="13.35" customHeight="1">
      <c r="A940" s="609" t="s">
        <v>167</v>
      </c>
      <c r="B940" s="609"/>
      <c r="C940" s="200" t="s">
        <v>405</v>
      </c>
      <c r="D940" s="609" t="str">
        <f t="shared" si="164"/>
        <v>UNIDOSSIS S.A.S.</v>
      </c>
      <c r="E940" s="609"/>
      <c r="J940" s="190"/>
    </row>
    <row r="941" spans="1:10" ht="13.35" customHeight="1">
      <c r="A941" s="199" t="s">
        <v>403</v>
      </c>
      <c r="B941" s="199" t="s">
        <v>403</v>
      </c>
      <c r="C941" s="200" t="s">
        <v>405</v>
      </c>
      <c r="D941" s="199" t="s">
        <v>404</v>
      </c>
      <c r="E941" s="199" t="s">
        <v>403</v>
      </c>
      <c r="J941" s="190"/>
    </row>
    <row r="942" spans="1:10" ht="13.35" customHeight="1">
      <c r="A942" s="610" t="e">
        <f t="shared" ref="A942:A948" si="165">A934</f>
        <v>#N/A</v>
      </c>
      <c r="B942" s="610"/>
      <c r="C942" s="200" t="s">
        <v>405</v>
      </c>
      <c r="D942" s="610" t="e">
        <f t="shared" ref="D942:D948" si="166">A942</f>
        <v>#N/A</v>
      </c>
      <c r="E942" s="610"/>
      <c r="J942" s="190"/>
    </row>
    <row r="943" spans="1:10" ht="13.35" customHeight="1">
      <c r="A943" s="610" t="e">
        <f t="shared" si="165"/>
        <v>#N/A</v>
      </c>
      <c r="B943" s="610"/>
      <c r="C943" s="200" t="s">
        <v>405</v>
      </c>
      <c r="D943" s="610" t="e">
        <f t="shared" si="166"/>
        <v>#N/A</v>
      </c>
      <c r="E943" s="610"/>
      <c r="J943" s="190"/>
    </row>
    <row r="944" spans="1:10" ht="13.35" customHeight="1">
      <c r="A944" s="182" t="e">
        <f t="shared" ca="1" si="165"/>
        <v>#N/A</v>
      </c>
      <c r="B944" s="183" t="str">
        <f>B936</f>
        <v xml:space="preserve">Lt: </v>
      </c>
      <c r="C944" s="200" t="s">
        <v>405</v>
      </c>
      <c r="D944" s="182" t="e">
        <f t="shared" ca="1" si="166"/>
        <v>#N/A</v>
      </c>
      <c r="E944" s="183" t="str">
        <f>B944</f>
        <v xml:space="preserve">Lt: </v>
      </c>
      <c r="J944" s="190"/>
    </row>
    <row r="945" spans="1:10" ht="13.35" customHeight="1">
      <c r="A945" s="610" t="str">
        <f t="shared" si="165"/>
        <v xml:space="preserve">  0</v>
      </c>
      <c r="B945" s="610"/>
      <c r="C945" s="200" t="s">
        <v>405</v>
      </c>
      <c r="D945" s="610" t="str">
        <f t="shared" si="166"/>
        <v xml:space="preserve">  0</v>
      </c>
      <c r="E945" s="610"/>
      <c r="J945" s="190"/>
    </row>
    <row r="946" spans="1:10" ht="13.35" customHeight="1">
      <c r="A946" s="609" t="str">
        <f t="shared" si="165"/>
        <v>QFP: JGARCIA   QFV: ADELTORO</v>
      </c>
      <c r="B946" s="609"/>
      <c r="C946" s="200" t="s">
        <v>405</v>
      </c>
      <c r="D946" s="609" t="str">
        <f t="shared" si="166"/>
        <v>QFP: JGARCIA   QFV: ADELTORO</v>
      </c>
      <c r="E946" s="609"/>
      <c r="J946" s="190"/>
    </row>
    <row r="947" spans="1:10" ht="13.35" customHeight="1">
      <c r="A947" s="609" t="str">
        <f t="shared" si="165"/>
        <v>C.JPC/SEXTO NTE/SCOOP   Cama: NA</v>
      </c>
      <c r="B947" s="609"/>
      <c r="C947" s="200" t="s">
        <v>405</v>
      </c>
      <c r="D947" s="609" t="str">
        <f t="shared" si="166"/>
        <v>C.JPC/SEXTO NTE/SCOOP   Cama: NA</v>
      </c>
      <c r="E947" s="609"/>
      <c r="J947" s="190"/>
    </row>
    <row r="948" spans="1:10" ht="13.35" customHeight="1">
      <c r="A948" s="609" t="str">
        <f t="shared" si="165"/>
        <v>UNIDOSSIS S.A.S.</v>
      </c>
      <c r="B948" s="609"/>
      <c r="C948" s="200" t="s">
        <v>405</v>
      </c>
      <c r="D948" s="609" t="str">
        <f t="shared" si="166"/>
        <v>UNIDOSSIS S.A.S.</v>
      </c>
      <c r="E948" s="609"/>
      <c r="J948" s="190"/>
    </row>
    <row r="949" spans="1:10" ht="13.35" customHeight="1">
      <c r="A949" s="199" t="s">
        <v>403</v>
      </c>
      <c r="B949" s="199" t="s">
        <v>403</v>
      </c>
      <c r="C949" s="200" t="s">
        <v>405</v>
      </c>
      <c r="D949" s="199" t="s">
        <v>404</v>
      </c>
      <c r="E949" s="199" t="s">
        <v>403</v>
      </c>
      <c r="J949" s="190"/>
    </row>
    <row r="950" spans="1:10" ht="13.35" customHeight="1">
      <c r="A950" s="610" t="e">
        <f t="shared" ref="A950:A956" si="167">A942</f>
        <v>#N/A</v>
      </c>
      <c r="B950" s="610"/>
      <c r="C950" s="200" t="s">
        <v>405</v>
      </c>
      <c r="D950" s="610" t="e">
        <f t="shared" ref="D950:D956" si="168">A950</f>
        <v>#N/A</v>
      </c>
      <c r="E950" s="610"/>
      <c r="J950" s="190"/>
    </row>
    <row r="951" spans="1:10" ht="13.35" customHeight="1">
      <c r="A951" s="610" t="e">
        <f t="shared" si="167"/>
        <v>#N/A</v>
      </c>
      <c r="B951" s="610"/>
      <c r="C951" s="200" t="s">
        <v>405</v>
      </c>
      <c r="D951" s="610" t="e">
        <f t="shared" si="168"/>
        <v>#N/A</v>
      </c>
      <c r="E951" s="610"/>
      <c r="J951" s="190"/>
    </row>
    <row r="952" spans="1:10" ht="13.35" customHeight="1">
      <c r="A952" s="182" t="e">
        <f t="shared" ca="1" si="167"/>
        <v>#N/A</v>
      </c>
      <c r="B952" s="183" t="str">
        <f>B944</f>
        <v xml:space="preserve">Lt: </v>
      </c>
      <c r="C952" s="200" t="s">
        <v>405</v>
      </c>
      <c r="D952" s="182" t="e">
        <f t="shared" ca="1" si="168"/>
        <v>#N/A</v>
      </c>
      <c r="E952" s="183" t="str">
        <f>B952</f>
        <v xml:space="preserve">Lt: </v>
      </c>
      <c r="J952" s="190"/>
    </row>
    <row r="953" spans="1:10" ht="13.35" customHeight="1">
      <c r="A953" s="610" t="str">
        <f t="shared" si="167"/>
        <v xml:space="preserve">  0</v>
      </c>
      <c r="B953" s="610"/>
      <c r="C953" s="200" t="s">
        <v>405</v>
      </c>
      <c r="D953" s="610" t="str">
        <f t="shared" si="168"/>
        <v xml:space="preserve">  0</v>
      </c>
      <c r="E953" s="610"/>
      <c r="J953" s="190"/>
    </row>
    <row r="954" spans="1:10" ht="13.35" customHeight="1">
      <c r="A954" s="609" t="str">
        <f t="shared" si="167"/>
        <v>QFP: JGARCIA   QFV: ADELTORO</v>
      </c>
      <c r="B954" s="609"/>
      <c r="C954" s="200" t="s">
        <v>405</v>
      </c>
      <c r="D954" s="609" t="str">
        <f t="shared" si="168"/>
        <v>QFP: JGARCIA   QFV: ADELTORO</v>
      </c>
      <c r="E954" s="609"/>
      <c r="J954" s="190"/>
    </row>
    <row r="955" spans="1:10" ht="13.35" customHeight="1">
      <c r="A955" s="609" t="str">
        <f t="shared" si="167"/>
        <v>C.JPC/SEXTO NTE/SCOOP   Cama: NA</v>
      </c>
      <c r="B955" s="609"/>
      <c r="C955" s="200" t="s">
        <v>405</v>
      </c>
      <c r="D955" s="609" t="str">
        <f t="shared" si="168"/>
        <v>C.JPC/SEXTO NTE/SCOOP   Cama: NA</v>
      </c>
      <c r="E955" s="609"/>
      <c r="J955" s="190"/>
    </row>
    <row r="956" spans="1:10" ht="13.35" customHeight="1">
      <c r="A956" s="609" t="str">
        <f t="shared" si="167"/>
        <v>UNIDOSSIS S.A.S.</v>
      </c>
      <c r="B956" s="609"/>
      <c r="C956" s="200" t="s">
        <v>405</v>
      </c>
      <c r="D956" s="609" t="str">
        <f t="shared" si="168"/>
        <v>UNIDOSSIS S.A.S.</v>
      </c>
      <c r="E956" s="609"/>
      <c r="J956" s="190"/>
    </row>
    <row r="957" spans="1:10" ht="13.35" customHeight="1">
      <c r="A957" s="199" t="s">
        <v>403</v>
      </c>
      <c r="B957" s="199" t="s">
        <v>403</v>
      </c>
      <c r="C957" s="200" t="s">
        <v>405</v>
      </c>
      <c r="D957" s="199" t="s">
        <v>404</v>
      </c>
      <c r="E957" s="199" t="s">
        <v>403</v>
      </c>
      <c r="J957" s="190"/>
    </row>
    <row r="958" spans="1:10" ht="13.35" customHeight="1">
      <c r="A958" s="610" t="e">
        <f t="shared" ref="A958:A964" si="169">A950</f>
        <v>#N/A</v>
      </c>
      <c r="B958" s="610"/>
      <c r="C958" s="200" t="s">
        <v>405</v>
      </c>
      <c r="D958" s="610" t="e">
        <f t="shared" ref="D958:D964" si="170">A958</f>
        <v>#N/A</v>
      </c>
      <c r="E958" s="610"/>
      <c r="J958" s="190"/>
    </row>
    <row r="959" spans="1:10" ht="13.35" customHeight="1">
      <c r="A959" s="610" t="e">
        <f t="shared" si="169"/>
        <v>#N/A</v>
      </c>
      <c r="B959" s="610"/>
      <c r="C959" s="200" t="s">
        <v>405</v>
      </c>
      <c r="D959" s="610" t="e">
        <f t="shared" si="170"/>
        <v>#N/A</v>
      </c>
      <c r="E959" s="610"/>
      <c r="J959" s="190"/>
    </row>
    <row r="960" spans="1:10" ht="13.35" customHeight="1">
      <c r="A960" s="182" t="e">
        <f t="shared" ca="1" si="169"/>
        <v>#N/A</v>
      </c>
      <c r="B960" s="183" t="str">
        <f>B952</f>
        <v xml:space="preserve">Lt: </v>
      </c>
      <c r="C960" s="200" t="s">
        <v>405</v>
      </c>
      <c r="D960" s="182" t="e">
        <f t="shared" ca="1" si="170"/>
        <v>#N/A</v>
      </c>
      <c r="E960" s="183" t="str">
        <f>B960</f>
        <v xml:space="preserve">Lt: </v>
      </c>
      <c r="J960" s="190"/>
    </row>
    <row r="961" spans="1:10" ht="13.35" customHeight="1">
      <c r="A961" s="610" t="str">
        <f t="shared" si="169"/>
        <v xml:space="preserve">  0</v>
      </c>
      <c r="B961" s="610"/>
      <c r="C961" s="200" t="s">
        <v>405</v>
      </c>
      <c r="D961" s="610" t="str">
        <f t="shared" si="170"/>
        <v xml:space="preserve">  0</v>
      </c>
      <c r="E961" s="610"/>
      <c r="J961" s="190"/>
    </row>
    <row r="962" spans="1:10" ht="13.35" customHeight="1">
      <c r="A962" s="609" t="str">
        <f t="shared" si="169"/>
        <v>QFP: JGARCIA   QFV: ADELTORO</v>
      </c>
      <c r="B962" s="609"/>
      <c r="C962" s="200" t="s">
        <v>405</v>
      </c>
      <c r="D962" s="609" t="str">
        <f t="shared" si="170"/>
        <v>QFP: JGARCIA   QFV: ADELTORO</v>
      </c>
      <c r="E962" s="609"/>
      <c r="J962" s="190"/>
    </row>
    <row r="963" spans="1:10" ht="13.35" customHeight="1">
      <c r="A963" s="609" t="str">
        <f t="shared" si="169"/>
        <v>C.JPC/SEXTO NTE/SCOOP   Cama: NA</v>
      </c>
      <c r="B963" s="609"/>
      <c r="C963" s="200" t="s">
        <v>405</v>
      </c>
      <c r="D963" s="609" t="str">
        <f t="shared" si="170"/>
        <v>C.JPC/SEXTO NTE/SCOOP   Cama: NA</v>
      </c>
      <c r="E963" s="609"/>
      <c r="J963" s="190"/>
    </row>
    <row r="964" spans="1:10" ht="13.35" customHeight="1">
      <c r="A964" s="609" t="str">
        <f t="shared" si="169"/>
        <v>UNIDOSSIS S.A.S.</v>
      </c>
      <c r="B964" s="609"/>
      <c r="C964" s="200" t="s">
        <v>405</v>
      </c>
      <c r="D964" s="609" t="str">
        <f t="shared" si="170"/>
        <v>UNIDOSSIS S.A.S.</v>
      </c>
      <c r="E964" s="609"/>
      <c r="J964" s="190"/>
    </row>
    <row r="965" spans="1:10" ht="13.35" customHeight="1">
      <c r="A965" s="610" t="e">
        <f>'DATOS ETIQ'!B$33&amp;"  "&amp;'DATOS ETIQ'!C$33&amp;"  "&amp;'DATOS ETIQ'!D$33&amp;'DATOS ETIQ'!Q$33</f>
        <v>#N/A</v>
      </c>
      <c r="B965" s="610"/>
      <c r="C965" s="200" t="s">
        <v>405</v>
      </c>
      <c r="D965" s="610" t="e">
        <f t="shared" ref="D965:D971" si="171">A965</f>
        <v>#N/A</v>
      </c>
      <c r="E965" s="610"/>
      <c r="J965" s="190"/>
    </row>
    <row r="966" spans="1:10" ht="13.35" customHeight="1" thickBot="1">
      <c r="A966" s="610" t="e">
        <f>IF('DATOS ETIQ'!P$33=1,"Do: "&amp;'DATOS ETIQ'!F$33&amp;"mg   VolDo: "&amp;'DATOS ETIQ'!G$33&amp;"mL","Dilución 1/"&amp;'DATOS ETIQ'!P$33&amp;"  "&amp;'DATOS ETIQ'!E$33&amp;"mg/mL   Do: "&amp;'DATOS ETIQ'!F$33&amp;"mg   VolDo: "&amp;'DATOS ETIQ'!G$33&amp;"mL")</f>
        <v>#N/A</v>
      </c>
      <c r="B966" s="610"/>
      <c r="C966" s="200" t="s">
        <v>405</v>
      </c>
      <c r="D966" s="610" t="e">
        <f t="shared" si="171"/>
        <v>#N/A</v>
      </c>
      <c r="E966" s="610"/>
      <c r="J966" s="190"/>
    </row>
    <row r="967" spans="1:10" ht="13.35" customHeight="1">
      <c r="A967" s="182" t="e">
        <f ca="1">'DATOS ETIQ'!H$33</f>
        <v>#N/A</v>
      </c>
      <c r="B967" s="183" t="str">
        <f>"Lt: "&amp;'DATOS ETIQ'!I$33</f>
        <v xml:space="preserve">Lt: </v>
      </c>
      <c r="C967" s="200" t="s">
        <v>405</v>
      </c>
      <c r="D967" s="182" t="e">
        <f t="shared" ca="1" si="171"/>
        <v>#N/A</v>
      </c>
      <c r="E967" s="183" t="str">
        <f>B967</f>
        <v xml:space="preserve">Lt: </v>
      </c>
      <c r="G967" s="611" t="e">
        <f>'FR PD 001 V1'!T37/4</f>
        <v>#N/A</v>
      </c>
      <c r="J967" s="611">
        <v>32</v>
      </c>
    </row>
    <row r="968" spans="1:10" ht="13.35" customHeight="1" thickBot="1">
      <c r="A968" s="610" t="str">
        <f>'DATOS ETIQ'!J$33&amp;"  "&amp;'DATOS ETIQ'!K$33</f>
        <v xml:space="preserve">  0</v>
      </c>
      <c r="B968" s="610"/>
      <c r="C968" s="200" t="s">
        <v>405</v>
      </c>
      <c r="D968" s="610" t="str">
        <f t="shared" si="171"/>
        <v xml:space="preserve">  0</v>
      </c>
      <c r="E968" s="610"/>
      <c r="G968" s="612"/>
      <c r="J968" s="612"/>
    </row>
    <row r="969" spans="1:10" ht="13.35" customHeight="1">
      <c r="A969" s="609" t="str">
        <f>"QFP: "&amp;'DATOS ETIQ'!L$33&amp;"   QFV: "&amp;'DATOS ETIQ'!M$33</f>
        <v>QFP: JGARCIA   QFV: ADELTORO</v>
      </c>
      <c r="B969" s="609"/>
      <c r="C969" s="200" t="s">
        <v>405</v>
      </c>
      <c r="D969" s="609" t="str">
        <f t="shared" si="171"/>
        <v>QFP: JGARCIA   QFV: ADELTORO</v>
      </c>
      <c r="E969" s="609"/>
      <c r="J969" s="190"/>
    </row>
    <row r="970" spans="1:10" ht="13.35" customHeight="1">
      <c r="A970" s="609" t="str">
        <f>'DATOS ETIQ'!N$33&amp;"   Cama: "&amp;'DATOS ETIQ'!O$33</f>
        <v>C.JPC/SEXTO NTE/SCOOP   Cama: NA</v>
      </c>
      <c r="B970" s="609"/>
      <c r="C970" s="200" t="s">
        <v>405</v>
      </c>
      <c r="D970" s="609" t="str">
        <f t="shared" si="171"/>
        <v>C.JPC/SEXTO NTE/SCOOP   Cama: NA</v>
      </c>
      <c r="E970" s="609"/>
      <c r="J970" s="190"/>
    </row>
    <row r="971" spans="1:10" ht="13.35" customHeight="1">
      <c r="A971" s="609" t="s">
        <v>167</v>
      </c>
      <c r="B971" s="609"/>
      <c r="C971" s="200" t="s">
        <v>405</v>
      </c>
      <c r="D971" s="609" t="str">
        <f t="shared" si="171"/>
        <v>UNIDOSSIS S.A.S.</v>
      </c>
      <c r="E971" s="609"/>
      <c r="J971" s="190"/>
    </row>
    <row r="972" spans="1:10" ht="13.35" customHeight="1">
      <c r="A972" s="199" t="s">
        <v>403</v>
      </c>
      <c r="B972" s="199" t="s">
        <v>403</v>
      </c>
      <c r="C972" s="200" t="s">
        <v>405</v>
      </c>
      <c r="D972" s="199" t="s">
        <v>404</v>
      </c>
      <c r="E972" s="199" t="s">
        <v>403</v>
      </c>
      <c r="J972" s="190"/>
    </row>
    <row r="973" spans="1:10" ht="13.35" customHeight="1">
      <c r="A973" s="610" t="e">
        <f t="shared" ref="A973:A979" si="172">A965</f>
        <v>#N/A</v>
      </c>
      <c r="B973" s="610"/>
      <c r="C973" s="200" t="s">
        <v>405</v>
      </c>
      <c r="D973" s="610" t="e">
        <f t="shared" ref="D973:D979" si="173">A973</f>
        <v>#N/A</v>
      </c>
      <c r="E973" s="610"/>
      <c r="J973" s="190"/>
    </row>
    <row r="974" spans="1:10" ht="13.35" customHeight="1">
      <c r="A974" s="610" t="e">
        <f t="shared" si="172"/>
        <v>#N/A</v>
      </c>
      <c r="B974" s="610"/>
      <c r="C974" s="200" t="s">
        <v>405</v>
      </c>
      <c r="D974" s="610" t="e">
        <f t="shared" si="173"/>
        <v>#N/A</v>
      </c>
      <c r="E974" s="610"/>
      <c r="J974" s="190"/>
    </row>
    <row r="975" spans="1:10" ht="13.35" customHeight="1">
      <c r="A975" s="182" t="e">
        <f t="shared" ca="1" si="172"/>
        <v>#N/A</v>
      </c>
      <c r="B975" s="183" t="str">
        <f>B967</f>
        <v xml:space="preserve">Lt: </v>
      </c>
      <c r="C975" s="200" t="s">
        <v>405</v>
      </c>
      <c r="D975" s="182" t="e">
        <f t="shared" ca="1" si="173"/>
        <v>#N/A</v>
      </c>
      <c r="E975" s="183" t="str">
        <f>B975</f>
        <v xml:space="preserve">Lt: </v>
      </c>
      <c r="J975" s="190"/>
    </row>
    <row r="976" spans="1:10" ht="13.35" customHeight="1">
      <c r="A976" s="610" t="str">
        <f t="shared" si="172"/>
        <v xml:space="preserve">  0</v>
      </c>
      <c r="B976" s="610"/>
      <c r="C976" s="200" t="s">
        <v>405</v>
      </c>
      <c r="D976" s="610" t="str">
        <f t="shared" si="173"/>
        <v xml:space="preserve">  0</v>
      </c>
      <c r="E976" s="610"/>
      <c r="J976" s="190"/>
    </row>
    <row r="977" spans="1:10" ht="13.35" customHeight="1">
      <c r="A977" s="609" t="str">
        <f t="shared" si="172"/>
        <v>QFP: JGARCIA   QFV: ADELTORO</v>
      </c>
      <c r="B977" s="609"/>
      <c r="C977" s="200" t="s">
        <v>405</v>
      </c>
      <c r="D977" s="609" t="str">
        <f t="shared" si="173"/>
        <v>QFP: JGARCIA   QFV: ADELTORO</v>
      </c>
      <c r="E977" s="609"/>
      <c r="J977" s="190"/>
    </row>
    <row r="978" spans="1:10" ht="13.35" customHeight="1">
      <c r="A978" s="609" t="str">
        <f t="shared" si="172"/>
        <v>C.JPC/SEXTO NTE/SCOOP   Cama: NA</v>
      </c>
      <c r="B978" s="609"/>
      <c r="C978" s="200" t="s">
        <v>405</v>
      </c>
      <c r="D978" s="609" t="str">
        <f t="shared" si="173"/>
        <v>C.JPC/SEXTO NTE/SCOOP   Cama: NA</v>
      </c>
      <c r="E978" s="609"/>
      <c r="J978" s="190"/>
    </row>
    <row r="979" spans="1:10" ht="13.35" customHeight="1">
      <c r="A979" s="609" t="str">
        <f t="shared" si="172"/>
        <v>UNIDOSSIS S.A.S.</v>
      </c>
      <c r="B979" s="609"/>
      <c r="C979" s="200" t="s">
        <v>405</v>
      </c>
      <c r="D979" s="609" t="str">
        <f t="shared" si="173"/>
        <v>UNIDOSSIS S.A.S.</v>
      </c>
      <c r="E979" s="609"/>
      <c r="J979" s="190"/>
    </row>
    <row r="980" spans="1:10" ht="13.35" customHeight="1">
      <c r="A980" s="199" t="s">
        <v>403</v>
      </c>
      <c r="B980" s="199" t="s">
        <v>403</v>
      </c>
      <c r="C980" s="200" t="s">
        <v>405</v>
      </c>
      <c r="D980" s="199" t="s">
        <v>404</v>
      </c>
      <c r="E980" s="199" t="s">
        <v>403</v>
      </c>
      <c r="J980" s="190"/>
    </row>
    <row r="981" spans="1:10" ht="13.35" customHeight="1">
      <c r="A981" s="610" t="e">
        <f t="shared" ref="A981:A987" si="174">A973</f>
        <v>#N/A</v>
      </c>
      <c r="B981" s="610"/>
      <c r="C981" s="200" t="s">
        <v>405</v>
      </c>
      <c r="D981" s="610" t="e">
        <f t="shared" ref="D981:D987" si="175">A981</f>
        <v>#N/A</v>
      </c>
      <c r="E981" s="610"/>
      <c r="J981" s="190"/>
    </row>
    <row r="982" spans="1:10" ht="13.35" customHeight="1">
      <c r="A982" s="610" t="e">
        <f t="shared" si="174"/>
        <v>#N/A</v>
      </c>
      <c r="B982" s="610"/>
      <c r="C982" s="200" t="s">
        <v>405</v>
      </c>
      <c r="D982" s="610" t="e">
        <f t="shared" si="175"/>
        <v>#N/A</v>
      </c>
      <c r="E982" s="610"/>
      <c r="J982" s="190"/>
    </row>
    <row r="983" spans="1:10" ht="13.35" customHeight="1">
      <c r="A983" s="182" t="e">
        <f t="shared" ca="1" si="174"/>
        <v>#N/A</v>
      </c>
      <c r="B983" s="183" t="str">
        <f>B975</f>
        <v xml:space="preserve">Lt: </v>
      </c>
      <c r="C983" s="200" t="s">
        <v>405</v>
      </c>
      <c r="D983" s="182" t="e">
        <f t="shared" ca="1" si="175"/>
        <v>#N/A</v>
      </c>
      <c r="E983" s="183" t="str">
        <f>B983</f>
        <v xml:space="preserve">Lt: </v>
      </c>
      <c r="J983" s="190"/>
    </row>
    <row r="984" spans="1:10" ht="13.35" customHeight="1">
      <c r="A984" s="610" t="str">
        <f t="shared" si="174"/>
        <v xml:space="preserve">  0</v>
      </c>
      <c r="B984" s="610"/>
      <c r="C984" s="200" t="s">
        <v>405</v>
      </c>
      <c r="D984" s="610" t="str">
        <f t="shared" si="175"/>
        <v xml:space="preserve">  0</v>
      </c>
      <c r="E984" s="610"/>
      <c r="J984" s="190"/>
    </row>
    <row r="985" spans="1:10" ht="13.35" customHeight="1">
      <c r="A985" s="609" t="str">
        <f t="shared" si="174"/>
        <v>QFP: JGARCIA   QFV: ADELTORO</v>
      </c>
      <c r="B985" s="609"/>
      <c r="C985" s="200" t="s">
        <v>405</v>
      </c>
      <c r="D985" s="609" t="str">
        <f t="shared" si="175"/>
        <v>QFP: JGARCIA   QFV: ADELTORO</v>
      </c>
      <c r="E985" s="609"/>
      <c r="J985" s="190"/>
    </row>
    <row r="986" spans="1:10" ht="13.35" customHeight="1">
      <c r="A986" s="609" t="str">
        <f t="shared" si="174"/>
        <v>C.JPC/SEXTO NTE/SCOOP   Cama: NA</v>
      </c>
      <c r="B986" s="609"/>
      <c r="C986" s="200" t="s">
        <v>405</v>
      </c>
      <c r="D986" s="609" t="str">
        <f t="shared" si="175"/>
        <v>C.JPC/SEXTO NTE/SCOOP   Cama: NA</v>
      </c>
      <c r="E986" s="609"/>
      <c r="J986" s="190"/>
    </row>
    <row r="987" spans="1:10" ht="13.35" customHeight="1">
      <c r="A987" s="609" t="str">
        <f t="shared" si="174"/>
        <v>UNIDOSSIS S.A.S.</v>
      </c>
      <c r="B987" s="609"/>
      <c r="C987" s="200" t="s">
        <v>405</v>
      </c>
      <c r="D987" s="609" t="str">
        <f t="shared" si="175"/>
        <v>UNIDOSSIS S.A.S.</v>
      </c>
      <c r="E987" s="609"/>
      <c r="J987" s="190"/>
    </row>
    <row r="988" spans="1:10" ht="13.35" customHeight="1">
      <c r="A988" s="199" t="s">
        <v>403</v>
      </c>
      <c r="B988" s="199" t="s">
        <v>403</v>
      </c>
      <c r="C988" s="200" t="s">
        <v>405</v>
      </c>
      <c r="D988" s="199" t="s">
        <v>404</v>
      </c>
      <c r="E988" s="199" t="s">
        <v>403</v>
      </c>
      <c r="J988" s="190"/>
    </row>
    <row r="989" spans="1:10" ht="13.35" customHeight="1">
      <c r="A989" s="610" t="e">
        <f t="shared" ref="A989:A995" si="176">A981</f>
        <v>#N/A</v>
      </c>
      <c r="B989" s="610"/>
      <c r="C989" s="200" t="s">
        <v>405</v>
      </c>
      <c r="D989" s="610" t="e">
        <f t="shared" ref="D989:D995" si="177">A989</f>
        <v>#N/A</v>
      </c>
      <c r="E989" s="610"/>
      <c r="J989" s="190"/>
    </row>
    <row r="990" spans="1:10" ht="13.35" customHeight="1">
      <c r="A990" s="610" t="e">
        <f t="shared" si="176"/>
        <v>#N/A</v>
      </c>
      <c r="B990" s="610"/>
      <c r="C990" s="200" t="s">
        <v>405</v>
      </c>
      <c r="D990" s="610" t="e">
        <f t="shared" si="177"/>
        <v>#N/A</v>
      </c>
      <c r="E990" s="610"/>
      <c r="J990" s="190"/>
    </row>
    <row r="991" spans="1:10" ht="13.35" customHeight="1">
      <c r="A991" s="182" t="e">
        <f t="shared" ca="1" si="176"/>
        <v>#N/A</v>
      </c>
      <c r="B991" s="183" t="str">
        <f>B983</f>
        <v xml:space="preserve">Lt: </v>
      </c>
      <c r="C991" s="200" t="s">
        <v>405</v>
      </c>
      <c r="D991" s="182" t="e">
        <f t="shared" ca="1" si="177"/>
        <v>#N/A</v>
      </c>
      <c r="E991" s="183" t="str">
        <f>B991</f>
        <v xml:space="preserve">Lt: </v>
      </c>
      <c r="J991" s="190"/>
    </row>
    <row r="992" spans="1:10" ht="13.35" customHeight="1">
      <c r="A992" s="610" t="str">
        <f t="shared" si="176"/>
        <v xml:space="preserve">  0</v>
      </c>
      <c r="B992" s="610"/>
      <c r="C992" s="200" t="s">
        <v>405</v>
      </c>
      <c r="D992" s="610" t="str">
        <f t="shared" si="177"/>
        <v xml:space="preserve">  0</v>
      </c>
      <c r="E992" s="610"/>
      <c r="J992" s="190"/>
    </row>
    <row r="993" spans="1:10" ht="13.35" customHeight="1">
      <c r="A993" s="609" t="str">
        <f t="shared" si="176"/>
        <v>QFP: JGARCIA   QFV: ADELTORO</v>
      </c>
      <c r="B993" s="609"/>
      <c r="C993" s="200" t="s">
        <v>405</v>
      </c>
      <c r="D993" s="609" t="str">
        <f t="shared" si="177"/>
        <v>QFP: JGARCIA   QFV: ADELTORO</v>
      </c>
      <c r="E993" s="609"/>
      <c r="J993" s="190"/>
    </row>
    <row r="994" spans="1:10" ht="13.35" customHeight="1">
      <c r="A994" s="609" t="str">
        <f t="shared" si="176"/>
        <v>C.JPC/SEXTO NTE/SCOOP   Cama: NA</v>
      </c>
      <c r="B994" s="609"/>
      <c r="C994" s="200" t="s">
        <v>405</v>
      </c>
      <c r="D994" s="609" t="str">
        <f t="shared" si="177"/>
        <v>C.JPC/SEXTO NTE/SCOOP   Cama: NA</v>
      </c>
      <c r="E994" s="609"/>
      <c r="J994" s="190"/>
    </row>
    <row r="995" spans="1:10" ht="13.35" customHeight="1">
      <c r="A995" s="609" t="str">
        <f t="shared" si="176"/>
        <v>UNIDOSSIS S.A.S.</v>
      </c>
      <c r="B995" s="609"/>
      <c r="C995" s="200" t="s">
        <v>405</v>
      </c>
      <c r="D995" s="609" t="str">
        <f t="shared" si="177"/>
        <v>UNIDOSSIS S.A.S.</v>
      </c>
      <c r="E995" s="609"/>
      <c r="J995" s="190"/>
    </row>
    <row r="996" spans="1:10" ht="13.35" customHeight="1">
      <c r="A996" s="610" t="e">
        <f>'DATOS ETIQ'!B$34&amp;"  "&amp;'DATOS ETIQ'!C$34&amp;"  "&amp;'DATOS ETIQ'!D$34&amp;'DATOS ETIQ'!Q$34</f>
        <v>#N/A</v>
      </c>
      <c r="B996" s="610"/>
      <c r="C996" s="200" t="s">
        <v>405</v>
      </c>
      <c r="D996" s="610" t="e">
        <f t="shared" ref="D996:D1002" si="178">A996</f>
        <v>#N/A</v>
      </c>
      <c r="E996" s="610"/>
      <c r="J996" s="190"/>
    </row>
    <row r="997" spans="1:10" ht="13.35" customHeight="1" thickBot="1">
      <c r="A997" s="610" t="e">
        <f>IF('DATOS ETIQ'!P$34=1,"Do: "&amp;'DATOS ETIQ'!F$34&amp;"mg   VolDo: "&amp;'DATOS ETIQ'!G$34&amp;"mL","Dilución 1/"&amp;'DATOS ETIQ'!P$34&amp;"  "&amp;'DATOS ETIQ'!E$34&amp;"mg/mL   Do: "&amp;'DATOS ETIQ'!F$34&amp;"mg   VolDo: "&amp;'DATOS ETIQ'!G$34&amp;"mL")</f>
        <v>#N/A</v>
      </c>
      <c r="B997" s="610"/>
      <c r="C997" s="200" t="s">
        <v>405</v>
      </c>
      <c r="D997" s="610" t="e">
        <f t="shared" si="178"/>
        <v>#N/A</v>
      </c>
      <c r="E997" s="610"/>
      <c r="J997" s="190"/>
    </row>
    <row r="998" spans="1:10" ht="13.35" customHeight="1">
      <c r="A998" s="182" t="e">
        <f ca="1">'DATOS ETIQ'!H$34</f>
        <v>#N/A</v>
      </c>
      <c r="B998" s="183" t="str">
        <f>"Lt: "&amp;'DATOS ETIQ'!I$34</f>
        <v xml:space="preserve">Lt: </v>
      </c>
      <c r="C998" s="200" t="s">
        <v>405</v>
      </c>
      <c r="D998" s="182" t="e">
        <f t="shared" ca="1" si="178"/>
        <v>#N/A</v>
      </c>
      <c r="E998" s="183" t="str">
        <f>B998</f>
        <v xml:space="preserve">Lt: </v>
      </c>
      <c r="G998" s="611" t="e">
        <f>'FR PD 001 V1'!T38/4</f>
        <v>#N/A</v>
      </c>
      <c r="J998" s="611">
        <v>33</v>
      </c>
    </row>
    <row r="999" spans="1:10" ht="13.35" customHeight="1" thickBot="1">
      <c r="A999" s="610" t="str">
        <f>'DATOS ETIQ'!J$34&amp;"  "&amp;'DATOS ETIQ'!K$34</f>
        <v xml:space="preserve">  0</v>
      </c>
      <c r="B999" s="610"/>
      <c r="C999" s="200" t="s">
        <v>405</v>
      </c>
      <c r="D999" s="610" t="str">
        <f t="shared" si="178"/>
        <v xml:space="preserve">  0</v>
      </c>
      <c r="E999" s="610"/>
      <c r="G999" s="612"/>
      <c r="J999" s="612"/>
    </row>
    <row r="1000" spans="1:10" ht="13.35" customHeight="1">
      <c r="A1000" s="609" t="str">
        <f>"QFP: "&amp;'DATOS ETIQ'!L$34&amp;"   QFV: "&amp;'DATOS ETIQ'!M$34</f>
        <v>QFP: JGARCIA   QFV: ADELTORO</v>
      </c>
      <c r="B1000" s="609"/>
      <c r="C1000" s="200" t="s">
        <v>405</v>
      </c>
      <c r="D1000" s="609" t="str">
        <f t="shared" si="178"/>
        <v>QFP: JGARCIA   QFV: ADELTORO</v>
      </c>
      <c r="E1000" s="609"/>
      <c r="J1000" s="190"/>
    </row>
    <row r="1001" spans="1:10" ht="13.35" customHeight="1">
      <c r="A1001" s="609" t="str">
        <f>'DATOS ETIQ'!N$34&amp;"   Cama: "&amp;'DATOS ETIQ'!O$34</f>
        <v>C.JPC/SEXTO NTE/SCOOP   Cama: NA</v>
      </c>
      <c r="B1001" s="609"/>
      <c r="C1001" s="200" t="s">
        <v>405</v>
      </c>
      <c r="D1001" s="609" t="str">
        <f t="shared" si="178"/>
        <v>C.JPC/SEXTO NTE/SCOOP   Cama: NA</v>
      </c>
      <c r="E1001" s="609"/>
      <c r="J1001" s="190"/>
    </row>
    <row r="1002" spans="1:10" ht="13.35" customHeight="1">
      <c r="A1002" s="609" t="s">
        <v>167</v>
      </c>
      <c r="B1002" s="609"/>
      <c r="C1002" s="200" t="s">
        <v>405</v>
      </c>
      <c r="D1002" s="609" t="str">
        <f t="shared" si="178"/>
        <v>UNIDOSSIS S.A.S.</v>
      </c>
      <c r="E1002" s="609"/>
      <c r="J1002" s="190"/>
    </row>
    <row r="1003" spans="1:10" ht="13.35" customHeight="1">
      <c r="A1003" s="199" t="s">
        <v>403</v>
      </c>
      <c r="B1003" s="199" t="s">
        <v>403</v>
      </c>
      <c r="C1003" s="200" t="s">
        <v>405</v>
      </c>
      <c r="D1003" s="199" t="s">
        <v>404</v>
      </c>
      <c r="E1003" s="199" t="s">
        <v>403</v>
      </c>
      <c r="J1003" s="190"/>
    </row>
    <row r="1004" spans="1:10" ht="13.35" customHeight="1">
      <c r="A1004" s="610" t="e">
        <f t="shared" ref="A1004:A1010" si="179">A996</f>
        <v>#N/A</v>
      </c>
      <c r="B1004" s="610"/>
      <c r="C1004" s="200" t="s">
        <v>405</v>
      </c>
      <c r="D1004" s="610" t="e">
        <f t="shared" ref="D1004:D1010" si="180">A1004</f>
        <v>#N/A</v>
      </c>
      <c r="E1004" s="610"/>
      <c r="J1004" s="190"/>
    </row>
    <row r="1005" spans="1:10" ht="13.35" customHeight="1">
      <c r="A1005" s="610" t="e">
        <f t="shared" si="179"/>
        <v>#N/A</v>
      </c>
      <c r="B1005" s="610"/>
      <c r="C1005" s="200" t="s">
        <v>405</v>
      </c>
      <c r="D1005" s="610" t="e">
        <f t="shared" si="180"/>
        <v>#N/A</v>
      </c>
      <c r="E1005" s="610"/>
      <c r="J1005" s="190"/>
    </row>
    <row r="1006" spans="1:10" ht="13.35" customHeight="1">
      <c r="A1006" s="182" t="e">
        <f t="shared" ca="1" si="179"/>
        <v>#N/A</v>
      </c>
      <c r="B1006" s="183" t="str">
        <f>B998</f>
        <v xml:space="preserve">Lt: </v>
      </c>
      <c r="C1006" s="200" t="s">
        <v>405</v>
      </c>
      <c r="D1006" s="182" t="e">
        <f t="shared" ca="1" si="180"/>
        <v>#N/A</v>
      </c>
      <c r="E1006" s="183" t="str">
        <f>B1006</f>
        <v xml:space="preserve">Lt: </v>
      </c>
      <c r="J1006" s="190"/>
    </row>
    <row r="1007" spans="1:10" ht="13.35" customHeight="1">
      <c r="A1007" s="610" t="str">
        <f t="shared" si="179"/>
        <v xml:space="preserve">  0</v>
      </c>
      <c r="B1007" s="610"/>
      <c r="C1007" s="200" t="s">
        <v>405</v>
      </c>
      <c r="D1007" s="610" t="str">
        <f t="shared" si="180"/>
        <v xml:space="preserve">  0</v>
      </c>
      <c r="E1007" s="610"/>
      <c r="J1007" s="190"/>
    </row>
    <row r="1008" spans="1:10" ht="13.35" customHeight="1">
      <c r="A1008" s="609" t="str">
        <f t="shared" si="179"/>
        <v>QFP: JGARCIA   QFV: ADELTORO</v>
      </c>
      <c r="B1008" s="609"/>
      <c r="C1008" s="200" t="s">
        <v>405</v>
      </c>
      <c r="D1008" s="609" t="str">
        <f t="shared" si="180"/>
        <v>QFP: JGARCIA   QFV: ADELTORO</v>
      </c>
      <c r="E1008" s="609"/>
      <c r="J1008" s="190"/>
    </row>
    <row r="1009" spans="1:10" ht="13.35" customHeight="1">
      <c r="A1009" s="609" t="str">
        <f t="shared" si="179"/>
        <v>C.JPC/SEXTO NTE/SCOOP   Cama: NA</v>
      </c>
      <c r="B1009" s="609"/>
      <c r="C1009" s="200" t="s">
        <v>405</v>
      </c>
      <c r="D1009" s="609" t="str">
        <f t="shared" si="180"/>
        <v>C.JPC/SEXTO NTE/SCOOP   Cama: NA</v>
      </c>
      <c r="E1009" s="609"/>
      <c r="J1009" s="190"/>
    </row>
    <row r="1010" spans="1:10" ht="13.35" customHeight="1">
      <c r="A1010" s="609" t="str">
        <f t="shared" si="179"/>
        <v>UNIDOSSIS S.A.S.</v>
      </c>
      <c r="B1010" s="609"/>
      <c r="C1010" s="200" t="s">
        <v>405</v>
      </c>
      <c r="D1010" s="609" t="str">
        <f t="shared" si="180"/>
        <v>UNIDOSSIS S.A.S.</v>
      </c>
      <c r="E1010" s="609"/>
      <c r="J1010" s="190"/>
    </row>
    <row r="1011" spans="1:10" ht="13.35" customHeight="1">
      <c r="A1011" s="199" t="s">
        <v>403</v>
      </c>
      <c r="B1011" s="199" t="s">
        <v>403</v>
      </c>
      <c r="C1011" s="200" t="s">
        <v>405</v>
      </c>
      <c r="D1011" s="199" t="s">
        <v>404</v>
      </c>
      <c r="E1011" s="199" t="s">
        <v>403</v>
      </c>
      <c r="J1011" s="190"/>
    </row>
    <row r="1012" spans="1:10" ht="13.35" customHeight="1">
      <c r="A1012" s="610" t="e">
        <f t="shared" ref="A1012:A1018" si="181">A1004</f>
        <v>#N/A</v>
      </c>
      <c r="B1012" s="610"/>
      <c r="C1012" s="200" t="s">
        <v>405</v>
      </c>
      <c r="D1012" s="610" t="e">
        <f t="shared" ref="D1012:D1018" si="182">A1012</f>
        <v>#N/A</v>
      </c>
      <c r="E1012" s="610"/>
      <c r="J1012" s="190"/>
    </row>
    <row r="1013" spans="1:10" ht="13.35" customHeight="1">
      <c r="A1013" s="610" t="e">
        <f t="shared" si="181"/>
        <v>#N/A</v>
      </c>
      <c r="B1013" s="610"/>
      <c r="C1013" s="200" t="s">
        <v>405</v>
      </c>
      <c r="D1013" s="610" t="e">
        <f t="shared" si="182"/>
        <v>#N/A</v>
      </c>
      <c r="E1013" s="610"/>
      <c r="J1013" s="190"/>
    </row>
    <row r="1014" spans="1:10" ht="13.35" customHeight="1">
      <c r="A1014" s="182" t="e">
        <f t="shared" ca="1" si="181"/>
        <v>#N/A</v>
      </c>
      <c r="B1014" s="183" t="str">
        <f>B1006</f>
        <v xml:space="preserve">Lt: </v>
      </c>
      <c r="C1014" s="200" t="s">
        <v>405</v>
      </c>
      <c r="D1014" s="182" t="e">
        <f t="shared" ca="1" si="182"/>
        <v>#N/A</v>
      </c>
      <c r="E1014" s="183" t="str">
        <f>B1014</f>
        <v xml:space="preserve">Lt: </v>
      </c>
      <c r="J1014" s="190"/>
    </row>
    <row r="1015" spans="1:10" ht="13.35" customHeight="1">
      <c r="A1015" s="610" t="str">
        <f t="shared" si="181"/>
        <v xml:space="preserve">  0</v>
      </c>
      <c r="B1015" s="610"/>
      <c r="C1015" s="200" t="s">
        <v>405</v>
      </c>
      <c r="D1015" s="610" t="str">
        <f t="shared" si="182"/>
        <v xml:space="preserve">  0</v>
      </c>
      <c r="E1015" s="610"/>
      <c r="J1015" s="190"/>
    </row>
    <row r="1016" spans="1:10" ht="13.35" customHeight="1">
      <c r="A1016" s="609" t="str">
        <f t="shared" si="181"/>
        <v>QFP: JGARCIA   QFV: ADELTORO</v>
      </c>
      <c r="B1016" s="609"/>
      <c r="C1016" s="200" t="s">
        <v>405</v>
      </c>
      <c r="D1016" s="609" t="str">
        <f t="shared" si="182"/>
        <v>QFP: JGARCIA   QFV: ADELTORO</v>
      </c>
      <c r="E1016" s="609"/>
      <c r="J1016" s="190"/>
    </row>
    <row r="1017" spans="1:10" ht="13.35" customHeight="1">
      <c r="A1017" s="609" t="str">
        <f t="shared" si="181"/>
        <v>C.JPC/SEXTO NTE/SCOOP   Cama: NA</v>
      </c>
      <c r="B1017" s="609"/>
      <c r="C1017" s="200" t="s">
        <v>405</v>
      </c>
      <c r="D1017" s="609" t="str">
        <f t="shared" si="182"/>
        <v>C.JPC/SEXTO NTE/SCOOP   Cama: NA</v>
      </c>
      <c r="E1017" s="609"/>
      <c r="J1017" s="190"/>
    </row>
    <row r="1018" spans="1:10" ht="13.35" customHeight="1">
      <c r="A1018" s="609" t="str">
        <f t="shared" si="181"/>
        <v>UNIDOSSIS S.A.S.</v>
      </c>
      <c r="B1018" s="609"/>
      <c r="C1018" s="200" t="s">
        <v>405</v>
      </c>
      <c r="D1018" s="609" t="str">
        <f t="shared" si="182"/>
        <v>UNIDOSSIS S.A.S.</v>
      </c>
      <c r="E1018" s="609"/>
      <c r="J1018" s="190"/>
    </row>
    <row r="1019" spans="1:10" ht="13.35" customHeight="1">
      <c r="A1019" s="199" t="s">
        <v>403</v>
      </c>
      <c r="B1019" s="199" t="s">
        <v>403</v>
      </c>
      <c r="C1019" s="200" t="s">
        <v>405</v>
      </c>
      <c r="D1019" s="199" t="s">
        <v>404</v>
      </c>
      <c r="E1019" s="199" t="s">
        <v>403</v>
      </c>
      <c r="J1019" s="190"/>
    </row>
    <row r="1020" spans="1:10" ht="13.35" customHeight="1">
      <c r="A1020" s="610" t="e">
        <f t="shared" ref="A1020:A1026" si="183">A1012</f>
        <v>#N/A</v>
      </c>
      <c r="B1020" s="610"/>
      <c r="C1020" s="200" t="s">
        <v>405</v>
      </c>
      <c r="D1020" s="610" t="e">
        <f t="shared" ref="D1020:D1026" si="184">A1020</f>
        <v>#N/A</v>
      </c>
      <c r="E1020" s="610"/>
      <c r="J1020" s="190"/>
    </row>
    <row r="1021" spans="1:10" ht="13.35" customHeight="1">
      <c r="A1021" s="610" t="e">
        <f t="shared" si="183"/>
        <v>#N/A</v>
      </c>
      <c r="B1021" s="610"/>
      <c r="C1021" s="200" t="s">
        <v>405</v>
      </c>
      <c r="D1021" s="610" t="e">
        <f t="shared" si="184"/>
        <v>#N/A</v>
      </c>
      <c r="E1021" s="610"/>
      <c r="J1021" s="190"/>
    </row>
    <row r="1022" spans="1:10" ht="13.35" customHeight="1">
      <c r="A1022" s="182" t="e">
        <f t="shared" ca="1" si="183"/>
        <v>#N/A</v>
      </c>
      <c r="B1022" s="183" t="str">
        <f>B1014</f>
        <v xml:space="preserve">Lt: </v>
      </c>
      <c r="C1022" s="200" t="s">
        <v>405</v>
      </c>
      <c r="D1022" s="182" t="e">
        <f t="shared" ca="1" si="184"/>
        <v>#N/A</v>
      </c>
      <c r="E1022" s="183" t="str">
        <f>B1022</f>
        <v xml:space="preserve">Lt: </v>
      </c>
      <c r="J1022" s="190"/>
    </row>
    <row r="1023" spans="1:10" ht="13.35" customHeight="1">
      <c r="A1023" s="610" t="str">
        <f t="shared" si="183"/>
        <v xml:space="preserve">  0</v>
      </c>
      <c r="B1023" s="610"/>
      <c r="C1023" s="200" t="s">
        <v>405</v>
      </c>
      <c r="D1023" s="610" t="str">
        <f t="shared" si="184"/>
        <v xml:space="preserve">  0</v>
      </c>
      <c r="E1023" s="610"/>
      <c r="J1023" s="190"/>
    </row>
    <row r="1024" spans="1:10" ht="13.35" customHeight="1">
      <c r="A1024" s="609" t="str">
        <f t="shared" si="183"/>
        <v>QFP: JGARCIA   QFV: ADELTORO</v>
      </c>
      <c r="B1024" s="609"/>
      <c r="C1024" s="200" t="s">
        <v>405</v>
      </c>
      <c r="D1024" s="609" t="str">
        <f t="shared" si="184"/>
        <v>QFP: JGARCIA   QFV: ADELTORO</v>
      </c>
      <c r="E1024" s="609"/>
      <c r="J1024" s="190"/>
    </row>
    <row r="1025" spans="1:10" ht="13.35" customHeight="1">
      <c r="A1025" s="609" t="str">
        <f t="shared" si="183"/>
        <v>C.JPC/SEXTO NTE/SCOOP   Cama: NA</v>
      </c>
      <c r="B1025" s="609"/>
      <c r="C1025" s="200" t="s">
        <v>405</v>
      </c>
      <c r="D1025" s="609" t="str">
        <f t="shared" si="184"/>
        <v>C.JPC/SEXTO NTE/SCOOP   Cama: NA</v>
      </c>
      <c r="E1025" s="609"/>
      <c r="J1025" s="190"/>
    </row>
    <row r="1026" spans="1:10" ht="13.35" customHeight="1">
      <c r="A1026" s="609" t="str">
        <f t="shared" si="183"/>
        <v>UNIDOSSIS S.A.S.</v>
      </c>
      <c r="B1026" s="609"/>
      <c r="C1026" s="200" t="s">
        <v>405</v>
      </c>
      <c r="D1026" s="609" t="str">
        <f t="shared" si="184"/>
        <v>UNIDOSSIS S.A.S.</v>
      </c>
      <c r="E1026" s="609"/>
      <c r="J1026" s="190"/>
    </row>
    <row r="1027" spans="1:10" ht="13.35" customHeight="1">
      <c r="A1027" s="610" t="e">
        <f>'DATOS ETIQ'!B$35&amp;"  "&amp;'DATOS ETIQ'!C$35&amp;"  "&amp;'DATOS ETIQ'!D$35&amp;'DATOS ETIQ'!Q$35</f>
        <v>#N/A</v>
      </c>
      <c r="B1027" s="610"/>
      <c r="C1027" s="200" t="s">
        <v>405</v>
      </c>
      <c r="D1027" s="610" t="e">
        <f t="shared" ref="D1027:D1033" si="185">A1027</f>
        <v>#N/A</v>
      </c>
      <c r="E1027" s="610"/>
      <c r="J1027" s="190"/>
    </row>
    <row r="1028" spans="1:10" ht="13.35" customHeight="1" thickBot="1">
      <c r="A1028" s="610" t="e">
        <f>IF('DATOS ETIQ'!P$35=1,"Do: "&amp;'DATOS ETIQ'!F$35&amp;"mg   VolDo: "&amp;'DATOS ETIQ'!G$35&amp;"mL","Dilución 1/"&amp;'DATOS ETIQ'!P$35&amp;"  "&amp;'DATOS ETIQ'!E$35&amp;"mg/mL   Do: "&amp;'DATOS ETIQ'!F$35&amp;"mg   VolDo: "&amp;'DATOS ETIQ'!G$35&amp;"mL")</f>
        <v>#N/A</v>
      </c>
      <c r="B1028" s="610"/>
      <c r="C1028" s="200" t="s">
        <v>405</v>
      </c>
      <c r="D1028" s="610" t="e">
        <f t="shared" si="185"/>
        <v>#N/A</v>
      </c>
      <c r="E1028" s="610"/>
      <c r="J1028" s="190"/>
    </row>
    <row r="1029" spans="1:10" ht="13.35" customHeight="1">
      <c r="A1029" s="182" t="e">
        <f ca="1">'DATOS ETIQ'!H$35</f>
        <v>#N/A</v>
      </c>
      <c r="B1029" s="183" t="str">
        <f>"Lt: "&amp;'DATOS ETIQ'!I$35</f>
        <v xml:space="preserve">Lt: </v>
      </c>
      <c r="C1029" s="200" t="s">
        <v>405</v>
      </c>
      <c r="D1029" s="182" t="e">
        <f t="shared" ca="1" si="185"/>
        <v>#N/A</v>
      </c>
      <c r="E1029" s="183" t="str">
        <f>B1029</f>
        <v xml:space="preserve">Lt: </v>
      </c>
      <c r="G1029" s="611" t="e">
        <f>'FR PD 001 V1'!T39/4</f>
        <v>#N/A</v>
      </c>
      <c r="J1029" s="611">
        <v>34</v>
      </c>
    </row>
    <row r="1030" spans="1:10" ht="13.35" customHeight="1" thickBot="1">
      <c r="A1030" s="610" t="str">
        <f>'DATOS ETIQ'!J$35&amp;"  "&amp;'DATOS ETIQ'!K$35</f>
        <v xml:space="preserve">  0</v>
      </c>
      <c r="B1030" s="610"/>
      <c r="C1030" s="200" t="s">
        <v>405</v>
      </c>
      <c r="D1030" s="610" t="str">
        <f t="shared" si="185"/>
        <v xml:space="preserve">  0</v>
      </c>
      <c r="E1030" s="610"/>
      <c r="G1030" s="612"/>
      <c r="J1030" s="612"/>
    </row>
    <row r="1031" spans="1:10" ht="13.35" customHeight="1">
      <c r="A1031" s="609" t="str">
        <f>"QFP: "&amp;'DATOS ETIQ'!L$35&amp;"   QFV: "&amp;'DATOS ETIQ'!M$35</f>
        <v>QFP: JGARCIA   QFV: ADELTORO</v>
      </c>
      <c r="B1031" s="609"/>
      <c r="C1031" s="200" t="s">
        <v>405</v>
      </c>
      <c r="D1031" s="609" t="str">
        <f t="shared" si="185"/>
        <v>QFP: JGARCIA   QFV: ADELTORO</v>
      </c>
      <c r="E1031" s="609"/>
      <c r="J1031" s="190"/>
    </row>
    <row r="1032" spans="1:10" ht="13.35" customHeight="1">
      <c r="A1032" s="609" t="str">
        <f>'DATOS ETIQ'!N$35&amp;"   Cama: "&amp;'DATOS ETIQ'!O$35</f>
        <v>C.JPC/SEXTO NTE/SCOOP   Cama: NA</v>
      </c>
      <c r="B1032" s="609"/>
      <c r="C1032" s="200" t="s">
        <v>405</v>
      </c>
      <c r="D1032" s="609" t="str">
        <f t="shared" si="185"/>
        <v>C.JPC/SEXTO NTE/SCOOP   Cama: NA</v>
      </c>
      <c r="E1032" s="609"/>
      <c r="J1032" s="190"/>
    </row>
    <row r="1033" spans="1:10" ht="13.35" customHeight="1">
      <c r="A1033" s="609" t="s">
        <v>167</v>
      </c>
      <c r="B1033" s="609"/>
      <c r="C1033" s="200" t="s">
        <v>405</v>
      </c>
      <c r="D1033" s="609" t="str">
        <f t="shared" si="185"/>
        <v>UNIDOSSIS S.A.S.</v>
      </c>
      <c r="E1033" s="609"/>
      <c r="J1033" s="190"/>
    </row>
    <row r="1034" spans="1:10" ht="13.35" customHeight="1">
      <c r="A1034" s="199" t="s">
        <v>403</v>
      </c>
      <c r="B1034" s="199" t="s">
        <v>403</v>
      </c>
      <c r="C1034" s="200" t="s">
        <v>405</v>
      </c>
      <c r="D1034" s="199" t="s">
        <v>404</v>
      </c>
      <c r="E1034" s="199" t="s">
        <v>403</v>
      </c>
      <c r="J1034" s="190"/>
    </row>
    <row r="1035" spans="1:10" ht="13.35" customHeight="1">
      <c r="A1035" s="610" t="e">
        <f t="shared" ref="A1035:A1041" si="186">A1027</f>
        <v>#N/A</v>
      </c>
      <c r="B1035" s="610"/>
      <c r="C1035" s="200" t="s">
        <v>405</v>
      </c>
      <c r="D1035" s="610" t="e">
        <f t="shared" ref="D1035:D1041" si="187">A1035</f>
        <v>#N/A</v>
      </c>
      <c r="E1035" s="610"/>
      <c r="J1035" s="190"/>
    </row>
    <row r="1036" spans="1:10" ht="13.35" customHeight="1">
      <c r="A1036" s="610" t="e">
        <f t="shared" si="186"/>
        <v>#N/A</v>
      </c>
      <c r="B1036" s="610"/>
      <c r="C1036" s="200" t="s">
        <v>405</v>
      </c>
      <c r="D1036" s="610" t="e">
        <f t="shared" si="187"/>
        <v>#N/A</v>
      </c>
      <c r="E1036" s="610"/>
      <c r="J1036" s="190"/>
    </row>
    <row r="1037" spans="1:10" ht="13.35" customHeight="1">
      <c r="A1037" s="182" t="e">
        <f t="shared" ca="1" si="186"/>
        <v>#N/A</v>
      </c>
      <c r="B1037" s="183" t="str">
        <f>B1029</f>
        <v xml:space="preserve">Lt: </v>
      </c>
      <c r="C1037" s="200" t="s">
        <v>405</v>
      </c>
      <c r="D1037" s="182" t="e">
        <f t="shared" ca="1" si="187"/>
        <v>#N/A</v>
      </c>
      <c r="E1037" s="183" t="str">
        <f>B1037</f>
        <v xml:space="preserve">Lt: </v>
      </c>
      <c r="J1037" s="190"/>
    </row>
    <row r="1038" spans="1:10" ht="13.35" customHeight="1">
      <c r="A1038" s="610" t="str">
        <f t="shared" si="186"/>
        <v xml:space="preserve">  0</v>
      </c>
      <c r="B1038" s="610"/>
      <c r="C1038" s="200" t="s">
        <v>405</v>
      </c>
      <c r="D1038" s="610" t="str">
        <f t="shared" si="187"/>
        <v xml:space="preserve">  0</v>
      </c>
      <c r="E1038" s="610"/>
      <c r="J1038" s="190"/>
    </row>
    <row r="1039" spans="1:10" ht="13.35" customHeight="1">
      <c r="A1039" s="609" t="str">
        <f t="shared" si="186"/>
        <v>QFP: JGARCIA   QFV: ADELTORO</v>
      </c>
      <c r="B1039" s="609"/>
      <c r="C1039" s="200" t="s">
        <v>405</v>
      </c>
      <c r="D1039" s="609" t="str">
        <f t="shared" si="187"/>
        <v>QFP: JGARCIA   QFV: ADELTORO</v>
      </c>
      <c r="E1039" s="609"/>
      <c r="J1039" s="190"/>
    </row>
    <row r="1040" spans="1:10" ht="13.35" customHeight="1">
      <c r="A1040" s="609" t="str">
        <f t="shared" si="186"/>
        <v>C.JPC/SEXTO NTE/SCOOP   Cama: NA</v>
      </c>
      <c r="B1040" s="609"/>
      <c r="C1040" s="200" t="s">
        <v>405</v>
      </c>
      <c r="D1040" s="609" t="str">
        <f t="shared" si="187"/>
        <v>C.JPC/SEXTO NTE/SCOOP   Cama: NA</v>
      </c>
      <c r="E1040" s="609"/>
      <c r="J1040" s="190"/>
    </row>
    <row r="1041" spans="1:10" ht="13.35" customHeight="1">
      <c r="A1041" s="609" t="str">
        <f t="shared" si="186"/>
        <v>UNIDOSSIS S.A.S.</v>
      </c>
      <c r="B1041" s="609"/>
      <c r="C1041" s="200" t="s">
        <v>405</v>
      </c>
      <c r="D1041" s="609" t="str">
        <f t="shared" si="187"/>
        <v>UNIDOSSIS S.A.S.</v>
      </c>
      <c r="E1041" s="609"/>
      <c r="J1041" s="190"/>
    </row>
    <row r="1042" spans="1:10" ht="13.35" customHeight="1">
      <c r="A1042" s="199" t="s">
        <v>403</v>
      </c>
      <c r="B1042" s="199" t="s">
        <v>403</v>
      </c>
      <c r="C1042" s="200" t="s">
        <v>405</v>
      </c>
      <c r="D1042" s="199" t="s">
        <v>404</v>
      </c>
      <c r="E1042" s="199" t="s">
        <v>403</v>
      </c>
      <c r="J1042" s="190"/>
    </row>
    <row r="1043" spans="1:10" ht="13.35" customHeight="1">
      <c r="A1043" s="610" t="e">
        <f t="shared" ref="A1043:A1049" si="188">A1035</f>
        <v>#N/A</v>
      </c>
      <c r="B1043" s="610"/>
      <c r="C1043" s="200" t="s">
        <v>405</v>
      </c>
      <c r="D1043" s="610" t="e">
        <f t="shared" ref="D1043:D1049" si="189">A1043</f>
        <v>#N/A</v>
      </c>
      <c r="E1043" s="610"/>
      <c r="J1043" s="190"/>
    </row>
    <row r="1044" spans="1:10" ht="13.35" customHeight="1">
      <c r="A1044" s="610" t="e">
        <f t="shared" si="188"/>
        <v>#N/A</v>
      </c>
      <c r="B1044" s="610"/>
      <c r="C1044" s="200" t="s">
        <v>405</v>
      </c>
      <c r="D1044" s="610" t="e">
        <f t="shared" si="189"/>
        <v>#N/A</v>
      </c>
      <c r="E1044" s="610"/>
      <c r="J1044" s="190"/>
    </row>
    <row r="1045" spans="1:10" ht="13.35" customHeight="1">
      <c r="A1045" s="182" t="e">
        <f t="shared" ca="1" si="188"/>
        <v>#N/A</v>
      </c>
      <c r="B1045" s="183" t="str">
        <f>B1037</f>
        <v xml:space="preserve">Lt: </v>
      </c>
      <c r="C1045" s="200" t="s">
        <v>405</v>
      </c>
      <c r="D1045" s="182" t="e">
        <f t="shared" ca="1" si="189"/>
        <v>#N/A</v>
      </c>
      <c r="E1045" s="183" t="str">
        <f>B1045</f>
        <v xml:space="preserve">Lt: </v>
      </c>
      <c r="J1045" s="190"/>
    </row>
    <row r="1046" spans="1:10" ht="13.35" customHeight="1">
      <c r="A1046" s="610" t="str">
        <f t="shared" si="188"/>
        <v xml:space="preserve">  0</v>
      </c>
      <c r="B1046" s="610"/>
      <c r="C1046" s="200" t="s">
        <v>405</v>
      </c>
      <c r="D1046" s="610" t="str">
        <f t="shared" si="189"/>
        <v xml:space="preserve">  0</v>
      </c>
      <c r="E1046" s="610"/>
      <c r="J1046" s="190"/>
    </row>
    <row r="1047" spans="1:10" ht="13.35" customHeight="1">
      <c r="A1047" s="609" t="str">
        <f t="shared" si="188"/>
        <v>QFP: JGARCIA   QFV: ADELTORO</v>
      </c>
      <c r="B1047" s="609"/>
      <c r="C1047" s="200" t="s">
        <v>405</v>
      </c>
      <c r="D1047" s="609" t="str">
        <f t="shared" si="189"/>
        <v>QFP: JGARCIA   QFV: ADELTORO</v>
      </c>
      <c r="E1047" s="609"/>
      <c r="J1047" s="190"/>
    </row>
    <row r="1048" spans="1:10" ht="13.35" customHeight="1">
      <c r="A1048" s="609" t="str">
        <f t="shared" si="188"/>
        <v>C.JPC/SEXTO NTE/SCOOP   Cama: NA</v>
      </c>
      <c r="B1048" s="609"/>
      <c r="C1048" s="200" t="s">
        <v>405</v>
      </c>
      <c r="D1048" s="609" t="str">
        <f t="shared" si="189"/>
        <v>C.JPC/SEXTO NTE/SCOOP   Cama: NA</v>
      </c>
      <c r="E1048" s="609"/>
      <c r="J1048" s="190"/>
    </row>
    <row r="1049" spans="1:10" ht="13.35" customHeight="1">
      <c r="A1049" s="609" t="str">
        <f t="shared" si="188"/>
        <v>UNIDOSSIS S.A.S.</v>
      </c>
      <c r="B1049" s="609"/>
      <c r="C1049" s="200" t="s">
        <v>405</v>
      </c>
      <c r="D1049" s="609" t="str">
        <f t="shared" si="189"/>
        <v>UNIDOSSIS S.A.S.</v>
      </c>
      <c r="E1049" s="609"/>
      <c r="J1049" s="190"/>
    </row>
    <row r="1050" spans="1:10" ht="13.35" customHeight="1">
      <c r="A1050" s="199" t="s">
        <v>403</v>
      </c>
      <c r="B1050" s="199" t="s">
        <v>403</v>
      </c>
      <c r="C1050" s="200" t="s">
        <v>405</v>
      </c>
      <c r="D1050" s="199" t="s">
        <v>404</v>
      </c>
      <c r="E1050" s="199" t="s">
        <v>403</v>
      </c>
      <c r="J1050" s="190"/>
    </row>
    <row r="1051" spans="1:10" ht="13.35" customHeight="1">
      <c r="A1051" s="610" t="e">
        <f t="shared" ref="A1051:A1057" si="190">A1043</f>
        <v>#N/A</v>
      </c>
      <c r="B1051" s="610"/>
      <c r="C1051" s="200" t="s">
        <v>405</v>
      </c>
      <c r="D1051" s="610" t="e">
        <f t="shared" ref="D1051:D1057" si="191">A1051</f>
        <v>#N/A</v>
      </c>
      <c r="E1051" s="610"/>
      <c r="J1051" s="190"/>
    </row>
    <row r="1052" spans="1:10" ht="13.35" customHeight="1">
      <c r="A1052" s="610" t="e">
        <f t="shared" si="190"/>
        <v>#N/A</v>
      </c>
      <c r="B1052" s="610"/>
      <c r="C1052" s="200" t="s">
        <v>405</v>
      </c>
      <c r="D1052" s="610" t="e">
        <f t="shared" si="191"/>
        <v>#N/A</v>
      </c>
      <c r="E1052" s="610"/>
      <c r="J1052" s="190"/>
    </row>
    <row r="1053" spans="1:10" ht="13.35" customHeight="1">
      <c r="A1053" s="182" t="e">
        <f t="shared" ca="1" si="190"/>
        <v>#N/A</v>
      </c>
      <c r="B1053" s="183" t="str">
        <f>B1045</f>
        <v xml:space="preserve">Lt: </v>
      </c>
      <c r="C1053" s="200" t="s">
        <v>405</v>
      </c>
      <c r="D1053" s="182" t="e">
        <f t="shared" ca="1" si="191"/>
        <v>#N/A</v>
      </c>
      <c r="E1053" s="183" t="str">
        <f>B1053</f>
        <v xml:space="preserve">Lt: </v>
      </c>
      <c r="J1053" s="190"/>
    </row>
    <row r="1054" spans="1:10" ht="13.35" customHeight="1">
      <c r="A1054" s="610" t="str">
        <f t="shared" si="190"/>
        <v xml:space="preserve">  0</v>
      </c>
      <c r="B1054" s="610"/>
      <c r="C1054" s="200" t="s">
        <v>405</v>
      </c>
      <c r="D1054" s="610" t="str">
        <f t="shared" si="191"/>
        <v xml:space="preserve">  0</v>
      </c>
      <c r="E1054" s="610"/>
      <c r="J1054" s="190"/>
    </row>
    <row r="1055" spans="1:10" ht="13.35" customHeight="1">
      <c r="A1055" s="609" t="str">
        <f t="shared" si="190"/>
        <v>QFP: JGARCIA   QFV: ADELTORO</v>
      </c>
      <c r="B1055" s="609"/>
      <c r="C1055" s="200" t="s">
        <v>405</v>
      </c>
      <c r="D1055" s="609" t="str">
        <f t="shared" si="191"/>
        <v>QFP: JGARCIA   QFV: ADELTORO</v>
      </c>
      <c r="E1055" s="609"/>
      <c r="J1055" s="190"/>
    </row>
    <row r="1056" spans="1:10" ht="13.35" customHeight="1">
      <c r="A1056" s="609" t="str">
        <f t="shared" si="190"/>
        <v>C.JPC/SEXTO NTE/SCOOP   Cama: NA</v>
      </c>
      <c r="B1056" s="609"/>
      <c r="C1056" s="200" t="s">
        <v>405</v>
      </c>
      <c r="D1056" s="609" t="str">
        <f t="shared" si="191"/>
        <v>C.JPC/SEXTO NTE/SCOOP   Cama: NA</v>
      </c>
      <c r="E1056" s="609"/>
      <c r="J1056" s="190"/>
    </row>
    <row r="1057" spans="1:10" ht="13.35" customHeight="1">
      <c r="A1057" s="609" t="str">
        <f t="shared" si="190"/>
        <v>UNIDOSSIS S.A.S.</v>
      </c>
      <c r="B1057" s="609"/>
      <c r="C1057" s="200" t="s">
        <v>405</v>
      </c>
      <c r="D1057" s="609" t="str">
        <f t="shared" si="191"/>
        <v>UNIDOSSIS S.A.S.</v>
      </c>
      <c r="E1057" s="609"/>
      <c r="J1057" s="190"/>
    </row>
    <row r="1058" spans="1:10" ht="13.35" customHeight="1">
      <c r="A1058" s="610" t="e">
        <f>'DATOS ETIQ'!B$36&amp;"  "&amp;'DATOS ETIQ'!C$36&amp;"  "&amp;'DATOS ETIQ'!D$36&amp;'DATOS ETIQ'!Q$36</f>
        <v>#N/A</v>
      </c>
      <c r="B1058" s="610"/>
      <c r="C1058" s="200" t="s">
        <v>405</v>
      </c>
      <c r="D1058" s="610" t="e">
        <f t="shared" ref="D1058:D1064" si="192">A1058</f>
        <v>#N/A</v>
      </c>
      <c r="E1058" s="610"/>
      <c r="J1058" s="190"/>
    </row>
    <row r="1059" spans="1:10" ht="13.35" customHeight="1" thickBot="1">
      <c r="A1059" s="610" t="e">
        <f>IF('DATOS ETIQ'!P$36=1,"Do: "&amp;'DATOS ETIQ'!F$36&amp;"mg   VolDo: "&amp;'DATOS ETIQ'!G$36&amp;"mL","Dilución 1/"&amp;'DATOS ETIQ'!P$36&amp;"  "&amp;'DATOS ETIQ'!E$36&amp;"mg/mL   Do: "&amp;'DATOS ETIQ'!F$36&amp;"mg   VolDo: "&amp;'DATOS ETIQ'!G$36&amp;"mL")</f>
        <v>#N/A</v>
      </c>
      <c r="B1059" s="610"/>
      <c r="C1059" s="200" t="s">
        <v>405</v>
      </c>
      <c r="D1059" s="610" t="e">
        <f t="shared" si="192"/>
        <v>#N/A</v>
      </c>
      <c r="E1059" s="610"/>
      <c r="J1059" s="190"/>
    </row>
    <row r="1060" spans="1:10" ht="13.35" customHeight="1">
      <c r="A1060" s="182" t="e">
        <f ca="1">'DATOS ETIQ'!H$36</f>
        <v>#N/A</v>
      </c>
      <c r="B1060" s="183" t="str">
        <f>"Lt: "&amp;'DATOS ETIQ'!I$36</f>
        <v xml:space="preserve">Lt: </v>
      </c>
      <c r="C1060" s="200" t="s">
        <v>405</v>
      </c>
      <c r="D1060" s="182" t="e">
        <f t="shared" ca="1" si="192"/>
        <v>#N/A</v>
      </c>
      <c r="E1060" s="183" t="str">
        <f>B1060</f>
        <v xml:space="preserve">Lt: </v>
      </c>
      <c r="G1060" s="611" t="e">
        <f>'FR PD 001 V1'!T40/4</f>
        <v>#N/A</v>
      </c>
      <c r="J1060" s="611">
        <v>35</v>
      </c>
    </row>
    <row r="1061" spans="1:10" ht="13.35" customHeight="1" thickBot="1">
      <c r="A1061" s="610" t="str">
        <f>'DATOS ETIQ'!J$36&amp;"  "&amp;'DATOS ETIQ'!K$36</f>
        <v xml:space="preserve">  0</v>
      </c>
      <c r="B1061" s="610"/>
      <c r="C1061" s="200" t="s">
        <v>405</v>
      </c>
      <c r="D1061" s="610" t="str">
        <f t="shared" si="192"/>
        <v xml:space="preserve">  0</v>
      </c>
      <c r="E1061" s="610"/>
      <c r="G1061" s="612"/>
      <c r="J1061" s="612"/>
    </row>
    <row r="1062" spans="1:10" ht="13.35" customHeight="1">
      <c r="A1062" s="609" t="str">
        <f>"QFP: "&amp;'DATOS ETIQ'!L$36&amp;"   QFV: "&amp;'DATOS ETIQ'!M$36</f>
        <v>QFP: JGARCIA   QFV: ADELTORO</v>
      </c>
      <c r="B1062" s="609"/>
      <c r="C1062" s="200" t="s">
        <v>405</v>
      </c>
      <c r="D1062" s="609" t="str">
        <f t="shared" si="192"/>
        <v>QFP: JGARCIA   QFV: ADELTORO</v>
      </c>
      <c r="E1062" s="609"/>
      <c r="J1062" s="190"/>
    </row>
    <row r="1063" spans="1:10" ht="13.35" customHeight="1">
      <c r="A1063" s="609" t="str">
        <f>'DATOS ETIQ'!N$36&amp;"   Cama: "&amp;'DATOS ETIQ'!O$36</f>
        <v>C.JPC/SEXTO NTE/SCOOP   Cama: NA</v>
      </c>
      <c r="B1063" s="609"/>
      <c r="C1063" s="200" t="s">
        <v>405</v>
      </c>
      <c r="D1063" s="609" t="str">
        <f t="shared" si="192"/>
        <v>C.JPC/SEXTO NTE/SCOOP   Cama: NA</v>
      </c>
      <c r="E1063" s="609"/>
      <c r="J1063" s="190"/>
    </row>
    <row r="1064" spans="1:10" ht="13.35" customHeight="1">
      <c r="A1064" s="609" t="s">
        <v>167</v>
      </c>
      <c r="B1064" s="609"/>
      <c r="C1064" s="200" t="s">
        <v>405</v>
      </c>
      <c r="D1064" s="609" t="str">
        <f t="shared" si="192"/>
        <v>UNIDOSSIS S.A.S.</v>
      </c>
      <c r="E1064" s="609"/>
      <c r="J1064" s="190"/>
    </row>
    <row r="1065" spans="1:10" ht="13.35" customHeight="1">
      <c r="A1065" s="199" t="s">
        <v>403</v>
      </c>
      <c r="B1065" s="199" t="s">
        <v>403</v>
      </c>
      <c r="C1065" s="200" t="s">
        <v>405</v>
      </c>
      <c r="D1065" s="199" t="s">
        <v>404</v>
      </c>
      <c r="E1065" s="199" t="s">
        <v>403</v>
      </c>
      <c r="J1065" s="190"/>
    </row>
    <row r="1066" spans="1:10" ht="13.35" customHeight="1">
      <c r="A1066" s="610" t="e">
        <f t="shared" ref="A1066:A1072" si="193">A1058</f>
        <v>#N/A</v>
      </c>
      <c r="B1066" s="610"/>
      <c r="C1066" s="200" t="s">
        <v>405</v>
      </c>
      <c r="D1066" s="610" t="e">
        <f t="shared" ref="D1066:D1072" si="194">A1066</f>
        <v>#N/A</v>
      </c>
      <c r="E1066" s="610"/>
      <c r="J1066" s="190"/>
    </row>
    <row r="1067" spans="1:10" ht="13.35" customHeight="1">
      <c r="A1067" s="610" t="e">
        <f t="shared" si="193"/>
        <v>#N/A</v>
      </c>
      <c r="B1067" s="610"/>
      <c r="C1067" s="200" t="s">
        <v>405</v>
      </c>
      <c r="D1067" s="610" t="e">
        <f t="shared" si="194"/>
        <v>#N/A</v>
      </c>
      <c r="E1067" s="610"/>
      <c r="J1067" s="190"/>
    </row>
    <row r="1068" spans="1:10" ht="13.35" customHeight="1">
      <c r="A1068" s="182" t="e">
        <f t="shared" ca="1" si="193"/>
        <v>#N/A</v>
      </c>
      <c r="B1068" s="183" t="str">
        <f>B1060</f>
        <v xml:space="preserve">Lt: </v>
      </c>
      <c r="C1068" s="200" t="s">
        <v>405</v>
      </c>
      <c r="D1068" s="182" t="e">
        <f t="shared" ca="1" si="194"/>
        <v>#N/A</v>
      </c>
      <c r="E1068" s="183" t="str">
        <f>B1068</f>
        <v xml:space="preserve">Lt: </v>
      </c>
      <c r="J1068" s="190"/>
    </row>
    <row r="1069" spans="1:10" ht="13.35" customHeight="1">
      <c r="A1069" s="610" t="str">
        <f t="shared" si="193"/>
        <v xml:space="preserve">  0</v>
      </c>
      <c r="B1069" s="610"/>
      <c r="C1069" s="200" t="s">
        <v>405</v>
      </c>
      <c r="D1069" s="610" t="str">
        <f t="shared" si="194"/>
        <v xml:space="preserve">  0</v>
      </c>
      <c r="E1069" s="610"/>
      <c r="J1069" s="190"/>
    </row>
    <row r="1070" spans="1:10" ht="13.35" customHeight="1">
      <c r="A1070" s="609" t="str">
        <f t="shared" si="193"/>
        <v>QFP: JGARCIA   QFV: ADELTORO</v>
      </c>
      <c r="B1070" s="609"/>
      <c r="C1070" s="200" t="s">
        <v>405</v>
      </c>
      <c r="D1070" s="609" t="str">
        <f t="shared" si="194"/>
        <v>QFP: JGARCIA   QFV: ADELTORO</v>
      </c>
      <c r="E1070" s="609"/>
      <c r="J1070" s="190"/>
    </row>
    <row r="1071" spans="1:10" ht="13.35" customHeight="1">
      <c r="A1071" s="609" t="str">
        <f t="shared" si="193"/>
        <v>C.JPC/SEXTO NTE/SCOOP   Cama: NA</v>
      </c>
      <c r="B1071" s="609"/>
      <c r="C1071" s="200" t="s">
        <v>405</v>
      </c>
      <c r="D1071" s="609" t="str">
        <f t="shared" si="194"/>
        <v>C.JPC/SEXTO NTE/SCOOP   Cama: NA</v>
      </c>
      <c r="E1071" s="609"/>
      <c r="J1071" s="190"/>
    </row>
    <row r="1072" spans="1:10" ht="13.35" customHeight="1">
      <c r="A1072" s="609" t="str">
        <f t="shared" si="193"/>
        <v>UNIDOSSIS S.A.S.</v>
      </c>
      <c r="B1072" s="609"/>
      <c r="C1072" s="200" t="s">
        <v>405</v>
      </c>
      <c r="D1072" s="609" t="str">
        <f t="shared" si="194"/>
        <v>UNIDOSSIS S.A.S.</v>
      </c>
      <c r="E1072" s="609"/>
      <c r="J1072" s="190"/>
    </row>
    <row r="1073" spans="1:10" ht="13.35" customHeight="1">
      <c r="A1073" s="199" t="s">
        <v>403</v>
      </c>
      <c r="B1073" s="199" t="s">
        <v>403</v>
      </c>
      <c r="C1073" s="200" t="s">
        <v>405</v>
      </c>
      <c r="D1073" s="199" t="s">
        <v>404</v>
      </c>
      <c r="E1073" s="199" t="s">
        <v>403</v>
      </c>
      <c r="J1073" s="190"/>
    </row>
    <row r="1074" spans="1:10" ht="13.35" customHeight="1">
      <c r="A1074" s="610" t="e">
        <f t="shared" ref="A1074:A1080" si="195">A1066</f>
        <v>#N/A</v>
      </c>
      <c r="B1074" s="610"/>
      <c r="C1074" s="200" t="s">
        <v>405</v>
      </c>
      <c r="D1074" s="610" t="e">
        <f t="shared" ref="D1074:D1080" si="196">A1074</f>
        <v>#N/A</v>
      </c>
      <c r="E1074" s="610"/>
      <c r="J1074" s="190"/>
    </row>
    <row r="1075" spans="1:10" ht="13.35" customHeight="1">
      <c r="A1075" s="610" t="e">
        <f t="shared" si="195"/>
        <v>#N/A</v>
      </c>
      <c r="B1075" s="610"/>
      <c r="C1075" s="200" t="s">
        <v>405</v>
      </c>
      <c r="D1075" s="610" t="e">
        <f t="shared" si="196"/>
        <v>#N/A</v>
      </c>
      <c r="E1075" s="610"/>
      <c r="J1075" s="190"/>
    </row>
    <row r="1076" spans="1:10" ht="13.35" customHeight="1">
      <c r="A1076" s="182" t="e">
        <f t="shared" ca="1" si="195"/>
        <v>#N/A</v>
      </c>
      <c r="B1076" s="183" t="str">
        <f>B1068</f>
        <v xml:space="preserve">Lt: </v>
      </c>
      <c r="C1076" s="200" t="s">
        <v>405</v>
      </c>
      <c r="D1076" s="182" t="e">
        <f t="shared" ca="1" si="196"/>
        <v>#N/A</v>
      </c>
      <c r="E1076" s="183" t="str">
        <f>B1076</f>
        <v xml:space="preserve">Lt: </v>
      </c>
      <c r="J1076" s="190"/>
    </row>
    <row r="1077" spans="1:10" ht="13.35" customHeight="1">
      <c r="A1077" s="610" t="str">
        <f t="shared" si="195"/>
        <v xml:space="preserve">  0</v>
      </c>
      <c r="B1077" s="610"/>
      <c r="C1077" s="200" t="s">
        <v>405</v>
      </c>
      <c r="D1077" s="610" t="str">
        <f t="shared" si="196"/>
        <v xml:space="preserve">  0</v>
      </c>
      <c r="E1077" s="610"/>
      <c r="J1077" s="190"/>
    </row>
    <row r="1078" spans="1:10" ht="13.35" customHeight="1">
      <c r="A1078" s="609" t="str">
        <f t="shared" si="195"/>
        <v>QFP: JGARCIA   QFV: ADELTORO</v>
      </c>
      <c r="B1078" s="609"/>
      <c r="C1078" s="200" t="s">
        <v>405</v>
      </c>
      <c r="D1078" s="609" t="str">
        <f t="shared" si="196"/>
        <v>QFP: JGARCIA   QFV: ADELTORO</v>
      </c>
      <c r="E1078" s="609"/>
      <c r="J1078" s="190"/>
    </row>
    <row r="1079" spans="1:10" ht="13.35" customHeight="1">
      <c r="A1079" s="609" t="str">
        <f t="shared" si="195"/>
        <v>C.JPC/SEXTO NTE/SCOOP   Cama: NA</v>
      </c>
      <c r="B1079" s="609"/>
      <c r="C1079" s="200" t="s">
        <v>405</v>
      </c>
      <c r="D1079" s="609" t="str">
        <f t="shared" si="196"/>
        <v>C.JPC/SEXTO NTE/SCOOP   Cama: NA</v>
      </c>
      <c r="E1079" s="609"/>
      <c r="J1079" s="190"/>
    </row>
    <row r="1080" spans="1:10" ht="13.35" customHeight="1">
      <c r="A1080" s="609" t="str">
        <f t="shared" si="195"/>
        <v>UNIDOSSIS S.A.S.</v>
      </c>
      <c r="B1080" s="609"/>
      <c r="C1080" s="200" t="s">
        <v>405</v>
      </c>
      <c r="D1080" s="609" t="str">
        <f t="shared" si="196"/>
        <v>UNIDOSSIS S.A.S.</v>
      </c>
      <c r="E1080" s="609"/>
      <c r="J1080" s="190"/>
    </row>
    <row r="1081" spans="1:10" ht="13.35" customHeight="1">
      <c r="A1081" s="199" t="s">
        <v>403</v>
      </c>
      <c r="B1081" s="199" t="s">
        <v>403</v>
      </c>
      <c r="C1081" s="200" t="s">
        <v>405</v>
      </c>
      <c r="D1081" s="199" t="s">
        <v>404</v>
      </c>
      <c r="E1081" s="199" t="s">
        <v>403</v>
      </c>
      <c r="J1081" s="190"/>
    </row>
    <row r="1082" spans="1:10" ht="13.35" customHeight="1">
      <c r="A1082" s="610" t="e">
        <f t="shared" ref="A1082:A1088" si="197">A1074</f>
        <v>#N/A</v>
      </c>
      <c r="B1082" s="610"/>
      <c r="C1082" s="200" t="s">
        <v>405</v>
      </c>
      <c r="D1082" s="610" t="e">
        <f t="shared" ref="D1082:D1088" si="198">A1082</f>
        <v>#N/A</v>
      </c>
      <c r="E1082" s="610"/>
      <c r="J1082" s="190"/>
    </row>
    <row r="1083" spans="1:10" ht="13.35" customHeight="1">
      <c r="A1083" s="610" t="e">
        <f t="shared" si="197"/>
        <v>#N/A</v>
      </c>
      <c r="B1083" s="610"/>
      <c r="C1083" s="200" t="s">
        <v>405</v>
      </c>
      <c r="D1083" s="610" t="e">
        <f t="shared" si="198"/>
        <v>#N/A</v>
      </c>
      <c r="E1083" s="610"/>
      <c r="J1083" s="190"/>
    </row>
    <row r="1084" spans="1:10" ht="13.35" customHeight="1">
      <c r="A1084" s="182" t="e">
        <f t="shared" ca="1" si="197"/>
        <v>#N/A</v>
      </c>
      <c r="B1084" s="183" t="str">
        <f>B1076</f>
        <v xml:space="preserve">Lt: </v>
      </c>
      <c r="C1084" s="200" t="s">
        <v>405</v>
      </c>
      <c r="D1084" s="182" t="e">
        <f t="shared" ca="1" si="198"/>
        <v>#N/A</v>
      </c>
      <c r="E1084" s="183" t="str">
        <f>B1084</f>
        <v xml:space="preserve">Lt: </v>
      </c>
      <c r="J1084" s="190"/>
    </row>
    <row r="1085" spans="1:10" ht="13.35" customHeight="1">
      <c r="A1085" s="610" t="str">
        <f t="shared" si="197"/>
        <v xml:space="preserve">  0</v>
      </c>
      <c r="B1085" s="610"/>
      <c r="C1085" s="200" t="s">
        <v>405</v>
      </c>
      <c r="D1085" s="610" t="str">
        <f t="shared" si="198"/>
        <v xml:space="preserve">  0</v>
      </c>
      <c r="E1085" s="610"/>
      <c r="J1085" s="190"/>
    </row>
    <row r="1086" spans="1:10" ht="13.35" customHeight="1">
      <c r="A1086" s="609" t="str">
        <f t="shared" si="197"/>
        <v>QFP: JGARCIA   QFV: ADELTORO</v>
      </c>
      <c r="B1086" s="609"/>
      <c r="C1086" s="200" t="s">
        <v>405</v>
      </c>
      <c r="D1086" s="609" t="str">
        <f t="shared" si="198"/>
        <v>QFP: JGARCIA   QFV: ADELTORO</v>
      </c>
      <c r="E1086" s="609"/>
      <c r="J1086" s="190"/>
    </row>
    <row r="1087" spans="1:10" ht="13.35" customHeight="1">
      <c r="A1087" s="609" t="str">
        <f t="shared" si="197"/>
        <v>C.JPC/SEXTO NTE/SCOOP   Cama: NA</v>
      </c>
      <c r="B1087" s="609"/>
      <c r="C1087" s="200" t="s">
        <v>405</v>
      </c>
      <c r="D1087" s="609" t="str">
        <f t="shared" si="198"/>
        <v>C.JPC/SEXTO NTE/SCOOP   Cama: NA</v>
      </c>
      <c r="E1087" s="609"/>
      <c r="J1087" s="190"/>
    </row>
    <row r="1088" spans="1:10" ht="13.35" customHeight="1">
      <c r="A1088" s="609" t="str">
        <f t="shared" si="197"/>
        <v>UNIDOSSIS S.A.S.</v>
      </c>
      <c r="B1088" s="609"/>
      <c r="C1088" s="200" t="s">
        <v>405</v>
      </c>
      <c r="D1088" s="609" t="str">
        <f t="shared" si="198"/>
        <v>UNIDOSSIS S.A.S.</v>
      </c>
      <c r="E1088" s="609"/>
      <c r="J1088" s="190"/>
    </row>
    <row r="1089" spans="1:10" ht="13.35" customHeight="1">
      <c r="A1089" s="610" t="e">
        <f>'DATOS ETIQ'!B$37&amp;"  "&amp;'DATOS ETIQ'!C$37&amp;"  "&amp;'DATOS ETIQ'!D$37&amp;'DATOS ETIQ'!Q$37</f>
        <v>#N/A</v>
      </c>
      <c r="B1089" s="610"/>
      <c r="C1089" s="200" t="s">
        <v>405</v>
      </c>
      <c r="D1089" s="610" t="e">
        <f t="shared" ref="D1089:D1095" si="199">A1089</f>
        <v>#N/A</v>
      </c>
      <c r="E1089" s="610"/>
      <c r="J1089" s="190"/>
    </row>
    <row r="1090" spans="1:10" ht="13.35" customHeight="1" thickBot="1">
      <c r="A1090" s="610" t="e">
        <f>IF('DATOS ETIQ'!P$37=1,"Do: "&amp;'DATOS ETIQ'!F$37&amp;"mg   VolDo: "&amp;'DATOS ETIQ'!G$37&amp;"mL","Dilución 1/"&amp;'DATOS ETIQ'!P$37&amp;"  "&amp;'DATOS ETIQ'!E$37&amp;"mg/mL   Do: "&amp;'DATOS ETIQ'!F$37&amp;"mg   VolDo: "&amp;'DATOS ETIQ'!G$37&amp;"mL")</f>
        <v>#N/A</v>
      </c>
      <c r="B1090" s="610"/>
      <c r="C1090" s="200" t="s">
        <v>405</v>
      </c>
      <c r="D1090" s="610" t="e">
        <f t="shared" si="199"/>
        <v>#N/A</v>
      </c>
      <c r="E1090" s="610"/>
      <c r="J1090" s="190"/>
    </row>
    <row r="1091" spans="1:10" ht="13.35" customHeight="1">
      <c r="A1091" s="182" t="e">
        <f ca="1">'DATOS ETIQ'!H$37</f>
        <v>#N/A</v>
      </c>
      <c r="B1091" s="183" t="str">
        <f>"Lt: "&amp;'DATOS ETIQ'!I$37</f>
        <v xml:space="preserve">Lt: </v>
      </c>
      <c r="C1091" s="200" t="s">
        <v>405</v>
      </c>
      <c r="D1091" s="182" t="e">
        <f t="shared" ca="1" si="199"/>
        <v>#N/A</v>
      </c>
      <c r="E1091" s="183" t="str">
        <f>B1091</f>
        <v xml:space="preserve">Lt: </v>
      </c>
      <c r="G1091" s="611" t="e">
        <f>'FR PD 001 V1'!T41/4</f>
        <v>#N/A</v>
      </c>
      <c r="J1091" s="611">
        <v>36</v>
      </c>
    </row>
    <row r="1092" spans="1:10" ht="13.35" customHeight="1" thickBot="1">
      <c r="A1092" s="610" t="str">
        <f>'DATOS ETIQ'!J$37&amp;"  "&amp;'DATOS ETIQ'!K$37</f>
        <v xml:space="preserve">  0</v>
      </c>
      <c r="B1092" s="610"/>
      <c r="C1092" s="200" t="s">
        <v>405</v>
      </c>
      <c r="D1092" s="610" t="str">
        <f t="shared" si="199"/>
        <v xml:space="preserve">  0</v>
      </c>
      <c r="E1092" s="610"/>
      <c r="G1092" s="612"/>
      <c r="J1092" s="612"/>
    </row>
    <row r="1093" spans="1:10" ht="13.35" customHeight="1">
      <c r="A1093" s="609" t="str">
        <f>"QFP: "&amp;'DATOS ETIQ'!L$37&amp;"   QFV: "&amp;'DATOS ETIQ'!M$37</f>
        <v>QFP: JGARCIA   QFV: ADELTORO</v>
      </c>
      <c r="B1093" s="609"/>
      <c r="C1093" s="200" t="s">
        <v>405</v>
      </c>
      <c r="D1093" s="609" t="str">
        <f t="shared" si="199"/>
        <v>QFP: JGARCIA   QFV: ADELTORO</v>
      </c>
      <c r="E1093" s="609"/>
      <c r="J1093" s="190"/>
    </row>
    <row r="1094" spans="1:10" ht="13.35" customHeight="1">
      <c r="A1094" s="609" t="str">
        <f>'DATOS ETIQ'!N$37&amp;"   Cama: "&amp;'DATOS ETIQ'!O$37</f>
        <v>C.JPC/SEXTO NTE/SCOOP   Cama: NA</v>
      </c>
      <c r="B1094" s="609"/>
      <c r="C1094" s="200" t="s">
        <v>405</v>
      </c>
      <c r="D1094" s="609" t="str">
        <f t="shared" si="199"/>
        <v>C.JPC/SEXTO NTE/SCOOP   Cama: NA</v>
      </c>
      <c r="E1094" s="609"/>
      <c r="J1094" s="190"/>
    </row>
    <row r="1095" spans="1:10" ht="13.35" customHeight="1">
      <c r="A1095" s="609" t="s">
        <v>167</v>
      </c>
      <c r="B1095" s="609"/>
      <c r="C1095" s="200" t="s">
        <v>405</v>
      </c>
      <c r="D1095" s="609" t="str">
        <f t="shared" si="199"/>
        <v>UNIDOSSIS S.A.S.</v>
      </c>
      <c r="E1095" s="609"/>
      <c r="J1095" s="190"/>
    </row>
    <row r="1096" spans="1:10" ht="13.35" customHeight="1">
      <c r="A1096" s="199" t="s">
        <v>403</v>
      </c>
      <c r="B1096" s="199" t="s">
        <v>403</v>
      </c>
      <c r="C1096" s="200" t="s">
        <v>405</v>
      </c>
      <c r="D1096" s="199" t="s">
        <v>404</v>
      </c>
      <c r="E1096" s="199" t="s">
        <v>403</v>
      </c>
      <c r="J1096" s="190"/>
    </row>
    <row r="1097" spans="1:10" ht="13.35" customHeight="1">
      <c r="A1097" s="610" t="e">
        <f t="shared" ref="A1097:A1103" si="200">A1089</f>
        <v>#N/A</v>
      </c>
      <c r="B1097" s="610"/>
      <c r="C1097" s="200" t="s">
        <v>405</v>
      </c>
      <c r="D1097" s="610" t="e">
        <f t="shared" ref="D1097:D1103" si="201">A1097</f>
        <v>#N/A</v>
      </c>
      <c r="E1097" s="610"/>
      <c r="J1097" s="190"/>
    </row>
    <row r="1098" spans="1:10" ht="13.35" customHeight="1">
      <c r="A1098" s="610" t="e">
        <f t="shared" si="200"/>
        <v>#N/A</v>
      </c>
      <c r="B1098" s="610"/>
      <c r="C1098" s="200" t="s">
        <v>405</v>
      </c>
      <c r="D1098" s="610" t="e">
        <f t="shared" si="201"/>
        <v>#N/A</v>
      </c>
      <c r="E1098" s="610"/>
      <c r="J1098" s="190"/>
    </row>
    <row r="1099" spans="1:10" ht="13.35" customHeight="1">
      <c r="A1099" s="182" t="e">
        <f t="shared" ca="1" si="200"/>
        <v>#N/A</v>
      </c>
      <c r="B1099" s="183" t="str">
        <f>B1091</f>
        <v xml:space="preserve">Lt: </v>
      </c>
      <c r="C1099" s="200" t="s">
        <v>405</v>
      </c>
      <c r="D1099" s="182" t="e">
        <f t="shared" ca="1" si="201"/>
        <v>#N/A</v>
      </c>
      <c r="E1099" s="183" t="str">
        <f>B1099</f>
        <v xml:space="preserve">Lt: </v>
      </c>
      <c r="J1099" s="190"/>
    </row>
    <row r="1100" spans="1:10" ht="13.35" customHeight="1">
      <c r="A1100" s="610" t="str">
        <f t="shared" si="200"/>
        <v xml:space="preserve">  0</v>
      </c>
      <c r="B1100" s="610"/>
      <c r="C1100" s="200" t="s">
        <v>405</v>
      </c>
      <c r="D1100" s="610" t="str">
        <f t="shared" si="201"/>
        <v xml:space="preserve">  0</v>
      </c>
      <c r="E1100" s="610"/>
      <c r="J1100" s="190"/>
    </row>
    <row r="1101" spans="1:10" ht="13.35" customHeight="1">
      <c r="A1101" s="609" t="str">
        <f t="shared" si="200"/>
        <v>QFP: JGARCIA   QFV: ADELTORO</v>
      </c>
      <c r="B1101" s="609"/>
      <c r="C1101" s="200" t="s">
        <v>405</v>
      </c>
      <c r="D1101" s="609" t="str">
        <f t="shared" si="201"/>
        <v>QFP: JGARCIA   QFV: ADELTORO</v>
      </c>
      <c r="E1101" s="609"/>
      <c r="J1101" s="190"/>
    </row>
    <row r="1102" spans="1:10" ht="13.35" customHeight="1">
      <c r="A1102" s="609" t="str">
        <f t="shared" si="200"/>
        <v>C.JPC/SEXTO NTE/SCOOP   Cama: NA</v>
      </c>
      <c r="B1102" s="609"/>
      <c r="C1102" s="200" t="s">
        <v>405</v>
      </c>
      <c r="D1102" s="609" t="str">
        <f t="shared" si="201"/>
        <v>C.JPC/SEXTO NTE/SCOOP   Cama: NA</v>
      </c>
      <c r="E1102" s="609"/>
      <c r="J1102" s="190"/>
    </row>
    <row r="1103" spans="1:10" ht="13.35" customHeight="1">
      <c r="A1103" s="609" t="str">
        <f t="shared" si="200"/>
        <v>UNIDOSSIS S.A.S.</v>
      </c>
      <c r="B1103" s="609"/>
      <c r="C1103" s="200" t="s">
        <v>405</v>
      </c>
      <c r="D1103" s="609" t="str">
        <f t="shared" si="201"/>
        <v>UNIDOSSIS S.A.S.</v>
      </c>
      <c r="E1103" s="609"/>
      <c r="J1103" s="190"/>
    </row>
    <row r="1104" spans="1:10" ht="13.35" customHeight="1">
      <c r="A1104" s="199" t="s">
        <v>403</v>
      </c>
      <c r="B1104" s="199" t="s">
        <v>403</v>
      </c>
      <c r="C1104" s="200" t="s">
        <v>405</v>
      </c>
      <c r="D1104" s="199" t="s">
        <v>404</v>
      </c>
      <c r="E1104" s="199" t="s">
        <v>403</v>
      </c>
      <c r="J1104" s="190"/>
    </row>
    <row r="1105" spans="1:10" ht="13.35" customHeight="1">
      <c r="A1105" s="610" t="e">
        <f t="shared" ref="A1105:A1111" si="202">A1097</f>
        <v>#N/A</v>
      </c>
      <c r="B1105" s="610"/>
      <c r="C1105" s="200" t="s">
        <v>405</v>
      </c>
      <c r="D1105" s="610" t="e">
        <f t="shared" ref="D1105:D1111" si="203">A1105</f>
        <v>#N/A</v>
      </c>
      <c r="E1105" s="610"/>
      <c r="J1105" s="190"/>
    </row>
    <row r="1106" spans="1:10" ht="13.35" customHeight="1">
      <c r="A1106" s="610" t="e">
        <f t="shared" si="202"/>
        <v>#N/A</v>
      </c>
      <c r="B1106" s="610"/>
      <c r="C1106" s="200" t="s">
        <v>405</v>
      </c>
      <c r="D1106" s="610" t="e">
        <f t="shared" si="203"/>
        <v>#N/A</v>
      </c>
      <c r="E1106" s="610"/>
      <c r="J1106" s="190"/>
    </row>
    <row r="1107" spans="1:10" ht="13.35" customHeight="1">
      <c r="A1107" s="182" t="e">
        <f t="shared" ca="1" si="202"/>
        <v>#N/A</v>
      </c>
      <c r="B1107" s="183" t="str">
        <f>B1099</f>
        <v xml:space="preserve">Lt: </v>
      </c>
      <c r="C1107" s="200" t="s">
        <v>405</v>
      </c>
      <c r="D1107" s="182" t="e">
        <f t="shared" ca="1" si="203"/>
        <v>#N/A</v>
      </c>
      <c r="E1107" s="183" t="str">
        <f>B1107</f>
        <v xml:space="preserve">Lt: </v>
      </c>
      <c r="J1107" s="190"/>
    </row>
    <row r="1108" spans="1:10" ht="13.35" customHeight="1">
      <c r="A1108" s="610" t="str">
        <f t="shared" si="202"/>
        <v xml:space="preserve">  0</v>
      </c>
      <c r="B1108" s="610"/>
      <c r="C1108" s="200" t="s">
        <v>405</v>
      </c>
      <c r="D1108" s="610" t="str">
        <f t="shared" si="203"/>
        <v xml:space="preserve">  0</v>
      </c>
      <c r="E1108" s="610"/>
      <c r="J1108" s="190"/>
    </row>
    <row r="1109" spans="1:10" ht="13.35" customHeight="1">
      <c r="A1109" s="609" t="str">
        <f t="shared" si="202"/>
        <v>QFP: JGARCIA   QFV: ADELTORO</v>
      </c>
      <c r="B1109" s="609"/>
      <c r="C1109" s="200" t="s">
        <v>405</v>
      </c>
      <c r="D1109" s="609" t="str">
        <f t="shared" si="203"/>
        <v>QFP: JGARCIA   QFV: ADELTORO</v>
      </c>
      <c r="E1109" s="609"/>
      <c r="J1109" s="190"/>
    </row>
    <row r="1110" spans="1:10" ht="13.35" customHeight="1">
      <c r="A1110" s="609" t="str">
        <f t="shared" si="202"/>
        <v>C.JPC/SEXTO NTE/SCOOP   Cama: NA</v>
      </c>
      <c r="B1110" s="609"/>
      <c r="C1110" s="200" t="s">
        <v>405</v>
      </c>
      <c r="D1110" s="609" t="str">
        <f t="shared" si="203"/>
        <v>C.JPC/SEXTO NTE/SCOOP   Cama: NA</v>
      </c>
      <c r="E1110" s="609"/>
      <c r="J1110" s="190"/>
    </row>
    <row r="1111" spans="1:10" ht="13.35" customHeight="1">
      <c r="A1111" s="609" t="str">
        <f t="shared" si="202"/>
        <v>UNIDOSSIS S.A.S.</v>
      </c>
      <c r="B1111" s="609"/>
      <c r="C1111" s="200" t="s">
        <v>405</v>
      </c>
      <c r="D1111" s="609" t="str">
        <f t="shared" si="203"/>
        <v>UNIDOSSIS S.A.S.</v>
      </c>
      <c r="E1111" s="609"/>
      <c r="J1111" s="190"/>
    </row>
    <row r="1112" spans="1:10" ht="13.35" customHeight="1">
      <c r="A1112" s="199" t="s">
        <v>403</v>
      </c>
      <c r="B1112" s="199" t="s">
        <v>403</v>
      </c>
      <c r="C1112" s="200" t="s">
        <v>405</v>
      </c>
      <c r="D1112" s="199" t="s">
        <v>404</v>
      </c>
      <c r="E1112" s="199" t="s">
        <v>403</v>
      </c>
      <c r="J1112" s="190"/>
    </row>
    <row r="1113" spans="1:10" ht="13.35" customHeight="1">
      <c r="A1113" s="610" t="e">
        <f t="shared" ref="A1113:A1119" si="204">A1105</f>
        <v>#N/A</v>
      </c>
      <c r="B1113" s="610"/>
      <c r="C1113" s="200" t="s">
        <v>405</v>
      </c>
      <c r="D1113" s="610" t="e">
        <f t="shared" ref="D1113:D1119" si="205">A1113</f>
        <v>#N/A</v>
      </c>
      <c r="E1113" s="610"/>
      <c r="J1113" s="190"/>
    </row>
    <row r="1114" spans="1:10" ht="13.35" customHeight="1">
      <c r="A1114" s="610" t="e">
        <f t="shared" si="204"/>
        <v>#N/A</v>
      </c>
      <c r="B1114" s="610"/>
      <c r="C1114" s="200" t="s">
        <v>405</v>
      </c>
      <c r="D1114" s="610" t="e">
        <f t="shared" si="205"/>
        <v>#N/A</v>
      </c>
      <c r="E1114" s="610"/>
      <c r="J1114" s="190"/>
    </row>
    <row r="1115" spans="1:10" ht="13.35" customHeight="1">
      <c r="A1115" s="182" t="e">
        <f t="shared" ca="1" si="204"/>
        <v>#N/A</v>
      </c>
      <c r="B1115" s="183" t="str">
        <f>B1107</f>
        <v xml:space="preserve">Lt: </v>
      </c>
      <c r="C1115" s="200" t="s">
        <v>405</v>
      </c>
      <c r="D1115" s="182" t="e">
        <f t="shared" ca="1" si="205"/>
        <v>#N/A</v>
      </c>
      <c r="E1115" s="183" t="str">
        <f>B1115</f>
        <v xml:space="preserve">Lt: </v>
      </c>
      <c r="J1115" s="190"/>
    </row>
    <row r="1116" spans="1:10" ht="13.35" customHeight="1">
      <c r="A1116" s="610" t="str">
        <f t="shared" si="204"/>
        <v xml:space="preserve">  0</v>
      </c>
      <c r="B1116" s="610"/>
      <c r="C1116" s="200" t="s">
        <v>405</v>
      </c>
      <c r="D1116" s="610" t="str">
        <f t="shared" si="205"/>
        <v xml:space="preserve">  0</v>
      </c>
      <c r="E1116" s="610"/>
      <c r="J1116" s="190"/>
    </row>
    <row r="1117" spans="1:10" ht="13.35" customHeight="1">
      <c r="A1117" s="609" t="str">
        <f t="shared" si="204"/>
        <v>QFP: JGARCIA   QFV: ADELTORO</v>
      </c>
      <c r="B1117" s="609"/>
      <c r="C1117" s="200" t="s">
        <v>405</v>
      </c>
      <c r="D1117" s="609" t="str">
        <f t="shared" si="205"/>
        <v>QFP: JGARCIA   QFV: ADELTORO</v>
      </c>
      <c r="E1117" s="609"/>
      <c r="J1117" s="190"/>
    </row>
    <row r="1118" spans="1:10" ht="13.35" customHeight="1">
      <c r="A1118" s="609" t="str">
        <f t="shared" si="204"/>
        <v>C.JPC/SEXTO NTE/SCOOP   Cama: NA</v>
      </c>
      <c r="B1118" s="609"/>
      <c r="C1118" s="200" t="s">
        <v>405</v>
      </c>
      <c r="D1118" s="609" t="str">
        <f t="shared" si="205"/>
        <v>C.JPC/SEXTO NTE/SCOOP   Cama: NA</v>
      </c>
      <c r="E1118" s="609"/>
      <c r="J1118" s="190"/>
    </row>
    <row r="1119" spans="1:10" ht="13.35" customHeight="1">
      <c r="A1119" s="609" t="str">
        <f t="shared" si="204"/>
        <v>UNIDOSSIS S.A.S.</v>
      </c>
      <c r="B1119" s="609"/>
      <c r="C1119" s="200" t="s">
        <v>405</v>
      </c>
      <c r="D1119" s="609" t="str">
        <f t="shared" si="205"/>
        <v>UNIDOSSIS S.A.S.</v>
      </c>
      <c r="E1119" s="609"/>
      <c r="J1119" s="190"/>
    </row>
    <row r="1120" spans="1:10" ht="13.35" customHeight="1">
      <c r="A1120" s="610" t="e">
        <f>'DATOS ETIQ'!B$38&amp;"  "&amp;'DATOS ETIQ'!C$38&amp;"  "&amp;'DATOS ETIQ'!D$38&amp;'DATOS ETIQ'!Q$38</f>
        <v>#N/A</v>
      </c>
      <c r="B1120" s="610"/>
      <c r="C1120" s="200" t="s">
        <v>405</v>
      </c>
      <c r="D1120" s="610" t="e">
        <f t="shared" ref="D1120:D1126" si="206">A1120</f>
        <v>#N/A</v>
      </c>
      <c r="E1120" s="610"/>
      <c r="J1120" s="190"/>
    </row>
    <row r="1121" spans="1:10" ht="13.35" customHeight="1" thickBot="1">
      <c r="A1121" s="610" t="e">
        <f>IF('DATOS ETIQ'!P$38=1,"Do: "&amp;'DATOS ETIQ'!F$38&amp;"mg   VolDo: "&amp;'DATOS ETIQ'!G$38&amp;"mL","Dilución 1/"&amp;'DATOS ETIQ'!P$38&amp;"  "&amp;'DATOS ETIQ'!E$38&amp;"mg/mL   Do: "&amp;'DATOS ETIQ'!F$38&amp;"mg   VolDo: "&amp;'DATOS ETIQ'!G$38&amp;"mL")</f>
        <v>#N/A</v>
      </c>
      <c r="B1121" s="610"/>
      <c r="C1121" s="200" t="s">
        <v>405</v>
      </c>
      <c r="D1121" s="610" t="e">
        <f t="shared" si="206"/>
        <v>#N/A</v>
      </c>
      <c r="E1121" s="610"/>
      <c r="J1121" s="190"/>
    </row>
    <row r="1122" spans="1:10" ht="13.35" customHeight="1">
      <c r="A1122" s="182" t="e">
        <f ca="1">'DATOS ETIQ'!H$38</f>
        <v>#N/A</v>
      </c>
      <c r="B1122" s="183" t="str">
        <f>"Lt: "&amp;'DATOS ETIQ'!I$38</f>
        <v xml:space="preserve">Lt: </v>
      </c>
      <c r="C1122" s="200" t="s">
        <v>405</v>
      </c>
      <c r="D1122" s="182" t="e">
        <f t="shared" ca="1" si="206"/>
        <v>#N/A</v>
      </c>
      <c r="E1122" s="183" t="str">
        <f>B1122</f>
        <v xml:space="preserve">Lt: </v>
      </c>
      <c r="G1122" s="611" t="e">
        <f>'FR PD 001 V1'!T42/4</f>
        <v>#N/A</v>
      </c>
      <c r="J1122" s="611">
        <v>37</v>
      </c>
    </row>
    <row r="1123" spans="1:10" ht="13.35" customHeight="1" thickBot="1">
      <c r="A1123" s="610" t="str">
        <f>'DATOS ETIQ'!J$38&amp;"  "&amp;'DATOS ETIQ'!K$38</f>
        <v xml:space="preserve">  0</v>
      </c>
      <c r="B1123" s="610"/>
      <c r="C1123" s="200" t="s">
        <v>405</v>
      </c>
      <c r="D1123" s="610" t="str">
        <f t="shared" si="206"/>
        <v xml:space="preserve">  0</v>
      </c>
      <c r="E1123" s="610"/>
      <c r="G1123" s="612"/>
      <c r="J1123" s="612"/>
    </row>
    <row r="1124" spans="1:10" ht="13.35" customHeight="1">
      <c r="A1124" s="609" t="str">
        <f>"QFP: "&amp;'DATOS ETIQ'!L$38&amp;"   QFV: "&amp;'DATOS ETIQ'!M$38</f>
        <v>QFP: JGARCIA   QFV: ADELTORO</v>
      </c>
      <c r="B1124" s="609"/>
      <c r="C1124" s="200" t="s">
        <v>405</v>
      </c>
      <c r="D1124" s="609" t="str">
        <f t="shared" si="206"/>
        <v>QFP: JGARCIA   QFV: ADELTORO</v>
      </c>
      <c r="E1124" s="609"/>
      <c r="J1124" s="190"/>
    </row>
    <row r="1125" spans="1:10" ht="13.35" customHeight="1">
      <c r="A1125" s="609" t="str">
        <f>'DATOS ETIQ'!N$38&amp;"   Cama: "&amp;'DATOS ETIQ'!O$38</f>
        <v>C.JPC/SEXTO NTE/SCOOP   Cama: NA</v>
      </c>
      <c r="B1125" s="609"/>
      <c r="C1125" s="200" t="s">
        <v>405</v>
      </c>
      <c r="D1125" s="609" t="str">
        <f t="shared" si="206"/>
        <v>C.JPC/SEXTO NTE/SCOOP   Cama: NA</v>
      </c>
      <c r="E1125" s="609"/>
      <c r="J1125" s="190"/>
    </row>
    <row r="1126" spans="1:10" ht="13.35" customHeight="1">
      <c r="A1126" s="609" t="s">
        <v>167</v>
      </c>
      <c r="B1126" s="609"/>
      <c r="C1126" s="200" t="s">
        <v>405</v>
      </c>
      <c r="D1126" s="609" t="str">
        <f t="shared" si="206"/>
        <v>UNIDOSSIS S.A.S.</v>
      </c>
      <c r="E1126" s="609"/>
      <c r="J1126" s="190"/>
    </row>
    <row r="1127" spans="1:10" ht="13.35" customHeight="1">
      <c r="A1127" s="199" t="s">
        <v>403</v>
      </c>
      <c r="B1127" s="199" t="s">
        <v>403</v>
      </c>
      <c r="C1127" s="200" t="s">
        <v>405</v>
      </c>
      <c r="D1127" s="199" t="s">
        <v>404</v>
      </c>
      <c r="E1127" s="199" t="s">
        <v>403</v>
      </c>
      <c r="J1127" s="190"/>
    </row>
    <row r="1128" spans="1:10" ht="13.35" customHeight="1">
      <c r="A1128" s="610" t="e">
        <f t="shared" ref="A1128:A1134" si="207">A1120</f>
        <v>#N/A</v>
      </c>
      <c r="B1128" s="610"/>
      <c r="C1128" s="200" t="s">
        <v>405</v>
      </c>
      <c r="D1128" s="610" t="e">
        <f t="shared" ref="D1128:D1134" si="208">A1128</f>
        <v>#N/A</v>
      </c>
      <c r="E1128" s="610"/>
      <c r="J1128" s="190"/>
    </row>
    <row r="1129" spans="1:10" ht="13.35" customHeight="1">
      <c r="A1129" s="610" t="e">
        <f t="shared" si="207"/>
        <v>#N/A</v>
      </c>
      <c r="B1129" s="610"/>
      <c r="C1129" s="200" t="s">
        <v>405</v>
      </c>
      <c r="D1129" s="610" t="e">
        <f t="shared" si="208"/>
        <v>#N/A</v>
      </c>
      <c r="E1129" s="610"/>
      <c r="J1129" s="190"/>
    </row>
    <row r="1130" spans="1:10" ht="13.35" customHeight="1">
      <c r="A1130" s="182" t="e">
        <f t="shared" ca="1" si="207"/>
        <v>#N/A</v>
      </c>
      <c r="B1130" s="183" t="str">
        <f>B1122</f>
        <v xml:space="preserve">Lt: </v>
      </c>
      <c r="C1130" s="200" t="s">
        <v>405</v>
      </c>
      <c r="D1130" s="182" t="e">
        <f t="shared" ca="1" si="208"/>
        <v>#N/A</v>
      </c>
      <c r="E1130" s="183" t="str">
        <f>B1130</f>
        <v xml:space="preserve">Lt: </v>
      </c>
      <c r="J1130" s="190"/>
    </row>
    <row r="1131" spans="1:10" ht="13.35" customHeight="1">
      <c r="A1131" s="610" t="str">
        <f t="shared" si="207"/>
        <v xml:space="preserve">  0</v>
      </c>
      <c r="B1131" s="610"/>
      <c r="C1131" s="200" t="s">
        <v>405</v>
      </c>
      <c r="D1131" s="610" t="str">
        <f t="shared" si="208"/>
        <v xml:space="preserve">  0</v>
      </c>
      <c r="E1131" s="610"/>
      <c r="J1131" s="190"/>
    </row>
    <row r="1132" spans="1:10" ht="13.35" customHeight="1">
      <c r="A1132" s="609" t="str">
        <f t="shared" si="207"/>
        <v>QFP: JGARCIA   QFV: ADELTORO</v>
      </c>
      <c r="B1132" s="609"/>
      <c r="C1132" s="200" t="s">
        <v>405</v>
      </c>
      <c r="D1132" s="609" t="str">
        <f t="shared" si="208"/>
        <v>QFP: JGARCIA   QFV: ADELTORO</v>
      </c>
      <c r="E1132" s="609"/>
      <c r="J1132" s="190"/>
    </row>
    <row r="1133" spans="1:10" ht="13.35" customHeight="1">
      <c r="A1133" s="609" t="str">
        <f t="shared" si="207"/>
        <v>C.JPC/SEXTO NTE/SCOOP   Cama: NA</v>
      </c>
      <c r="B1133" s="609"/>
      <c r="C1133" s="200" t="s">
        <v>405</v>
      </c>
      <c r="D1133" s="609" t="str">
        <f t="shared" si="208"/>
        <v>C.JPC/SEXTO NTE/SCOOP   Cama: NA</v>
      </c>
      <c r="E1133" s="609"/>
      <c r="J1133" s="190"/>
    </row>
    <row r="1134" spans="1:10" ht="13.35" customHeight="1">
      <c r="A1134" s="609" t="str">
        <f t="shared" si="207"/>
        <v>UNIDOSSIS S.A.S.</v>
      </c>
      <c r="B1134" s="609"/>
      <c r="C1134" s="200" t="s">
        <v>405</v>
      </c>
      <c r="D1134" s="609" t="str">
        <f t="shared" si="208"/>
        <v>UNIDOSSIS S.A.S.</v>
      </c>
      <c r="E1134" s="609"/>
      <c r="J1134" s="190"/>
    </row>
    <row r="1135" spans="1:10" ht="13.35" customHeight="1">
      <c r="A1135" s="199" t="s">
        <v>403</v>
      </c>
      <c r="B1135" s="199" t="s">
        <v>403</v>
      </c>
      <c r="C1135" s="200" t="s">
        <v>405</v>
      </c>
      <c r="D1135" s="199" t="s">
        <v>404</v>
      </c>
      <c r="E1135" s="199" t="s">
        <v>403</v>
      </c>
      <c r="J1135" s="190"/>
    </row>
    <row r="1136" spans="1:10" ht="13.35" customHeight="1">
      <c r="A1136" s="610" t="e">
        <f t="shared" ref="A1136:A1142" si="209">A1128</f>
        <v>#N/A</v>
      </c>
      <c r="B1136" s="610"/>
      <c r="C1136" s="200" t="s">
        <v>405</v>
      </c>
      <c r="D1136" s="610" t="e">
        <f t="shared" ref="D1136:D1142" si="210">A1136</f>
        <v>#N/A</v>
      </c>
      <c r="E1136" s="610"/>
      <c r="J1136" s="190"/>
    </row>
    <row r="1137" spans="1:10" ht="13.35" customHeight="1">
      <c r="A1137" s="610" t="e">
        <f t="shared" si="209"/>
        <v>#N/A</v>
      </c>
      <c r="B1137" s="610"/>
      <c r="C1137" s="200" t="s">
        <v>405</v>
      </c>
      <c r="D1137" s="610" t="e">
        <f t="shared" si="210"/>
        <v>#N/A</v>
      </c>
      <c r="E1137" s="610"/>
      <c r="J1137" s="190"/>
    </row>
    <row r="1138" spans="1:10" ht="13.35" customHeight="1">
      <c r="A1138" s="182" t="e">
        <f t="shared" ca="1" si="209"/>
        <v>#N/A</v>
      </c>
      <c r="B1138" s="183" t="str">
        <f>B1130</f>
        <v xml:space="preserve">Lt: </v>
      </c>
      <c r="C1138" s="200" t="s">
        <v>405</v>
      </c>
      <c r="D1138" s="182" t="e">
        <f t="shared" ca="1" si="210"/>
        <v>#N/A</v>
      </c>
      <c r="E1138" s="183" t="str">
        <f>B1138</f>
        <v xml:space="preserve">Lt: </v>
      </c>
      <c r="J1138" s="190"/>
    </row>
    <row r="1139" spans="1:10" ht="13.35" customHeight="1">
      <c r="A1139" s="610" t="str">
        <f t="shared" si="209"/>
        <v xml:space="preserve">  0</v>
      </c>
      <c r="B1139" s="610"/>
      <c r="C1139" s="200" t="s">
        <v>405</v>
      </c>
      <c r="D1139" s="610" t="str">
        <f t="shared" si="210"/>
        <v xml:space="preserve">  0</v>
      </c>
      <c r="E1139" s="610"/>
      <c r="J1139" s="190"/>
    </row>
    <row r="1140" spans="1:10" ht="13.35" customHeight="1">
      <c r="A1140" s="609" t="str">
        <f t="shared" si="209"/>
        <v>QFP: JGARCIA   QFV: ADELTORO</v>
      </c>
      <c r="B1140" s="609"/>
      <c r="C1140" s="200" t="s">
        <v>405</v>
      </c>
      <c r="D1140" s="609" t="str">
        <f t="shared" si="210"/>
        <v>QFP: JGARCIA   QFV: ADELTORO</v>
      </c>
      <c r="E1140" s="609"/>
      <c r="J1140" s="190"/>
    </row>
    <row r="1141" spans="1:10" ht="13.35" customHeight="1">
      <c r="A1141" s="609" t="str">
        <f t="shared" si="209"/>
        <v>C.JPC/SEXTO NTE/SCOOP   Cama: NA</v>
      </c>
      <c r="B1141" s="609"/>
      <c r="C1141" s="200" t="s">
        <v>405</v>
      </c>
      <c r="D1141" s="609" t="str">
        <f t="shared" si="210"/>
        <v>C.JPC/SEXTO NTE/SCOOP   Cama: NA</v>
      </c>
      <c r="E1141" s="609"/>
      <c r="J1141" s="190"/>
    </row>
    <row r="1142" spans="1:10" ht="13.35" customHeight="1">
      <c r="A1142" s="609" t="str">
        <f t="shared" si="209"/>
        <v>UNIDOSSIS S.A.S.</v>
      </c>
      <c r="B1142" s="609"/>
      <c r="C1142" s="200" t="s">
        <v>405</v>
      </c>
      <c r="D1142" s="609" t="str">
        <f t="shared" si="210"/>
        <v>UNIDOSSIS S.A.S.</v>
      </c>
      <c r="E1142" s="609"/>
      <c r="J1142" s="190"/>
    </row>
    <row r="1143" spans="1:10" ht="13.35" customHeight="1">
      <c r="A1143" s="199" t="s">
        <v>403</v>
      </c>
      <c r="B1143" s="199" t="s">
        <v>403</v>
      </c>
      <c r="C1143" s="200" t="s">
        <v>405</v>
      </c>
      <c r="D1143" s="199" t="s">
        <v>404</v>
      </c>
      <c r="E1143" s="199" t="s">
        <v>403</v>
      </c>
      <c r="J1143" s="190"/>
    </row>
    <row r="1144" spans="1:10" ht="13.35" customHeight="1">
      <c r="A1144" s="610" t="e">
        <f t="shared" ref="A1144:A1150" si="211">A1136</f>
        <v>#N/A</v>
      </c>
      <c r="B1144" s="610"/>
      <c r="C1144" s="200" t="s">
        <v>405</v>
      </c>
      <c r="D1144" s="610" t="e">
        <f t="shared" ref="D1144:D1150" si="212">A1144</f>
        <v>#N/A</v>
      </c>
      <c r="E1144" s="610"/>
      <c r="J1144" s="190"/>
    </row>
    <row r="1145" spans="1:10" ht="13.35" customHeight="1">
      <c r="A1145" s="610" t="e">
        <f t="shared" si="211"/>
        <v>#N/A</v>
      </c>
      <c r="B1145" s="610"/>
      <c r="C1145" s="200" t="s">
        <v>405</v>
      </c>
      <c r="D1145" s="610" t="e">
        <f t="shared" si="212"/>
        <v>#N/A</v>
      </c>
      <c r="E1145" s="610"/>
      <c r="J1145" s="190"/>
    </row>
    <row r="1146" spans="1:10" ht="13.35" customHeight="1">
      <c r="A1146" s="182" t="e">
        <f t="shared" ca="1" si="211"/>
        <v>#N/A</v>
      </c>
      <c r="B1146" s="183" t="str">
        <f>B1138</f>
        <v xml:space="preserve">Lt: </v>
      </c>
      <c r="C1146" s="200" t="s">
        <v>405</v>
      </c>
      <c r="D1146" s="182" t="e">
        <f t="shared" ca="1" si="212"/>
        <v>#N/A</v>
      </c>
      <c r="E1146" s="183" t="str">
        <f>B1146</f>
        <v xml:space="preserve">Lt: </v>
      </c>
      <c r="J1146" s="190"/>
    </row>
    <row r="1147" spans="1:10" ht="13.35" customHeight="1">
      <c r="A1147" s="610" t="str">
        <f t="shared" si="211"/>
        <v xml:space="preserve">  0</v>
      </c>
      <c r="B1147" s="610"/>
      <c r="C1147" s="200" t="s">
        <v>405</v>
      </c>
      <c r="D1147" s="610" t="str">
        <f t="shared" si="212"/>
        <v xml:space="preserve">  0</v>
      </c>
      <c r="E1147" s="610"/>
      <c r="J1147" s="190"/>
    </row>
    <row r="1148" spans="1:10" ht="13.35" customHeight="1">
      <c r="A1148" s="609" t="str">
        <f t="shared" si="211"/>
        <v>QFP: JGARCIA   QFV: ADELTORO</v>
      </c>
      <c r="B1148" s="609"/>
      <c r="C1148" s="200" t="s">
        <v>405</v>
      </c>
      <c r="D1148" s="609" t="str">
        <f t="shared" si="212"/>
        <v>QFP: JGARCIA   QFV: ADELTORO</v>
      </c>
      <c r="E1148" s="609"/>
      <c r="J1148" s="190"/>
    </row>
    <row r="1149" spans="1:10" ht="13.35" customHeight="1">
      <c r="A1149" s="609" t="str">
        <f t="shared" si="211"/>
        <v>C.JPC/SEXTO NTE/SCOOP   Cama: NA</v>
      </c>
      <c r="B1149" s="609"/>
      <c r="C1149" s="200" t="s">
        <v>405</v>
      </c>
      <c r="D1149" s="609" t="str">
        <f t="shared" si="212"/>
        <v>C.JPC/SEXTO NTE/SCOOP   Cama: NA</v>
      </c>
      <c r="E1149" s="609"/>
      <c r="J1149" s="190"/>
    </row>
    <row r="1150" spans="1:10" ht="13.35" customHeight="1">
      <c r="A1150" s="609" t="str">
        <f t="shared" si="211"/>
        <v>UNIDOSSIS S.A.S.</v>
      </c>
      <c r="B1150" s="609"/>
      <c r="C1150" s="200" t="s">
        <v>405</v>
      </c>
      <c r="D1150" s="609" t="str">
        <f t="shared" si="212"/>
        <v>UNIDOSSIS S.A.S.</v>
      </c>
      <c r="E1150" s="609"/>
      <c r="J1150" s="190"/>
    </row>
    <row r="1151" spans="1:10" ht="13.35" customHeight="1">
      <c r="A1151" s="610" t="e">
        <f>'DATOS ETIQ'!B$39&amp;"  "&amp;'DATOS ETIQ'!C$39&amp;"  "&amp;'DATOS ETIQ'!D$39&amp;'DATOS ETIQ'!Q$39</f>
        <v>#N/A</v>
      </c>
      <c r="B1151" s="610"/>
      <c r="C1151" s="200" t="s">
        <v>405</v>
      </c>
      <c r="D1151" s="610" t="e">
        <f t="shared" ref="D1151:D1157" si="213">A1151</f>
        <v>#N/A</v>
      </c>
      <c r="E1151" s="610"/>
      <c r="J1151" s="190"/>
    </row>
    <row r="1152" spans="1:10" ht="13.35" customHeight="1" thickBot="1">
      <c r="A1152" s="610" t="e">
        <f>IF('DATOS ETIQ'!P$39=1,"Do: "&amp;'DATOS ETIQ'!F$39&amp;"mg   VolDo: "&amp;'DATOS ETIQ'!G$39&amp;"mL","Dilución 1/"&amp;'DATOS ETIQ'!P$39&amp;"  "&amp;'DATOS ETIQ'!E$39&amp;"mg/mL   Do: "&amp;'DATOS ETIQ'!F$39&amp;"mg   VolDo: "&amp;'DATOS ETIQ'!G$39&amp;"mL")</f>
        <v>#N/A</v>
      </c>
      <c r="B1152" s="610"/>
      <c r="C1152" s="200" t="s">
        <v>405</v>
      </c>
      <c r="D1152" s="610" t="e">
        <f t="shared" si="213"/>
        <v>#N/A</v>
      </c>
      <c r="E1152" s="610"/>
      <c r="J1152" s="190"/>
    </row>
    <row r="1153" spans="1:10" ht="13.35" customHeight="1">
      <c r="A1153" s="182" t="e">
        <f ca="1">'DATOS ETIQ'!H$39</f>
        <v>#N/A</v>
      </c>
      <c r="B1153" s="183" t="str">
        <f>"Lt: "&amp;'DATOS ETIQ'!I$39</f>
        <v xml:space="preserve">Lt: </v>
      </c>
      <c r="C1153" s="200" t="s">
        <v>405</v>
      </c>
      <c r="D1153" s="182" t="e">
        <f t="shared" ca="1" si="213"/>
        <v>#N/A</v>
      </c>
      <c r="E1153" s="183" t="str">
        <f>B1153</f>
        <v xml:space="preserve">Lt: </v>
      </c>
      <c r="G1153" s="611" t="e">
        <f>'FR PD 001 V1'!T43/4</f>
        <v>#N/A</v>
      </c>
      <c r="J1153" s="611">
        <v>38</v>
      </c>
    </row>
    <row r="1154" spans="1:10" ht="13.35" customHeight="1" thickBot="1">
      <c r="A1154" s="610" t="str">
        <f>'DATOS ETIQ'!J$39&amp;"  "&amp;'DATOS ETIQ'!K$39</f>
        <v xml:space="preserve">  0</v>
      </c>
      <c r="B1154" s="610"/>
      <c r="C1154" s="200" t="s">
        <v>405</v>
      </c>
      <c r="D1154" s="610" t="str">
        <f t="shared" si="213"/>
        <v xml:space="preserve">  0</v>
      </c>
      <c r="E1154" s="610"/>
      <c r="G1154" s="612"/>
      <c r="J1154" s="612"/>
    </row>
    <row r="1155" spans="1:10" ht="13.35" customHeight="1">
      <c r="A1155" s="609" t="str">
        <f>"QFP: "&amp;'DATOS ETIQ'!L$39&amp;"   QFV: "&amp;'DATOS ETIQ'!M$39</f>
        <v>QFP: JGARCIA   QFV: ADELTORO</v>
      </c>
      <c r="B1155" s="609"/>
      <c r="C1155" s="200" t="s">
        <v>405</v>
      </c>
      <c r="D1155" s="609" t="str">
        <f t="shared" si="213"/>
        <v>QFP: JGARCIA   QFV: ADELTORO</v>
      </c>
      <c r="E1155" s="609"/>
      <c r="J1155" s="190"/>
    </row>
    <row r="1156" spans="1:10" ht="13.35" customHeight="1">
      <c r="A1156" s="609" t="str">
        <f>'DATOS ETIQ'!N$39&amp;"   Cama: "&amp;'DATOS ETIQ'!O$39</f>
        <v>C.JPC/SEXTO NTE/SCOOP   Cama: NA</v>
      </c>
      <c r="B1156" s="609"/>
      <c r="C1156" s="200" t="s">
        <v>405</v>
      </c>
      <c r="D1156" s="609" t="str">
        <f t="shared" si="213"/>
        <v>C.JPC/SEXTO NTE/SCOOP   Cama: NA</v>
      </c>
      <c r="E1156" s="609"/>
      <c r="J1156" s="190"/>
    </row>
    <row r="1157" spans="1:10" ht="13.35" customHeight="1">
      <c r="A1157" s="609" t="s">
        <v>167</v>
      </c>
      <c r="B1157" s="609"/>
      <c r="C1157" s="200" t="s">
        <v>405</v>
      </c>
      <c r="D1157" s="609" t="str">
        <f t="shared" si="213"/>
        <v>UNIDOSSIS S.A.S.</v>
      </c>
      <c r="E1157" s="609"/>
      <c r="J1157" s="190"/>
    </row>
    <row r="1158" spans="1:10" ht="13.35" customHeight="1">
      <c r="A1158" s="199" t="s">
        <v>403</v>
      </c>
      <c r="B1158" s="199" t="s">
        <v>403</v>
      </c>
      <c r="C1158" s="200" t="s">
        <v>405</v>
      </c>
      <c r="D1158" s="199" t="s">
        <v>404</v>
      </c>
      <c r="E1158" s="199" t="s">
        <v>403</v>
      </c>
      <c r="J1158" s="190"/>
    </row>
    <row r="1159" spans="1:10" ht="13.35" customHeight="1">
      <c r="A1159" s="610" t="e">
        <f t="shared" ref="A1159:A1165" si="214">A1151</f>
        <v>#N/A</v>
      </c>
      <c r="B1159" s="610"/>
      <c r="C1159" s="200" t="s">
        <v>405</v>
      </c>
      <c r="D1159" s="610" t="e">
        <f t="shared" ref="D1159:D1165" si="215">A1159</f>
        <v>#N/A</v>
      </c>
      <c r="E1159" s="610"/>
      <c r="J1159" s="190"/>
    </row>
    <row r="1160" spans="1:10" ht="13.35" customHeight="1">
      <c r="A1160" s="610" t="e">
        <f t="shared" si="214"/>
        <v>#N/A</v>
      </c>
      <c r="B1160" s="610"/>
      <c r="C1160" s="200" t="s">
        <v>405</v>
      </c>
      <c r="D1160" s="610" t="e">
        <f t="shared" si="215"/>
        <v>#N/A</v>
      </c>
      <c r="E1160" s="610"/>
      <c r="J1160" s="190"/>
    </row>
    <row r="1161" spans="1:10" ht="13.35" customHeight="1">
      <c r="A1161" s="182" t="e">
        <f t="shared" ca="1" si="214"/>
        <v>#N/A</v>
      </c>
      <c r="B1161" s="183" t="str">
        <f>B1153</f>
        <v xml:space="preserve">Lt: </v>
      </c>
      <c r="C1161" s="200" t="s">
        <v>405</v>
      </c>
      <c r="D1161" s="182" t="e">
        <f t="shared" ca="1" si="215"/>
        <v>#N/A</v>
      </c>
      <c r="E1161" s="183" t="str">
        <f>B1161</f>
        <v xml:space="preserve">Lt: </v>
      </c>
      <c r="J1161" s="190"/>
    </row>
    <row r="1162" spans="1:10" ht="13.35" customHeight="1">
      <c r="A1162" s="610" t="str">
        <f t="shared" si="214"/>
        <v xml:space="preserve">  0</v>
      </c>
      <c r="B1162" s="610"/>
      <c r="C1162" s="200" t="s">
        <v>405</v>
      </c>
      <c r="D1162" s="610" t="str">
        <f t="shared" si="215"/>
        <v xml:space="preserve">  0</v>
      </c>
      <c r="E1162" s="610"/>
      <c r="J1162" s="190"/>
    </row>
    <row r="1163" spans="1:10" ht="13.35" customHeight="1">
      <c r="A1163" s="609" t="str">
        <f t="shared" si="214"/>
        <v>QFP: JGARCIA   QFV: ADELTORO</v>
      </c>
      <c r="B1163" s="609"/>
      <c r="C1163" s="200" t="s">
        <v>405</v>
      </c>
      <c r="D1163" s="609" t="str">
        <f t="shared" si="215"/>
        <v>QFP: JGARCIA   QFV: ADELTORO</v>
      </c>
      <c r="E1163" s="609"/>
      <c r="J1163" s="190"/>
    </row>
    <row r="1164" spans="1:10" ht="13.35" customHeight="1">
      <c r="A1164" s="609" t="str">
        <f t="shared" si="214"/>
        <v>C.JPC/SEXTO NTE/SCOOP   Cama: NA</v>
      </c>
      <c r="B1164" s="609"/>
      <c r="C1164" s="200" t="s">
        <v>405</v>
      </c>
      <c r="D1164" s="609" t="str">
        <f t="shared" si="215"/>
        <v>C.JPC/SEXTO NTE/SCOOP   Cama: NA</v>
      </c>
      <c r="E1164" s="609"/>
      <c r="J1164" s="190"/>
    </row>
    <row r="1165" spans="1:10" ht="13.35" customHeight="1">
      <c r="A1165" s="609" t="str">
        <f t="shared" si="214"/>
        <v>UNIDOSSIS S.A.S.</v>
      </c>
      <c r="B1165" s="609"/>
      <c r="C1165" s="200" t="s">
        <v>405</v>
      </c>
      <c r="D1165" s="609" t="str">
        <f t="shared" si="215"/>
        <v>UNIDOSSIS S.A.S.</v>
      </c>
      <c r="E1165" s="609"/>
      <c r="J1165" s="190"/>
    </row>
    <row r="1166" spans="1:10" ht="13.35" customHeight="1">
      <c r="A1166" s="199" t="s">
        <v>403</v>
      </c>
      <c r="B1166" s="199" t="s">
        <v>403</v>
      </c>
      <c r="C1166" s="200" t="s">
        <v>405</v>
      </c>
      <c r="D1166" s="199" t="s">
        <v>404</v>
      </c>
      <c r="E1166" s="199" t="s">
        <v>403</v>
      </c>
      <c r="J1166" s="190"/>
    </row>
    <row r="1167" spans="1:10" ht="13.35" customHeight="1">
      <c r="A1167" s="610" t="e">
        <f t="shared" ref="A1167:A1173" si="216">A1159</f>
        <v>#N/A</v>
      </c>
      <c r="B1167" s="610"/>
      <c r="C1167" s="200" t="s">
        <v>405</v>
      </c>
      <c r="D1167" s="610" t="e">
        <f t="shared" ref="D1167:D1173" si="217">A1167</f>
        <v>#N/A</v>
      </c>
      <c r="E1167" s="610"/>
      <c r="J1167" s="190"/>
    </row>
    <row r="1168" spans="1:10" ht="13.35" customHeight="1">
      <c r="A1168" s="610" t="e">
        <f t="shared" si="216"/>
        <v>#N/A</v>
      </c>
      <c r="B1168" s="610"/>
      <c r="C1168" s="200" t="s">
        <v>405</v>
      </c>
      <c r="D1168" s="610" t="e">
        <f t="shared" si="217"/>
        <v>#N/A</v>
      </c>
      <c r="E1168" s="610"/>
      <c r="J1168" s="190"/>
    </row>
    <row r="1169" spans="1:10" ht="13.35" customHeight="1">
      <c r="A1169" s="182" t="e">
        <f t="shared" ca="1" si="216"/>
        <v>#N/A</v>
      </c>
      <c r="B1169" s="183" t="str">
        <f>B1161</f>
        <v xml:space="preserve">Lt: </v>
      </c>
      <c r="C1169" s="200" t="s">
        <v>405</v>
      </c>
      <c r="D1169" s="182" t="e">
        <f t="shared" ca="1" si="217"/>
        <v>#N/A</v>
      </c>
      <c r="E1169" s="183" t="str">
        <f>B1169</f>
        <v xml:space="preserve">Lt: </v>
      </c>
      <c r="J1169" s="190"/>
    </row>
    <row r="1170" spans="1:10" ht="13.35" customHeight="1">
      <c r="A1170" s="610" t="str">
        <f t="shared" si="216"/>
        <v xml:space="preserve">  0</v>
      </c>
      <c r="B1170" s="610"/>
      <c r="C1170" s="200" t="s">
        <v>405</v>
      </c>
      <c r="D1170" s="610" t="str">
        <f t="shared" si="217"/>
        <v xml:space="preserve">  0</v>
      </c>
      <c r="E1170" s="610"/>
      <c r="J1170" s="190"/>
    </row>
    <row r="1171" spans="1:10" ht="13.35" customHeight="1">
      <c r="A1171" s="609" t="str">
        <f t="shared" si="216"/>
        <v>QFP: JGARCIA   QFV: ADELTORO</v>
      </c>
      <c r="B1171" s="609"/>
      <c r="C1171" s="200" t="s">
        <v>405</v>
      </c>
      <c r="D1171" s="609" t="str">
        <f t="shared" si="217"/>
        <v>QFP: JGARCIA   QFV: ADELTORO</v>
      </c>
      <c r="E1171" s="609"/>
      <c r="J1171" s="190"/>
    </row>
    <row r="1172" spans="1:10" ht="13.35" customHeight="1">
      <c r="A1172" s="609" t="str">
        <f t="shared" si="216"/>
        <v>C.JPC/SEXTO NTE/SCOOP   Cama: NA</v>
      </c>
      <c r="B1172" s="609"/>
      <c r="C1172" s="200" t="s">
        <v>405</v>
      </c>
      <c r="D1172" s="609" t="str">
        <f t="shared" si="217"/>
        <v>C.JPC/SEXTO NTE/SCOOP   Cama: NA</v>
      </c>
      <c r="E1172" s="609"/>
      <c r="J1172" s="190"/>
    </row>
    <row r="1173" spans="1:10" ht="13.35" customHeight="1">
      <c r="A1173" s="609" t="str">
        <f t="shared" si="216"/>
        <v>UNIDOSSIS S.A.S.</v>
      </c>
      <c r="B1173" s="609"/>
      <c r="C1173" s="200" t="s">
        <v>405</v>
      </c>
      <c r="D1173" s="609" t="str">
        <f t="shared" si="217"/>
        <v>UNIDOSSIS S.A.S.</v>
      </c>
      <c r="E1173" s="609"/>
      <c r="J1173" s="190"/>
    </row>
    <row r="1174" spans="1:10" ht="13.35" customHeight="1">
      <c r="A1174" s="199" t="s">
        <v>403</v>
      </c>
      <c r="B1174" s="199" t="s">
        <v>403</v>
      </c>
      <c r="C1174" s="200" t="s">
        <v>405</v>
      </c>
      <c r="D1174" s="199" t="s">
        <v>404</v>
      </c>
      <c r="E1174" s="199" t="s">
        <v>403</v>
      </c>
      <c r="J1174" s="190"/>
    </row>
    <row r="1175" spans="1:10" ht="13.35" customHeight="1">
      <c r="A1175" s="610" t="e">
        <f t="shared" ref="A1175:A1181" si="218">A1167</f>
        <v>#N/A</v>
      </c>
      <c r="B1175" s="610"/>
      <c r="C1175" s="200" t="s">
        <v>405</v>
      </c>
      <c r="D1175" s="610" t="e">
        <f t="shared" ref="D1175:D1181" si="219">A1175</f>
        <v>#N/A</v>
      </c>
      <c r="E1175" s="610"/>
      <c r="J1175" s="190"/>
    </row>
    <row r="1176" spans="1:10" ht="13.35" customHeight="1">
      <c r="A1176" s="610" t="e">
        <f t="shared" si="218"/>
        <v>#N/A</v>
      </c>
      <c r="B1176" s="610"/>
      <c r="C1176" s="200" t="s">
        <v>405</v>
      </c>
      <c r="D1176" s="610" t="e">
        <f t="shared" si="219"/>
        <v>#N/A</v>
      </c>
      <c r="E1176" s="610"/>
      <c r="J1176" s="190"/>
    </row>
    <row r="1177" spans="1:10" ht="13.35" customHeight="1">
      <c r="A1177" s="182" t="e">
        <f t="shared" ca="1" si="218"/>
        <v>#N/A</v>
      </c>
      <c r="B1177" s="183" t="str">
        <f>B1169</f>
        <v xml:space="preserve">Lt: </v>
      </c>
      <c r="C1177" s="200" t="s">
        <v>405</v>
      </c>
      <c r="D1177" s="182" t="e">
        <f t="shared" ca="1" si="219"/>
        <v>#N/A</v>
      </c>
      <c r="E1177" s="183" t="str">
        <f>B1177</f>
        <v xml:space="preserve">Lt: </v>
      </c>
      <c r="J1177" s="190"/>
    </row>
    <row r="1178" spans="1:10" ht="13.35" customHeight="1">
      <c r="A1178" s="610" t="str">
        <f t="shared" si="218"/>
        <v xml:space="preserve">  0</v>
      </c>
      <c r="B1178" s="610"/>
      <c r="C1178" s="200" t="s">
        <v>405</v>
      </c>
      <c r="D1178" s="610" t="str">
        <f t="shared" si="219"/>
        <v xml:space="preserve">  0</v>
      </c>
      <c r="E1178" s="610"/>
      <c r="J1178" s="190"/>
    </row>
    <row r="1179" spans="1:10" ht="13.35" customHeight="1">
      <c r="A1179" s="609" t="str">
        <f t="shared" si="218"/>
        <v>QFP: JGARCIA   QFV: ADELTORO</v>
      </c>
      <c r="B1179" s="609"/>
      <c r="C1179" s="200" t="s">
        <v>405</v>
      </c>
      <c r="D1179" s="609" t="str">
        <f t="shared" si="219"/>
        <v>QFP: JGARCIA   QFV: ADELTORO</v>
      </c>
      <c r="E1179" s="609"/>
      <c r="J1179" s="190"/>
    </row>
    <row r="1180" spans="1:10" ht="13.35" customHeight="1">
      <c r="A1180" s="609" t="str">
        <f t="shared" si="218"/>
        <v>C.JPC/SEXTO NTE/SCOOP   Cama: NA</v>
      </c>
      <c r="B1180" s="609"/>
      <c r="C1180" s="200" t="s">
        <v>405</v>
      </c>
      <c r="D1180" s="609" t="str">
        <f t="shared" si="219"/>
        <v>C.JPC/SEXTO NTE/SCOOP   Cama: NA</v>
      </c>
      <c r="E1180" s="609"/>
      <c r="J1180" s="190"/>
    </row>
    <row r="1181" spans="1:10" ht="13.35" customHeight="1">
      <c r="A1181" s="609" t="str">
        <f t="shared" si="218"/>
        <v>UNIDOSSIS S.A.S.</v>
      </c>
      <c r="B1181" s="609"/>
      <c r="C1181" s="200" t="s">
        <v>405</v>
      </c>
      <c r="D1181" s="609" t="str">
        <f t="shared" si="219"/>
        <v>UNIDOSSIS S.A.S.</v>
      </c>
      <c r="E1181" s="609"/>
      <c r="J1181" s="190"/>
    </row>
    <row r="1182" spans="1:10" ht="13.35" customHeight="1">
      <c r="A1182" s="610" t="e">
        <f>'DATOS ETIQ'!B$40&amp;"  "&amp;'DATOS ETIQ'!C$40&amp;"  "&amp;'DATOS ETIQ'!D$40&amp;'DATOS ETIQ'!Q$40</f>
        <v>#N/A</v>
      </c>
      <c r="B1182" s="610"/>
      <c r="C1182" s="200" t="s">
        <v>405</v>
      </c>
      <c r="D1182" s="610" t="e">
        <f t="shared" ref="D1182:D1188" si="220">A1182</f>
        <v>#N/A</v>
      </c>
      <c r="E1182" s="610"/>
      <c r="J1182" s="190"/>
    </row>
    <row r="1183" spans="1:10" ht="13.35" customHeight="1" thickBot="1">
      <c r="A1183" s="610" t="e">
        <f>IF('DATOS ETIQ'!P$40=1,"Do: "&amp;'DATOS ETIQ'!F$40&amp;"mg   VolDo: "&amp;'DATOS ETIQ'!G$40&amp;"mL","Dilución 1/"&amp;'DATOS ETIQ'!P$40&amp;"  "&amp;'DATOS ETIQ'!E$40&amp;"mg/mL   Do: "&amp;'DATOS ETIQ'!F$40&amp;"mg   VolDo: "&amp;'DATOS ETIQ'!G$40&amp;"mL")</f>
        <v>#N/A</v>
      </c>
      <c r="B1183" s="610"/>
      <c r="C1183" s="200" t="s">
        <v>405</v>
      </c>
      <c r="D1183" s="610" t="e">
        <f t="shared" si="220"/>
        <v>#N/A</v>
      </c>
      <c r="E1183" s="610"/>
      <c r="J1183" s="190"/>
    </row>
    <row r="1184" spans="1:10" ht="13.35" customHeight="1">
      <c r="A1184" s="182" t="e">
        <f ca="1">'DATOS ETIQ'!H$40</f>
        <v>#N/A</v>
      </c>
      <c r="B1184" s="183" t="str">
        <f>"Lt: "&amp;'DATOS ETIQ'!I$40</f>
        <v xml:space="preserve">Lt: </v>
      </c>
      <c r="C1184" s="200" t="s">
        <v>405</v>
      </c>
      <c r="D1184" s="182" t="e">
        <f t="shared" ca="1" si="220"/>
        <v>#N/A</v>
      </c>
      <c r="E1184" s="183" t="str">
        <f>B1184</f>
        <v xml:space="preserve">Lt: </v>
      </c>
      <c r="G1184" s="611" t="e">
        <f>'FR PD 001 V1'!T44/4</f>
        <v>#N/A</v>
      </c>
      <c r="J1184" s="611">
        <v>39</v>
      </c>
    </row>
    <row r="1185" spans="1:10" ht="13.35" customHeight="1" thickBot="1">
      <c r="A1185" s="610" t="str">
        <f>'DATOS ETIQ'!J$40&amp;"  "&amp;'DATOS ETIQ'!K$40</f>
        <v xml:space="preserve">  0</v>
      </c>
      <c r="B1185" s="610"/>
      <c r="C1185" s="200" t="s">
        <v>405</v>
      </c>
      <c r="D1185" s="610" t="str">
        <f t="shared" si="220"/>
        <v xml:space="preserve">  0</v>
      </c>
      <c r="E1185" s="610"/>
      <c r="G1185" s="612"/>
      <c r="J1185" s="612"/>
    </row>
    <row r="1186" spans="1:10" ht="13.35" customHeight="1">
      <c r="A1186" s="609" t="str">
        <f>"QFP: "&amp;'DATOS ETIQ'!L$40&amp;"   QFV: "&amp;'DATOS ETIQ'!M$40</f>
        <v>QFP: JGARCIA   QFV: ADELTORO</v>
      </c>
      <c r="B1186" s="609"/>
      <c r="C1186" s="200" t="s">
        <v>405</v>
      </c>
      <c r="D1186" s="609" t="str">
        <f t="shared" si="220"/>
        <v>QFP: JGARCIA   QFV: ADELTORO</v>
      </c>
      <c r="E1186" s="609"/>
      <c r="J1186" s="190"/>
    </row>
    <row r="1187" spans="1:10" ht="13.35" customHeight="1">
      <c r="A1187" s="609" t="str">
        <f>'DATOS ETIQ'!N$40&amp;"   Cama: "&amp;'DATOS ETIQ'!O$40</f>
        <v>C.JPC/SEXTO NTE/SCOOP   Cama: NA</v>
      </c>
      <c r="B1187" s="609"/>
      <c r="C1187" s="200" t="s">
        <v>405</v>
      </c>
      <c r="D1187" s="609" t="str">
        <f t="shared" si="220"/>
        <v>C.JPC/SEXTO NTE/SCOOP   Cama: NA</v>
      </c>
      <c r="E1187" s="609"/>
      <c r="J1187" s="190"/>
    </row>
    <row r="1188" spans="1:10" ht="13.35" customHeight="1">
      <c r="A1188" s="609" t="s">
        <v>167</v>
      </c>
      <c r="B1188" s="609"/>
      <c r="C1188" s="200" t="s">
        <v>405</v>
      </c>
      <c r="D1188" s="609" t="str">
        <f t="shared" si="220"/>
        <v>UNIDOSSIS S.A.S.</v>
      </c>
      <c r="E1188" s="609"/>
      <c r="J1188" s="190"/>
    </row>
    <row r="1189" spans="1:10" ht="13.35" customHeight="1">
      <c r="A1189" s="199" t="s">
        <v>403</v>
      </c>
      <c r="B1189" s="199" t="s">
        <v>403</v>
      </c>
      <c r="C1189" s="200" t="s">
        <v>405</v>
      </c>
      <c r="D1189" s="199" t="s">
        <v>404</v>
      </c>
      <c r="E1189" s="199" t="s">
        <v>403</v>
      </c>
      <c r="J1189" s="190"/>
    </row>
    <row r="1190" spans="1:10" ht="13.35" customHeight="1">
      <c r="A1190" s="610" t="e">
        <f t="shared" ref="A1190:A1196" si="221">A1182</f>
        <v>#N/A</v>
      </c>
      <c r="B1190" s="610"/>
      <c r="C1190" s="200" t="s">
        <v>405</v>
      </c>
      <c r="D1190" s="610" t="e">
        <f t="shared" ref="D1190:D1196" si="222">A1190</f>
        <v>#N/A</v>
      </c>
      <c r="E1190" s="610"/>
      <c r="J1190" s="190"/>
    </row>
    <row r="1191" spans="1:10" ht="13.35" customHeight="1">
      <c r="A1191" s="610" t="e">
        <f t="shared" si="221"/>
        <v>#N/A</v>
      </c>
      <c r="B1191" s="610"/>
      <c r="C1191" s="200" t="s">
        <v>405</v>
      </c>
      <c r="D1191" s="610" t="e">
        <f t="shared" si="222"/>
        <v>#N/A</v>
      </c>
      <c r="E1191" s="610"/>
      <c r="J1191" s="190"/>
    </row>
    <row r="1192" spans="1:10" ht="13.35" customHeight="1">
      <c r="A1192" s="182" t="e">
        <f t="shared" ca="1" si="221"/>
        <v>#N/A</v>
      </c>
      <c r="B1192" s="183" t="str">
        <f>B1184</f>
        <v xml:space="preserve">Lt: </v>
      </c>
      <c r="C1192" s="200" t="s">
        <v>405</v>
      </c>
      <c r="D1192" s="182" t="e">
        <f t="shared" ca="1" si="222"/>
        <v>#N/A</v>
      </c>
      <c r="E1192" s="183" t="str">
        <f>B1192</f>
        <v xml:space="preserve">Lt: </v>
      </c>
      <c r="J1192" s="190"/>
    </row>
    <row r="1193" spans="1:10" ht="13.35" customHeight="1">
      <c r="A1193" s="610" t="str">
        <f t="shared" si="221"/>
        <v xml:space="preserve">  0</v>
      </c>
      <c r="B1193" s="610"/>
      <c r="C1193" s="200" t="s">
        <v>405</v>
      </c>
      <c r="D1193" s="610" t="str">
        <f t="shared" si="222"/>
        <v xml:space="preserve">  0</v>
      </c>
      <c r="E1193" s="610"/>
      <c r="J1193" s="190"/>
    </row>
    <row r="1194" spans="1:10" ht="13.35" customHeight="1">
      <c r="A1194" s="609" t="str">
        <f t="shared" si="221"/>
        <v>QFP: JGARCIA   QFV: ADELTORO</v>
      </c>
      <c r="B1194" s="609"/>
      <c r="C1194" s="200" t="s">
        <v>405</v>
      </c>
      <c r="D1194" s="609" t="str">
        <f t="shared" si="222"/>
        <v>QFP: JGARCIA   QFV: ADELTORO</v>
      </c>
      <c r="E1194" s="609"/>
      <c r="J1194" s="190"/>
    </row>
    <row r="1195" spans="1:10" ht="13.35" customHeight="1">
      <c r="A1195" s="609" t="str">
        <f t="shared" si="221"/>
        <v>C.JPC/SEXTO NTE/SCOOP   Cama: NA</v>
      </c>
      <c r="B1195" s="609"/>
      <c r="C1195" s="200" t="s">
        <v>405</v>
      </c>
      <c r="D1195" s="609" t="str">
        <f t="shared" si="222"/>
        <v>C.JPC/SEXTO NTE/SCOOP   Cama: NA</v>
      </c>
      <c r="E1195" s="609"/>
      <c r="J1195" s="190"/>
    </row>
    <row r="1196" spans="1:10" ht="13.35" customHeight="1">
      <c r="A1196" s="609" t="str">
        <f t="shared" si="221"/>
        <v>UNIDOSSIS S.A.S.</v>
      </c>
      <c r="B1196" s="609"/>
      <c r="C1196" s="200" t="s">
        <v>405</v>
      </c>
      <c r="D1196" s="609" t="str">
        <f t="shared" si="222"/>
        <v>UNIDOSSIS S.A.S.</v>
      </c>
      <c r="E1196" s="609"/>
      <c r="J1196" s="190"/>
    </row>
    <row r="1197" spans="1:10" ht="13.35" customHeight="1">
      <c r="A1197" s="199" t="s">
        <v>403</v>
      </c>
      <c r="B1197" s="199" t="s">
        <v>403</v>
      </c>
      <c r="C1197" s="200" t="s">
        <v>405</v>
      </c>
      <c r="D1197" s="199" t="s">
        <v>404</v>
      </c>
      <c r="E1197" s="199" t="s">
        <v>403</v>
      </c>
      <c r="J1197" s="190"/>
    </row>
    <row r="1198" spans="1:10" ht="13.35" customHeight="1">
      <c r="A1198" s="610" t="e">
        <f t="shared" ref="A1198:A1204" si="223">A1190</f>
        <v>#N/A</v>
      </c>
      <c r="B1198" s="610"/>
      <c r="C1198" s="200" t="s">
        <v>405</v>
      </c>
      <c r="D1198" s="610" t="e">
        <f t="shared" ref="D1198:D1204" si="224">A1198</f>
        <v>#N/A</v>
      </c>
      <c r="E1198" s="610"/>
      <c r="J1198" s="190"/>
    </row>
    <row r="1199" spans="1:10" ht="13.35" customHeight="1">
      <c r="A1199" s="610" t="e">
        <f t="shared" si="223"/>
        <v>#N/A</v>
      </c>
      <c r="B1199" s="610"/>
      <c r="C1199" s="200" t="s">
        <v>405</v>
      </c>
      <c r="D1199" s="610" t="e">
        <f t="shared" si="224"/>
        <v>#N/A</v>
      </c>
      <c r="E1199" s="610"/>
      <c r="J1199" s="190"/>
    </row>
    <row r="1200" spans="1:10" ht="13.35" customHeight="1">
      <c r="A1200" s="182" t="e">
        <f t="shared" ca="1" si="223"/>
        <v>#N/A</v>
      </c>
      <c r="B1200" s="183" t="str">
        <f>B1192</f>
        <v xml:space="preserve">Lt: </v>
      </c>
      <c r="C1200" s="200" t="s">
        <v>405</v>
      </c>
      <c r="D1200" s="182" t="e">
        <f t="shared" ca="1" si="224"/>
        <v>#N/A</v>
      </c>
      <c r="E1200" s="183" t="str">
        <f>B1200</f>
        <v xml:space="preserve">Lt: </v>
      </c>
      <c r="J1200" s="190"/>
    </row>
    <row r="1201" spans="1:10" ht="13.35" customHeight="1">
      <c r="A1201" s="610" t="str">
        <f t="shared" si="223"/>
        <v xml:space="preserve">  0</v>
      </c>
      <c r="B1201" s="610"/>
      <c r="C1201" s="200" t="s">
        <v>405</v>
      </c>
      <c r="D1201" s="610" t="str">
        <f t="shared" si="224"/>
        <v xml:space="preserve">  0</v>
      </c>
      <c r="E1201" s="610"/>
      <c r="J1201" s="190"/>
    </row>
    <row r="1202" spans="1:10" ht="13.35" customHeight="1">
      <c r="A1202" s="609" t="str">
        <f t="shared" si="223"/>
        <v>QFP: JGARCIA   QFV: ADELTORO</v>
      </c>
      <c r="B1202" s="609"/>
      <c r="C1202" s="200" t="s">
        <v>405</v>
      </c>
      <c r="D1202" s="609" t="str">
        <f t="shared" si="224"/>
        <v>QFP: JGARCIA   QFV: ADELTORO</v>
      </c>
      <c r="E1202" s="609"/>
      <c r="J1202" s="190"/>
    </row>
    <row r="1203" spans="1:10" ht="13.35" customHeight="1">
      <c r="A1203" s="609" t="str">
        <f t="shared" si="223"/>
        <v>C.JPC/SEXTO NTE/SCOOP   Cama: NA</v>
      </c>
      <c r="B1203" s="609"/>
      <c r="C1203" s="200" t="s">
        <v>405</v>
      </c>
      <c r="D1203" s="609" t="str">
        <f t="shared" si="224"/>
        <v>C.JPC/SEXTO NTE/SCOOP   Cama: NA</v>
      </c>
      <c r="E1203" s="609"/>
      <c r="J1203" s="190"/>
    </row>
    <row r="1204" spans="1:10" ht="13.35" customHeight="1">
      <c r="A1204" s="609" t="str">
        <f t="shared" si="223"/>
        <v>UNIDOSSIS S.A.S.</v>
      </c>
      <c r="B1204" s="609"/>
      <c r="C1204" s="200" t="s">
        <v>405</v>
      </c>
      <c r="D1204" s="609" t="str">
        <f t="shared" si="224"/>
        <v>UNIDOSSIS S.A.S.</v>
      </c>
      <c r="E1204" s="609"/>
      <c r="J1204" s="190"/>
    </row>
    <row r="1205" spans="1:10" ht="13.35" customHeight="1">
      <c r="A1205" s="199" t="s">
        <v>403</v>
      </c>
      <c r="B1205" s="199" t="s">
        <v>403</v>
      </c>
      <c r="C1205" s="200" t="s">
        <v>405</v>
      </c>
      <c r="D1205" s="199" t="s">
        <v>404</v>
      </c>
      <c r="E1205" s="199" t="s">
        <v>403</v>
      </c>
      <c r="J1205" s="190"/>
    </row>
    <row r="1206" spans="1:10" ht="13.35" customHeight="1">
      <c r="A1206" s="610" t="e">
        <f t="shared" ref="A1206:A1212" si="225">A1198</f>
        <v>#N/A</v>
      </c>
      <c r="B1206" s="610"/>
      <c r="C1206" s="200" t="s">
        <v>405</v>
      </c>
      <c r="D1206" s="610" t="e">
        <f t="shared" ref="D1206:D1212" si="226">A1206</f>
        <v>#N/A</v>
      </c>
      <c r="E1206" s="610"/>
      <c r="J1206" s="190"/>
    </row>
    <row r="1207" spans="1:10" ht="13.35" customHeight="1">
      <c r="A1207" s="610" t="e">
        <f t="shared" si="225"/>
        <v>#N/A</v>
      </c>
      <c r="B1207" s="610"/>
      <c r="C1207" s="200" t="s">
        <v>405</v>
      </c>
      <c r="D1207" s="610" t="e">
        <f t="shared" si="226"/>
        <v>#N/A</v>
      </c>
      <c r="E1207" s="610"/>
      <c r="J1207" s="190"/>
    </row>
    <row r="1208" spans="1:10" ht="13.35" customHeight="1">
      <c r="A1208" s="182" t="e">
        <f t="shared" ca="1" si="225"/>
        <v>#N/A</v>
      </c>
      <c r="B1208" s="183" t="str">
        <f>B1200</f>
        <v xml:space="preserve">Lt: </v>
      </c>
      <c r="C1208" s="200" t="s">
        <v>405</v>
      </c>
      <c r="D1208" s="182" t="e">
        <f t="shared" ca="1" si="226"/>
        <v>#N/A</v>
      </c>
      <c r="E1208" s="183" t="str">
        <f>B1208</f>
        <v xml:space="preserve">Lt: </v>
      </c>
      <c r="J1208" s="190"/>
    </row>
    <row r="1209" spans="1:10" ht="13.35" customHeight="1">
      <c r="A1209" s="610" t="str">
        <f t="shared" si="225"/>
        <v xml:space="preserve">  0</v>
      </c>
      <c r="B1209" s="610"/>
      <c r="C1209" s="200" t="s">
        <v>405</v>
      </c>
      <c r="D1209" s="610" t="str">
        <f t="shared" si="226"/>
        <v xml:space="preserve">  0</v>
      </c>
      <c r="E1209" s="610"/>
      <c r="J1209" s="190"/>
    </row>
    <row r="1210" spans="1:10" ht="13.35" customHeight="1">
      <c r="A1210" s="609" t="str">
        <f t="shared" si="225"/>
        <v>QFP: JGARCIA   QFV: ADELTORO</v>
      </c>
      <c r="B1210" s="609"/>
      <c r="C1210" s="200" t="s">
        <v>405</v>
      </c>
      <c r="D1210" s="609" t="str">
        <f t="shared" si="226"/>
        <v>QFP: JGARCIA   QFV: ADELTORO</v>
      </c>
      <c r="E1210" s="609"/>
      <c r="J1210" s="190"/>
    </row>
    <row r="1211" spans="1:10" ht="13.35" customHeight="1">
      <c r="A1211" s="609" t="str">
        <f t="shared" si="225"/>
        <v>C.JPC/SEXTO NTE/SCOOP   Cama: NA</v>
      </c>
      <c r="B1211" s="609"/>
      <c r="C1211" s="200" t="s">
        <v>405</v>
      </c>
      <c r="D1211" s="609" t="str">
        <f t="shared" si="226"/>
        <v>C.JPC/SEXTO NTE/SCOOP   Cama: NA</v>
      </c>
      <c r="E1211" s="609"/>
      <c r="J1211" s="190"/>
    </row>
    <row r="1212" spans="1:10" ht="13.35" customHeight="1">
      <c r="A1212" s="609" t="str">
        <f t="shared" si="225"/>
        <v>UNIDOSSIS S.A.S.</v>
      </c>
      <c r="B1212" s="609"/>
      <c r="C1212" s="200" t="s">
        <v>405</v>
      </c>
      <c r="D1212" s="609" t="str">
        <f t="shared" si="226"/>
        <v>UNIDOSSIS S.A.S.</v>
      </c>
      <c r="E1212" s="609"/>
      <c r="J1212" s="190"/>
    </row>
    <row r="1213" spans="1:10" ht="13.35" customHeight="1">
      <c r="A1213" s="610" t="e">
        <f>'DATOS ETIQ'!B$41&amp;"  "&amp;'DATOS ETIQ'!C$41&amp;"  "&amp;'DATOS ETIQ'!D$41&amp;'DATOS ETIQ'!Q$41</f>
        <v>#N/A</v>
      </c>
      <c r="B1213" s="610"/>
      <c r="C1213" s="200" t="s">
        <v>405</v>
      </c>
      <c r="D1213" s="610" t="e">
        <f t="shared" ref="D1213:D1219" si="227">A1213</f>
        <v>#N/A</v>
      </c>
      <c r="E1213" s="610"/>
      <c r="J1213" s="190"/>
    </row>
    <row r="1214" spans="1:10" ht="13.35" customHeight="1" thickBot="1">
      <c r="A1214" s="610" t="e">
        <f>IF('DATOS ETIQ'!P$41=1,"Do: "&amp;'DATOS ETIQ'!F$41&amp;"mg   VolDo: "&amp;'DATOS ETIQ'!G$41&amp;"mL","Dilución 1/"&amp;'DATOS ETIQ'!P$41&amp;"  "&amp;'DATOS ETIQ'!E$41&amp;"mg/mL   Do: "&amp;'DATOS ETIQ'!F$41&amp;"mg   VolDo: "&amp;'DATOS ETIQ'!G$41&amp;"mL")</f>
        <v>#N/A</v>
      </c>
      <c r="B1214" s="610"/>
      <c r="C1214" s="200" t="s">
        <v>405</v>
      </c>
      <c r="D1214" s="610" t="e">
        <f t="shared" si="227"/>
        <v>#N/A</v>
      </c>
      <c r="E1214" s="610"/>
      <c r="J1214" s="190"/>
    </row>
    <row r="1215" spans="1:10" ht="13.35" customHeight="1">
      <c r="A1215" s="182" t="e">
        <f ca="1">'DATOS ETIQ'!H$41</f>
        <v>#N/A</v>
      </c>
      <c r="B1215" s="183" t="str">
        <f>"Lt: "&amp;'DATOS ETIQ'!I$41</f>
        <v xml:space="preserve">Lt: </v>
      </c>
      <c r="C1215" s="200" t="s">
        <v>405</v>
      </c>
      <c r="D1215" s="182" t="e">
        <f t="shared" ca="1" si="227"/>
        <v>#N/A</v>
      </c>
      <c r="E1215" s="183" t="str">
        <f>B1215</f>
        <v xml:space="preserve">Lt: </v>
      </c>
      <c r="G1215" s="611" t="e">
        <f>'FR PD 001 V1'!T45/4</f>
        <v>#N/A</v>
      </c>
      <c r="J1215" s="611">
        <v>40</v>
      </c>
    </row>
    <row r="1216" spans="1:10" ht="13.35" customHeight="1" thickBot="1">
      <c r="A1216" s="610" t="str">
        <f>'DATOS ETIQ'!J$41&amp;"  "&amp;'DATOS ETIQ'!K$41</f>
        <v xml:space="preserve">  0</v>
      </c>
      <c r="B1216" s="610"/>
      <c r="C1216" s="200" t="s">
        <v>405</v>
      </c>
      <c r="D1216" s="610" t="str">
        <f t="shared" si="227"/>
        <v xml:space="preserve">  0</v>
      </c>
      <c r="E1216" s="610"/>
      <c r="G1216" s="612"/>
      <c r="J1216" s="612"/>
    </row>
    <row r="1217" spans="1:10" ht="13.35" customHeight="1">
      <c r="A1217" s="609" t="str">
        <f>"QFP: "&amp;'DATOS ETIQ'!L$41&amp;"   QFV: "&amp;'DATOS ETIQ'!M$41</f>
        <v>QFP: JGARCIA   QFV: ADELTORO</v>
      </c>
      <c r="B1217" s="609"/>
      <c r="C1217" s="200" t="s">
        <v>405</v>
      </c>
      <c r="D1217" s="609" t="str">
        <f t="shared" si="227"/>
        <v>QFP: JGARCIA   QFV: ADELTORO</v>
      </c>
      <c r="E1217" s="609"/>
      <c r="J1217" s="190"/>
    </row>
    <row r="1218" spans="1:10" ht="13.35" customHeight="1">
      <c r="A1218" s="609" t="str">
        <f>'DATOS ETIQ'!N$41&amp;"   Cama: "&amp;'DATOS ETIQ'!O$41</f>
        <v>C.JPC/SEXTO NTE/SCOOP   Cama: NA</v>
      </c>
      <c r="B1218" s="609"/>
      <c r="C1218" s="200" t="s">
        <v>405</v>
      </c>
      <c r="D1218" s="609" t="str">
        <f t="shared" si="227"/>
        <v>C.JPC/SEXTO NTE/SCOOP   Cama: NA</v>
      </c>
      <c r="E1218" s="609"/>
      <c r="J1218" s="190"/>
    </row>
    <row r="1219" spans="1:10" ht="13.35" customHeight="1">
      <c r="A1219" s="609" t="s">
        <v>167</v>
      </c>
      <c r="B1219" s="609"/>
      <c r="C1219" s="200" t="s">
        <v>405</v>
      </c>
      <c r="D1219" s="609" t="str">
        <f t="shared" si="227"/>
        <v>UNIDOSSIS S.A.S.</v>
      </c>
      <c r="E1219" s="609"/>
      <c r="J1219" s="190"/>
    </row>
    <row r="1220" spans="1:10" ht="13.35" customHeight="1">
      <c r="A1220" s="199" t="s">
        <v>403</v>
      </c>
      <c r="B1220" s="199" t="s">
        <v>403</v>
      </c>
      <c r="C1220" s="200" t="s">
        <v>405</v>
      </c>
      <c r="D1220" s="199" t="s">
        <v>404</v>
      </c>
      <c r="E1220" s="199" t="s">
        <v>403</v>
      </c>
      <c r="J1220" s="190"/>
    </row>
    <row r="1221" spans="1:10" ht="13.35" customHeight="1">
      <c r="A1221" s="610" t="e">
        <f t="shared" ref="A1221:A1227" si="228">A1213</f>
        <v>#N/A</v>
      </c>
      <c r="B1221" s="610"/>
      <c r="C1221" s="200" t="s">
        <v>405</v>
      </c>
      <c r="D1221" s="610" t="e">
        <f t="shared" ref="D1221:D1227" si="229">A1221</f>
        <v>#N/A</v>
      </c>
      <c r="E1221" s="610"/>
      <c r="J1221" s="190"/>
    </row>
    <row r="1222" spans="1:10" ht="13.35" customHeight="1">
      <c r="A1222" s="610" t="e">
        <f t="shared" si="228"/>
        <v>#N/A</v>
      </c>
      <c r="B1222" s="610"/>
      <c r="C1222" s="200" t="s">
        <v>405</v>
      </c>
      <c r="D1222" s="610" t="e">
        <f t="shared" si="229"/>
        <v>#N/A</v>
      </c>
      <c r="E1222" s="610"/>
      <c r="J1222" s="190"/>
    </row>
    <row r="1223" spans="1:10" ht="13.35" customHeight="1">
      <c r="A1223" s="182" t="e">
        <f t="shared" ca="1" si="228"/>
        <v>#N/A</v>
      </c>
      <c r="B1223" s="183" t="str">
        <f>B1215</f>
        <v xml:space="preserve">Lt: </v>
      </c>
      <c r="C1223" s="200" t="s">
        <v>405</v>
      </c>
      <c r="D1223" s="182" t="e">
        <f t="shared" ca="1" si="229"/>
        <v>#N/A</v>
      </c>
      <c r="E1223" s="183" t="str">
        <f>B1223</f>
        <v xml:space="preserve">Lt: </v>
      </c>
      <c r="J1223" s="190"/>
    </row>
    <row r="1224" spans="1:10" ht="13.35" customHeight="1">
      <c r="A1224" s="610" t="str">
        <f t="shared" si="228"/>
        <v xml:space="preserve">  0</v>
      </c>
      <c r="B1224" s="610"/>
      <c r="C1224" s="200" t="s">
        <v>405</v>
      </c>
      <c r="D1224" s="610" t="str">
        <f t="shared" si="229"/>
        <v xml:space="preserve">  0</v>
      </c>
      <c r="E1224" s="610"/>
      <c r="J1224" s="190"/>
    </row>
    <row r="1225" spans="1:10" ht="13.35" customHeight="1">
      <c r="A1225" s="609" t="str">
        <f t="shared" si="228"/>
        <v>QFP: JGARCIA   QFV: ADELTORO</v>
      </c>
      <c r="B1225" s="609"/>
      <c r="C1225" s="200" t="s">
        <v>405</v>
      </c>
      <c r="D1225" s="609" t="str">
        <f t="shared" si="229"/>
        <v>QFP: JGARCIA   QFV: ADELTORO</v>
      </c>
      <c r="E1225" s="609"/>
      <c r="J1225" s="190"/>
    </row>
    <row r="1226" spans="1:10" ht="13.35" customHeight="1">
      <c r="A1226" s="609" t="str">
        <f t="shared" si="228"/>
        <v>C.JPC/SEXTO NTE/SCOOP   Cama: NA</v>
      </c>
      <c r="B1226" s="609"/>
      <c r="C1226" s="200" t="s">
        <v>405</v>
      </c>
      <c r="D1226" s="609" t="str">
        <f t="shared" si="229"/>
        <v>C.JPC/SEXTO NTE/SCOOP   Cama: NA</v>
      </c>
      <c r="E1226" s="609"/>
      <c r="J1226" s="190"/>
    </row>
    <row r="1227" spans="1:10" ht="13.35" customHeight="1">
      <c r="A1227" s="609" t="str">
        <f t="shared" si="228"/>
        <v>UNIDOSSIS S.A.S.</v>
      </c>
      <c r="B1227" s="609"/>
      <c r="C1227" s="200" t="s">
        <v>405</v>
      </c>
      <c r="D1227" s="609" t="str">
        <f t="shared" si="229"/>
        <v>UNIDOSSIS S.A.S.</v>
      </c>
      <c r="E1227" s="609"/>
      <c r="J1227" s="190"/>
    </row>
    <row r="1228" spans="1:10" ht="13.35" customHeight="1">
      <c r="A1228" s="199" t="s">
        <v>403</v>
      </c>
      <c r="B1228" s="199" t="s">
        <v>403</v>
      </c>
      <c r="C1228" s="200" t="s">
        <v>405</v>
      </c>
      <c r="D1228" s="199" t="s">
        <v>404</v>
      </c>
      <c r="E1228" s="199" t="s">
        <v>403</v>
      </c>
      <c r="J1228" s="190"/>
    </row>
    <row r="1229" spans="1:10" ht="13.35" customHeight="1">
      <c r="A1229" s="610" t="e">
        <f t="shared" ref="A1229:A1235" si="230">A1221</f>
        <v>#N/A</v>
      </c>
      <c r="B1229" s="610"/>
      <c r="C1229" s="200" t="s">
        <v>405</v>
      </c>
      <c r="D1229" s="610" t="e">
        <f t="shared" ref="D1229:D1235" si="231">A1229</f>
        <v>#N/A</v>
      </c>
      <c r="E1229" s="610"/>
      <c r="J1229" s="190"/>
    </row>
    <row r="1230" spans="1:10" ht="13.35" customHeight="1">
      <c r="A1230" s="610" t="e">
        <f t="shared" si="230"/>
        <v>#N/A</v>
      </c>
      <c r="B1230" s="610"/>
      <c r="C1230" s="200" t="s">
        <v>405</v>
      </c>
      <c r="D1230" s="610" t="e">
        <f t="shared" si="231"/>
        <v>#N/A</v>
      </c>
      <c r="E1230" s="610"/>
      <c r="J1230" s="190"/>
    </row>
    <row r="1231" spans="1:10" ht="13.35" customHeight="1">
      <c r="A1231" s="182" t="e">
        <f t="shared" ca="1" si="230"/>
        <v>#N/A</v>
      </c>
      <c r="B1231" s="183" t="str">
        <f>B1223</f>
        <v xml:space="preserve">Lt: </v>
      </c>
      <c r="C1231" s="200" t="s">
        <v>405</v>
      </c>
      <c r="D1231" s="182" t="e">
        <f t="shared" ca="1" si="231"/>
        <v>#N/A</v>
      </c>
      <c r="E1231" s="183" t="str">
        <f>B1231</f>
        <v xml:space="preserve">Lt: </v>
      </c>
      <c r="J1231" s="190"/>
    </row>
    <row r="1232" spans="1:10" ht="13.35" customHeight="1">
      <c r="A1232" s="610" t="str">
        <f t="shared" si="230"/>
        <v xml:space="preserve">  0</v>
      </c>
      <c r="B1232" s="610"/>
      <c r="C1232" s="200" t="s">
        <v>405</v>
      </c>
      <c r="D1232" s="610" t="str">
        <f t="shared" si="231"/>
        <v xml:space="preserve">  0</v>
      </c>
      <c r="E1232" s="610"/>
      <c r="J1232" s="190"/>
    </row>
    <row r="1233" spans="1:10" ht="13.35" customHeight="1">
      <c r="A1233" s="609" t="str">
        <f t="shared" si="230"/>
        <v>QFP: JGARCIA   QFV: ADELTORO</v>
      </c>
      <c r="B1233" s="609"/>
      <c r="C1233" s="200" t="s">
        <v>405</v>
      </c>
      <c r="D1233" s="609" t="str">
        <f t="shared" si="231"/>
        <v>QFP: JGARCIA   QFV: ADELTORO</v>
      </c>
      <c r="E1233" s="609"/>
      <c r="J1233" s="190"/>
    </row>
    <row r="1234" spans="1:10" ht="13.35" customHeight="1">
      <c r="A1234" s="609" t="str">
        <f t="shared" si="230"/>
        <v>C.JPC/SEXTO NTE/SCOOP   Cama: NA</v>
      </c>
      <c r="B1234" s="609"/>
      <c r="C1234" s="200" t="s">
        <v>405</v>
      </c>
      <c r="D1234" s="609" t="str">
        <f t="shared" si="231"/>
        <v>C.JPC/SEXTO NTE/SCOOP   Cama: NA</v>
      </c>
      <c r="E1234" s="609"/>
      <c r="J1234" s="190"/>
    </row>
    <row r="1235" spans="1:10" ht="13.35" customHeight="1">
      <c r="A1235" s="609" t="str">
        <f t="shared" si="230"/>
        <v>UNIDOSSIS S.A.S.</v>
      </c>
      <c r="B1235" s="609"/>
      <c r="C1235" s="200" t="s">
        <v>405</v>
      </c>
      <c r="D1235" s="609" t="str">
        <f t="shared" si="231"/>
        <v>UNIDOSSIS S.A.S.</v>
      </c>
      <c r="E1235" s="609"/>
      <c r="J1235" s="190"/>
    </row>
    <row r="1236" spans="1:10" ht="13.35" customHeight="1">
      <c r="A1236" s="199" t="s">
        <v>403</v>
      </c>
      <c r="B1236" s="199" t="s">
        <v>403</v>
      </c>
      <c r="C1236" s="200" t="s">
        <v>405</v>
      </c>
      <c r="D1236" s="199" t="s">
        <v>404</v>
      </c>
      <c r="E1236" s="199" t="s">
        <v>403</v>
      </c>
      <c r="J1236" s="190"/>
    </row>
    <row r="1237" spans="1:10" ht="13.35" customHeight="1">
      <c r="A1237" s="610" t="e">
        <f t="shared" ref="A1237:A1243" si="232">A1229</f>
        <v>#N/A</v>
      </c>
      <c r="B1237" s="610"/>
      <c r="C1237" s="200" t="s">
        <v>405</v>
      </c>
      <c r="D1237" s="610" t="e">
        <f t="shared" ref="D1237:D1243" si="233">A1237</f>
        <v>#N/A</v>
      </c>
      <c r="E1237" s="610"/>
      <c r="J1237" s="190"/>
    </row>
    <row r="1238" spans="1:10" ht="13.35" customHeight="1">
      <c r="A1238" s="610" t="e">
        <f t="shared" si="232"/>
        <v>#N/A</v>
      </c>
      <c r="B1238" s="610"/>
      <c r="C1238" s="200" t="s">
        <v>405</v>
      </c>
      <c r="D1238" s="610" t="e">
        <f t="shared" si="233"/>
        <v>#N/A</v>
      </c>
      <c r="E1238" s="610"/>
      <c r="J1238" s="190"/>
    </row>
    <row r="1239" spans="1:10" ht="13.35" customHeight="1">
      <c r="A1239" s="182" t="e">
        <f t="shared" ca="1" si="232"/>
        <v>#N/A</v>
      </c>
      <c r="B1239" s="183" t="str">
        <f>B1231</f>
        <v xml:space="preserve">Lt: </v>
      </c>
      <c r="C1239" s="200" t="s">
        <v>405</v>
      </c>
      <c r="D1239" s="182" t="e">
        <f t="shared" ca="1" si="233"/>
        <v>#N/A</v>
      </c>
      <c r="E1239" s="183" t="str">
        <f>B1239</f>
        <v xml:space="preserve">Lt: </v>
      </c>
      <c r="J1239" s="190"/>
    </row>
    <row r="1240" spans="1:10" ht="13.35" customHeight="1">
      <c r="A1240" s="610" t="str">
        <f t="shared" si="232"/>
        <v xml:space="preserve">  0</v>
      </c>
      <c r="B1240" s="610"/>
      <c r="C1240" s="200" t="s">
        <v>405</v>
      </c>
      <c r="D1240" s="610" t="str">
        <f t="shared" si="233"/>
        <v xml:space="preserve">  0</v>
      </c>
      <c r="E1240" s="610"/>
      <c r="J1240" s="190"/>
    </row>
    <row r="1241" spans="1:10" ht="13.35" customHeight="1">
      <c r="A1241" s="609" t="str">
        <f t="shared" si="232"/>
        <v>QFP: JGARCIA   QFV: ADELTORO</v>
      </c>
      <c r="B1241" s="609"/>
      <c r="C1241" s="200" t="s">
        <v>405</v>
      </c>
      <c r="D1241" s="609" t="str">
        <f t="shared" si="233"/>
        <v>QFP: JGARCIA   QFV: ADELTORO</v>
      </c>
      <c r="E1241" s="609"/>
      <c r="J1241" s="190"/>
    </row>
    <row r="1242" spans="1:10" ht="13.35" customHeight="1">
      <c r="A1242" s="609" t="str">
        <f t="shared" si="232"/>
        <v>C.JPC/SEXTO NTE/SCOOP   Cama: NA</v>
      </c>
      <c r="B1242" s="609"/>
      <c r="C1242" s="200" t="s">
        <v>405</v>
      </c>
      <c r="D1242" s="609" t="str">
        <f t="shared" si="233"/>
        <v>C.JPC/SEXTO NTE/SCOOP   Cama: NA</v>
      </c>
      <c r="E1242" s="609"/>
      <c r="J1242" s="190"/>
    </row>
    <row r="1243" spans="1:10" ht="13.35" customHeight="1">
      <c r="A1243" s="609" t="str">
        <f t="shared" si="232"/>
        <v>UNIDOSSIS S.A.S.</v>
      </c>
      <c r="B1243" s="609"/>
      <c r="C1243" s="200" t="s">
        <v>405</v>
      </c>
      <c r="D1243" s="609" t="str">
        <f t="shared" si="233"/>
        <v>UNIDOSSIS S.A.S.</v>
      </c>
      <c r="E1243" s="609"/>
      <c r="J1243" s="190"/>
    </row>
    <row r="1244" spans="1:10" ht="13.35" customHeight="1">
      <c r="A1244" s="610" t="e">
        <f>'DATOS ETIQ'!B$42&amp;"  "&amp;'DATOS ETIQ'!C$42&amp;"  "&amp;'DATOS ETIQ'!D$42&amp;'DATOS ETIQ'!Q$42</f>
        <v>#N/A</v>
      </c>
      <c r="B1244" s="610"/>
      <c r="C1244" s="200" t="s">
        <v>405</v>
      </c>
      <c r="D1244" s="610" t="e">
        <f t="shared" ref="D1244:D1250" si="234">A1244</f>
        <v>#N/A</v>
      </c>
      <c r="E1244" s="610"/>
      <c r="J1244" s="190"/>
    </row>
    <row r="1245" spans="1:10" ht="13.35" customHeight="1" thickBot="1">
      <c r="A1245" s="610" t="e">
        <f>IF('DATOS ETIQ'!P$42=1,"Do: "&amp;'DATOS ETIQ'!F$42&amp;"mg   VolDo: "&amp;'DATOS ETIQ'!G$42&amp;"mL","Dilución 1/"&amp;'DATOS ETIQ'!P$42&amp;"  "&amp;'DATOS ETIQ'!E$42&amp;"mg/mL   Do: "&amp;'DATOS ETIQ'!F$42&amp;"mg   VolDo: "&amp;'DATOS ETIQ'!G$42&amp;"mL")</f>
        <v>#N/A</v>
      </c>
      <c r="B1245" s="610"/>
      <c r="C1245" s="200" t="s">
        <v>405</v>
      </c>
      <c r="D1245" s="610" t="e">
        <f t="shared" si="234"/>
        <v>#N/A</v>
      </c>
      <c r="E1245" s="610"/>
      <c r="J1245" s="190"/>
    </row>
    <row r="1246" spans="1:10" ht="13.35" customHeight="1">
      <c r="A1246" s="182" t="e">
        <f ca="1">'DATOS ETIQ'!H$42</f>
        <v>#N/A</v>
      </c>
      <c r="B1246" s="183" t="str">
        <f>"Lt: "&amp;'DATOS ETIQ'!I$42</f>
        <v xml:space="preserve">Lt: </v>
      </c>
      <c r="C1246" s="200" t="s">
        <v>405</v>
      </c>
      <c r="D1246" s="182" t="e">
        <f t="shared" ca="1" si="234"/>
        <v>#N/A</v>
      </c>
      <c r="E1246" s="183" t="str">
        <f>B1246</f>
        <v xml:space="preserve">Lt: </v>
      </c>
      <c r="G1246" s="611" t="e">
        <f>'FR PD 001 V1'!T46/4</f>
        <v>#N/A</v>
      </c>
      <c r="J1246" s="611">
        <v>41</v>
      </c>
    </row>
    <row r="1247" spans="1:10" ht="13.35" customHeight="1" thickBot="1">
      <c r="A1247" s="610" t="str">
        <f>'DATOS ETIQ'!J$42&amp;"  "&amp;'DATOS ETIQ'!K$42</f>
        <v xml:space="preserve">  0</v>
      </c>
      <c r="B1247" s="610"/>
      <c r="C1247" s="200" t="s">
        <v>405</v>
      </c>
      <c r="D1247" s="610" t="str">
        <f t="shared" si="234"/>
        <v xml:space="preserve">  0</v>
      </c>
      <c r="E1247" s="610"/>
      <c r="G1247" s="612"/>
      <c r="J1247" s="612"/>
    </row>
    <row r="1248" spans="1:10" ht="13.35" customHeight="1">
      <c r="A1248" s="609" t="str">
        <f>"QFP: "&amp;'DATOS ETIQ'!L$42&amp;"   QFV: "&amp;'DATOS ETIQ'!M$42</f>
        <v>QFP: JGARCIA   QFV: ADELTORO</v>
      </c>
      <c r="B1248" s="609"/>
      <c r="C1248" s="200" t="s">
        <v>405</v>
      </c>
      <c r="D1248" s="609" t="str">
        <f t="shared" si="234"/>
        <v>QFP: JGARCIA   QFV: ADELTORO</v>
      </c>
      <c r="E1248" s="609"/>
      <c r="J1248" s="190"/>
    </row>
    <row r="1249" spans="1:10" ht="13.35" customHeight="1">
      <c r="A1249" s="609" t="str">
        <f>'DATOS ETIQ'!N$42&amp;"   Cama: "&amp;'DATOS ETIQ'!O$42</f>
        <v>C.JPC/SEXTO NTE/SCOOP   Cama: NA</v>
      </c>
      <c r="B1249" s="609"/>
      <c r="C1249" s="200" t="s">
        <v>405</v>
      </c>
      <c r="D1249" s="609" t="str">
        <f t="shared" si="234"/>
        <v>C.JPC/SEXTO NTE/SCOOP   Cama: NA</v>
      </c>
      <c r="E1249" s="609"/>
      <c r="J1249" s="190"/>
    </row>
    <row r="1250" spans="1:10" ht="13.35" customHeight="1">
      <c r="A1250" s="609" t="s">
        <v>167</v>
      </c>
      <c r="B1250" s="609"/>
      <c r="C1250" s="200" t="s">
        <v>405</v>
      </c>
      <c r="D1250" s="609" t="str">
        <f t="shared" si="234"/>
        <v>UNIDOSSIS S.A.S.</v>
      </c>
      <c r="E1250" s="609"/>
      <c r="J1250" s="190"/>
    </row>
    <row r="1251" spans="1:10" ht="13.35" customHeight="1">
      <c r="A1251" s="199" t="s">
        <v>403</v>
      </c>
      <c r="B1251" s="199" t="s">
        <v>403</v>
      </c>
      <c r="C1251" s="200" t="s">
        <v>405</v>
      </c>
      <c r="D1251" s="199" t="s">
        <v>404</v>
      </c>
      <c r="E1251" s="199" t="s">
        <v>403</v>
      </c>
      <c r="J1251" s="190"/>
    </row>
    <row r="1252" spans="1:10" ht="13.35" customHeight="1">
      <c r="A1252" s="610" t="e">
        <f t="shared" ref="A1252:A1258" si="235">A1244</f>
        <v>#N/A</v>
      </c>
      <c r="B1252" s="610"/>
      <c r="C1252" s="200" t="s">
        <v>405</v>
      </c>
      <c r="D1252" s="610" t="e">
        <f t="shared" ref="D1252:D1258" si="236">A1252</f>
        <v>#N/A</v>
      </c>
      <c r="E1252" s="610"/>
      <c r="J1252" s="190"/>
    </row>
    <row r="1253" spans="1:10" ht="13.35" customHeight="1">
      <c r="A1253" s="610" t="e">
        <f t="shared" si="235"/>
        <v>#N/A</v>
      </c>
      <c r="B1253" s="610"/>
      <c r="C1253" s="200" t="s">
        <v>405</v>
      </c>
      <c r="D1253" s="610" t="e">
        <f t="shared" si="236"/>
        <v>#N/A</v>
      </c>
      <c r="E1253" s="610"/>
      <c r="J1253" s="190"/>
    </row>
    <row r="1254" spans="1:10" ht="13.35" customHeight="1">
      <c r="A1254" s="182" t="e">
        <f t="shared" ca="1" si="235"/>
        <v>#N/A</v>
      </c>
      <c r="B1254" s="183" t="str">
        <f>B1246</f>
        <v xml:space="preserve">Lt: </v>
      </c>
      <c r="C1254" s="200" t="s">
        <v>405</v>
      </c>
      <c r="D1254" s="182" t="e">
        <f t="shared" ca="1" si="236"/>
        <v>#N/A</v>
      </c>
      <c r="E1254" s="183" t="str">
        <f>B1254</f>
        <v xml:space="preserve">Lt: </v>
      </c>
      <c r="J1254" s="190"/>
    </row>
    <row r="1255" spans="1:10" ht="13.35" customHeight="1">
      <c r="A1255" s="610" t="str">
        <f t="shared" si="235"/>
        <v xml:space="preserve">  0</v>
      </c>
      <c r="B1255" s="610"/>
      <c r="C1255" s="200" t="s">
        <v>405</v>
      </c>
      <c r="D1255" s="610" t="str">
        <f t="shared" si="236"/>
        <v xml:space="preserve">  0</v>
      </c>
      <c r="E1255" s="610"/>
      <c r="J1255" s="190"/>
    </row>
    <row r="1256" spans="1:10" ht="13.35" customHeight="1">
      <c r="A1256" s="609" t="str">
        <f t="shared" si="235"/>
        <v>QFP: JGARCIA   QFV: ADELTORO</v>
      </c>
      <c r="B1256" s="609"/>
      <c r="C1256" s="200" t="s">
        <v>405</v>
      </c>
      <c r="D1256" s="609" t="str">
        <f t="shared" si="236"/>
        <v>QFP: JGARCIA   QFV: ADELTORO</v>
      </c>
      <c r="E1256" s="609"/>
      <c r="J1256" s="190"/>
    </row>
    <row r="1257" spans="1:10" ht="13.35" customHeight="1">
      <c r="A1257" s="609" t="str">
        <f t="shared" si="235"/>
        <v>C.JPC/SEXTO NTE/SCOOP   Cama: NA</v>
      </c>
      <c r="B1257" s="609"/>
      <c r="C1257" s="200" t="s">
        <v>405</v>
      </c>
      <c r="D1257" s="609" t="str">
        <f t="shared" si="236"/>
        <v>C.JPC/SEXTO NTE/SCOOP   Cama: NA</v>
      </c>
      <c r="E1257" s="609"/>
      <c r="J1257" s="190"/>
    </row>
    <row r="1258" spans="1:10" ht="13.35" customHeight="1">
      <c r="A1258" s="609" t="str">
        <f t="shared" si="235"/>
        <v>UNIDOSSIS S.A.S.</v>
      </c>
      <c r="B1258" s="609"/>
      <c r="C1258" s="200" t="s">
        <v>405</v>
      </c>
      <c r="D1258" s="609" t="str">
        <f t="shared" si="236"/>
        <v>UNIDOSSIS S.A.S.</v>
      </c>
      <c r="E1258" s="609"/>
      <c r="J1258" s="190"/>
    </row>
    <row r="1259" spans="1:10" ht="13.35" customHeight="1">
      <c r="A1259" s="199" t="s">
        <v>403</v>
      </c>
      <c r="B1259" s="199" t="s">
        <v>403</v>
      </c>
      <c r="C1259" s="200" t="s">
        <v>405</v>
      </c>
      <c r="D1259" s="199" t="s">
        <v>404</v>
      </c>
      <c r="E1259" s="199" t="s">
        <v>403</v>
      </c>
      <c r="J1259" s="190"/>
    </row>
    <row r="1260" spans="1:10" ht="13.35" customHeight="1">
      <c r="A1260" s="610" t="e">
        <f t="shared" ref="A1260:A1266" si="237">A1252</f>
        <v>#N/A</v>
      </c>
      <c r="B1260" s="610"/>
      <c r="C1260" s="200" t="s">
        <v>405</v>
      </c>
      <c r="D1260" s="610" t="e">
        <f t="shared" ref="D1260:D1266" si="238">A1260</f>
        <v>#N/A</v>
      </c>
      <c r="E1260" s="610"/>
      <c r="J1260" s="190"/>
    </row>
    <row r="1261" spans="1:10" ht="13.35" customHeight="1">
      <c r="A1261" s="610" t="e">
        <f t="shared" si="237"/>
        <v>#N/A</v>
      </c>
      <c r="B1261" s="610"/>
      <c r="C1261" s="200" t="s">
        <v>405</v>
      </c>
      <c r="D1261" s="610" t="e">
        <f t="shared" si="238"/>
        <v>#N/A</v>
      </c>
      <c r="E1261" s="610"/>
      <c r="J1261" s="190"/>
    </row>
    <row r="1262" spans="1:10" ht="13.35" customHeight="1">
      <c r="A1262" s="182" t="e">
        <f t="shared" ca="1" si="237"/>
        <v>#N/A</v>
      </c>
      <c r="B1262" s="183" t="str">
        <f>B1254</f>
        <v xml:space="preserve">Lt: </v>
      </c>
      <c r="C1262" s="200" t="s">
        <v>405</v>
      </c>
      <c r="D1262" s="182" t="e">
        <f t="shared" ca="1" si="238"/>
        <v>#N/A</v>
      </c>
      <c r="E1262" s="183" t="str">
        <f>B1262</f>
        <v xml:space="preserve">Lt: </v>
      </c>
      <c r="J1262" s="190"/>
    </row>
    <row r="1263" spans="1:10" ht="13.35" customHeight="1">
      <c r="A1263" s="610" t="str">
        <f t="shared" si="237"/>
        <v xml:space="preserve">  0</v>
      </c>
      <c r="B1263" s="610"/>
      <c r="C1263" s="200" t="s">
        <v>405</v>
      </c>
      <c r="D1263" s="610" t="str">
        <f t="shared" si="238"/>
        <v xml:space="preserve">  0</v>
      </c>
      <c r="E1263" s="610"/>
      <c r="J1263" s="190"/>
    </row>
    <row r="1264" spans="1:10" ht="13.35" customHeight="1">
      <c r="A1264" s="609" t="str">
        <f t="shared" si="237"/>
        <v>QFP: JGARCIA   QFV: ADELTORO</v>
      </c>
      <c r="B1264" s="609"/>
      <c r="C1264" s="200" t="s">
        <v>405</v>
      </c>
      <c r="D1264" s="609" t="str">
        <f t="shared" si="238"/>
        <v>QFP: JGARCIA   QFV: ADELTORO</v>
      </c>
      <c r="E1264" s="609"/>
      <c r="J1264" s="190"/>
    </row>
    <row r="1265" spans="1:10" ht="13.35" customHeight="1">
      <c r="A1265" s="609" t="str">
        <f t="shared" si="237"/>
        <v>C.JPC/SEXTO NTE/SCOOP   Cama: NA</v>
      </c>
      <c r="B1265" s="609"/>
      <c r="C1265" s="200" t="s">
        <v>405</v>
      </c>
      <c r="D1265" s="609" t="str">
        <f t="shared" si="238"/>
        <v>C.JPC/SEXTO NTE/SCOOP   Cama: NA</v>
      </c>
      <c r="E1265" s="609"/>
      <c r="J1265" s="190"/>
    </row>
    <row r="1266" spans="1:10" ht="13.35" customHeight="1">
      <c r="A1266" s="609" t="str">
        <f t="shared" si="237"/>
        <v>UNIDOSSIS S.A.S.</v>
      </c>
      <c r="B1266" s="609"/>
      <c r="C1266" s="200" t="s">
        <v>405</v>
      </c>
      <c r="D1266" s="609" t="str">
        <f t="shared" si="238"/>
        <v>UNIDOSSIS S.A.S.</v>
      </c>
      <c r="E1266" s="609"/>
      <c r="J1266" s="190"/>
    </row>
    <row r="1267" spans="1:10" ht="13.35" customHeight="1">
      <c r="A1267" s="199" t="s">
        <v>403</v>
      </c>
      <c r="B1267" s="199" t="s">
        <v>403</v>
      </c>
      <c r="C1267" s="200" t="s">
        <v>405</v>
      </c>
      <c r="D1267" s="199" t="s">
        <v>404</v>
      </c>
      <c r="E1267" s="199" t="s">
        <v>403</v>
      </c>
      <c r="J1267" s="190"/>
    </row>
    <row r="1268" spans="1:10" ht="13.35" customHeight="1">
      <c r="A1268" s="610" t="e">
        <f t="shared" ref="A1268:A1274" si="239">A1260</f>
        <v>#N/A</v>
      </c>
      <c r="B1268" s="610"/>
      <c r="C1268" s="200" t="s">
        <v>405</v>
      </c>
      <c r="D1268" s="610" t="e">
        <f t="shared" ref="D1268:D1274" si="240">A1268</f>
        <v>#N/A</v>
      </c>
      <c r="E1268" s="610"/>
      <c r="J1268" s="190"/>
    </row>
    <row r="1269" spans="1:10" ht="13.35" customHeight="1">
      <c r="A1269" s="610" t="e">
        <f t="shared" si="239"/>
        <v>#N/A</v>
      </c>
      <c r="B1269" s="610"/>
      <c r="C1269" s="200" t="s">
        <v>405</v>
      </c>
      <c r="D1269" s="610" t="e">
        <f t="shared" si="240"/>
        <v>#N/A</v>
      </c>
      <c r="E1269" s="610"/>
      <c r="J1269" s="190"/>
    </row>
    <row r="1270" spans="1:10" ht="13.35" customHeight="1">
      <c r="A1270" s="182" t="e">
        <f t="shared" ca="1" si="239"/>
        <v>#N/A</v>
      </c>
      <c r="B1270" s="183" t="str">
        <f>B1262</f>
        <v xml:space="preserve">Lt: </v>
      </c>
      <c r="C1270" s="200" t="s">
        <v>405</v>
      </c>
      <c r="D1270" s="182" t="e">
        <f t="shared" ca="1" si="240"/>
        <v>#N/A</v>
      </c>
      <c r="E1270" s="183" t="str">
        <f>B1270</f>
        <v xml:space="preserve">Lt: </v>
      </c>
      <c r="J1270" s="190"/>
    </row>
    <row r="1271" spans="1:10" ht="13.35" customHeight="1">
      <c r="A1271" s="610" t="str">
        <f t="shared" si="239"/>
        <v xml:space="preserve">  0</v>
      </c>
      <c r="B1271" s="610"/>
      <c r="C1271" s="200" t="s">
        <v>405</v>
      </c>
      <c r="D1271" s="610" t="str">
        <f t="shared" si="240"/>
        <v xml:space="preserve">  0</v>
      </c>
      <c r="E1271" s="610"/>
      <c r="J1271" s="190"/>
    </row>
    <row r="1272" spans="1:10" ht="13.35" customHeight="1">
      <c r="A1272" s="609" t="str">
        <f t="shared" si="239"/>
        <v>QFP: JGARCIA   QFV: ADELTORO</v>
      </c>
      <c r="B1272" s="609"/>
      <c r="C1272" s="200" t="s">
        <v>405</v>
      </c>
      <c r="D1272" s="609" t="str">
        <f t="shared" si="240"/>
        <v>QFP: JGARCIA   QFV: ADELTORO</v>
      </c>
      <c r="E1272" s="609"/>
      <c r="J1272" s="190"/>
    </row>
    <row r="1273" spans="1:10" ht="13.35" customHeight="1">
      <c r="A1273" s="609" t="str">
        <f t="shared" si="239"/>
        <v>C.JPC/SEXTO NTE/SCOOP   Cama: NA</v>
      </c>
      <c r="B1273" s="609"/>
      <c r="C1273" s="200" t="s">
        <v>405</v>
      </c>
      <c r="D1273" s="609" t="str">
        <f t="shared" si="240"/>
        <v>C.JPC/SEXTO NTE/SCOOP   Cama: NA</v>
      </c>
      <c r="E1273" s="609"/>
      <c r="J1273" s="190"/>
    </row>
    <row r="1274" spans="1:10" ht="13.35" customHeight="1">
      <c r="A1274" s="609" t="str">
        <f t="shared" si="239"/>
        <v>UNIDOSSIS S.A.S.</v>
      </c>
      <c r="B1274" s="609"/>
      <c r="C1274" s="200" t="s">
        <v>405</v>
      </c>
      <c r="D1274" s="609" t="str">
        <f t="shared" si="240"/>
        <v>UNIDOSSIS S.A.S.</v>
      </c>
      <c r="E1274" s="609"/>
      <c r="J1274" s="190"/>
    </row>
    <row r="1275" spans="1:10" ht="13.35" customHeight="1">
      <c r="A1275" s="610" t="e">
        <f>'DATOS ETIQ'!B$43&amp;"  "&amp;'DATOS ETIQ'!C$43&amp;"  "&amp;'DATOS ETIQ'!D$43&amp;'DATOS ETIQ'!Q$43</f>
        <v>#N/A</v>
      </c>
      <c r="B1275" s="610"/>
      <c r="C1275" s="200" t="s">
        <v>405</v>
      </c>
      <c r="D1275" s="610" t="e">
        <f t="shared" ref="D1275:D1281" si="241">A1275</f>
        <v>#N/A</v>
      </c>
      <c r="E1275" s="610"/>
      <c r="J1275" s="190"/>
    </row>
    <row r="1276" spans="1:10" ht="13.35" customHeight="1" thickBot="1">
      <c r="A1276" s="610" t="e">
        <f>IF('DATOS ETIQ'!P$43=1,"Do: "&amp;'DATOS ETIQ'!F$43&amp;"mg   VolDo: "&amp;'DATOS ETIQ'!G$43&amp;"mL","Dilución 1/"&amp;'DATOS ETIQ'!P$43&amp;"  "&amp;'DATOS ETIQ'!E$43&amp;"mg/mL   Do: "&amp;'DATOS ETIQ'!F$43&amp;"mg   VolDo: "&amp;'DATOS ETIQ'!G$43&amp;"mL")</f>
        <v>#N/A</v>
      </c>
      <c r="B1276" s="610"/>
      <c r="C1276" s="200" t="s">
        <v>405</v>
      </c>
      <c r="D1276" s="610" t="e">
        <f t="shared" si="241"/>
        <v>#N/A</v>
      </c>
      <c r="E1276" s="610"/>
      <c r="J1276" s="190"/>
    </row>
    <row r="1277" spans="1:10" ht="13.35" customHeight="1">
      <c r="A1277" s="182" t="e">
        <f ca="1">'DATOS ETIQ'!H$43</f>
        <v>#N/A</v>
      </c>
      <c r="B1277" s="183" t="str">
        <f>"Lt: "&amp;'DATOS ETIQ'!I$43</f>
        <v xml:space="preserve">Lt: </v>
      </c>
      <c r="C1277" s="200" t="s">
        <v>405</v>
      </c>
      <c r="D1277" s="182" t="e">
        <f t="shared" ca="1" si="241"/>
        <v>#N/A</v>
      </c>
      <c r="E1277" s="183" t="str">
        <f>B1277</f>
        <v xml:space="preserve">Lt: </v>
      </c>
      <c r="G1277" s="611" t="e">
        <f>'FR PD 001 V1'!T47/4</f>
        <v>#N/A</v>
      </c>
      <c r="J1277" s="611">
        <v>42</v>
      </c>
    </row>
    <row r="1278" spans="1:10" ht="13.35" customHeight="1" thickBot="1">
      <c r="A1278" s="610" t="str">
        <f>'DATOS ETIQ'!J$43&amp;"  "&amp;'DATOS ETIQ'!K$43</f>
        <v xml:space="preserve">  0</v>
      </c>
      <c r="B1278" s="610"/>
      <c r="C1278" s="200" t="s">
        <v>405</v>
      </c>
      <c r="D1278" s="610" t="str">
        <f t="shared" si="241"/>
        <v xml:space="preserve">  0</v>
      </c>
      <c r="E1278" s="610"/>
      <c r="G1278" s="612"/>
      <c r="J1278" s="612"/>
    </row>
    <row r="1279" spans="1:10" ht="13.35" customHeight="1">
      <c r="A1279" s="609" t="str">
        <f>"QFP: "&amp;'DATOS ETIQ'!L$43&amp;"   QFV: "&amp;'DATOS ETIQ'!M$43</f>
        <v>QFP: JGARCIA   QFV: ADELTORO</v>
      </c>
      <c r="B1279" s="609"/>
      <c r="C1279" s="200" t="s">
        <v>405</v>
      </c>
      <c r="D1279" s="609" t="str">
        <f t="shared" si="241"/>
        <v>QFP: JGARCIA   QFV: ADELTORO</v>
      </c>
      <c r="E1279" s="609"/>
      <c r="J1279" s="190"/>
    </row>
    <row r="1280" spans="1:10" ht="13.35" customHeight="1">
      <c r="A1280" s="609" t="str">
        <f>'DATOS ETIQ'!N$43&amp;"   Cama: "&amp;'DATOS ETIQ'!O$43</f>
        <v>C.JPC/SEXTO NTE/SCOOP   Cama: NA</v>
      </c>
      <c r="B1280" s="609"/>
      <c r="C1280" s="200" t="s">
        <v>405</v>
      </c>
      <c r="D1280" s="609" t="str">
        <f t="shared" si="241"/>
        <v>C.JPC/SEXTO NTE/SCOOP   Cama: NA</v>
      </c>
      <c r="E1280" s="609"/>
      <c r="J1280" s="190"/>
    </row>
    <row r="1281" spans="1:10" ht="13.35" customHeight="1">
      <c r="A1281" s="609" t="s">
        <v>167</v>
      </c>
      <c r="B1281" s="609"/>
      <c r="C1281" s="200" t="s">
        <v>405</v>
      </c>
      <c r="D1281" s="609" t="str">
        <f t="shared" si="241"/>
        <v>UNIDOSSIS S.A.S.</v>
      </c>
      <c r="E1281" s="609"/>
      <c r="J1281" s="190"/>
    </row>
    <row r="1282" spans="1:10" ht="13.35" customHeight="1">
      <c r="A1282" s="199" t="s">
        <v>403</v>
      </c>
      <c r="B1282" s="199" t="s">
        <v>403</v>
      </c>
      <c r="C1282" s="200" t="s">
        <v>405</v>
      </c>
      <c r="D1282" s="199" t="s">
        <v>404</v>
      </c>
      <c r="E1282" s="199" t="s">
        <v>403</v>
      </c>
      <c r="J1282" s="190"/>
    </row>
    <row r="1283" spans="1:10" ht="13.35" customHeight="1">
      <c r="A1283" s="610" t="e">
        <f t="shared" ref="A1283:A1289" si="242">A1275</f>
        <v>#N/A</v>
      </c>
      <c r="B1283" s="610"/>
      <c r="C1283" s="200" t="s">
        <v>405</v>
      </c>
      <c r="D1283" s="610" t="e">
        <f t="shared" ref="D1283:D1289" si="243">A1283</f>
        <v>#N/A</v>
      </c>
      <c r="E1283" s="610"/>
      <c r="J1283" s="190"/>
    </row>
    <row r="1284" spans="1:10" ht="13.35" customHeight="1">
      <c r="A1284" s="610" t="e">
        <f t="shared" si="242"/>
        <v>#N/A</v>
      </c>
      <c r="B1284" s="610"/>
      <c r="C1284" s="200" t="s">
        <v>405</v>
      </c>
      <c r="D1284" s="610" t="e">
        <f t="shared" si="243"/>
        <v>#N/A</v>
      </c>
      <c r="E1284" s="610"/>
      <c r="J1284" s="190"/>
    </row>
    <row r="1285" spans="1:10" ht="13.35" customHeight="1">
      <c r="A1285" s="182" t="e">
        <f t="shared" ca="1" si="242"/>
        <v>#N/A</v>
      </c>
      <c r="B1285" s="183" t="str">
        <f>B1277</f>
        <v xml:space="preserve">Lt: </v>
      </c>
      <c r="C1285" s="200" t="s">
        <v>405</v>
      </c>
      <c r="D1285" s="182" t="e">
        <f t="shared" ca="1" si="243"/>
        <v>#N/A</v>
      </c>
      <c r="E1285" s="183" t="str">
        <f>B1285</f>
        <v xml:space="preserve">Lt: </v>
      </c>
      <c r="J1285" s="190"/>
    </row>
    <row r="1286" spans="1:10" ht="13.35" customHeight="1">
      <c r="A1286" s="610" t="str">
        <f t="shared" si="242"/>
        <v xml:space="preserve">  0</v>
      </c>
      <c r="B1286" s="610"/>
      <c r="C1286" s="200" t="s">
        <v>405</v>
      </c>
      <c r="D1286" s="610" t="str">
        <f t="shared" si="243"/>
        <v xml:space="preserve">  0</v>
      </c>
      <c r="E1286" s="610"/>
      <c r="J1286" s="190"/>
    </row>
    <row r="1287" spans="1:10" ht="13.35" customHeight="1">
      <c r="A1287" s="609" t="str">
        <f t="shared" si="242"/>
        <v>QFP: JGARCIA   QFV: ADELTORO</v>
      </c>
      <c r="B1287" s="609"/>
      <c r="C1287" s="200" t="s">
        <v>405</v>
      </c>
      <c r="D1287" s="609" t="str">
        <f t="shared" si="243"/>
        <v>QFP: JGARCIA   QFV: ADELTORO</v>
      </c>
      <c r="E1287" s="609"/>
      <c r="J1287" s="190"/>
    </row>
    <row r="1288" spans="1:10" ht="13.35" customHeight="1">
      <c r="A1288" s="609" t="str">
        <f t="shared" si="242"/>
        <v>C.JPC/SEXTO NTE/SCOOP   Cama: NA</v>
      </c>
      <c r="B1288" s="609"/>
      <c r="C1288" s="200" t="s">
        <v>405</v>
      </c>
      <c r="D1288" s="609" t="str">
        <f t="shared" si="243"/>
        <v>C.JPC/SEXTO NTE/SCOOP   Cama: NA</v>
      </c>
      <c r="E1288" s="609"/>
      <c r="J1288" s="190"/>
    </row>
    <row r="1289" spans="1:10" ht="13.35" customHeight="1">
      <c r="A1289" s="609" t="str">
        <f t="shared" si="242"/>
        <v>UNIDOSSIS S.A.S.</v>
      </c>
      <c r="B1289" s="609"/>
      <c r="C1289" s="200" t="s">
        <v>405</v>
      </c>
      <c r="D1289" s="609" t="str">
        <f t="shared" si="243"/>
        <v>UNIDOSSIS S.A.S.</v>
      </c>
      <c r="E1289" s="609"/>
      <c r="J1289" s="190"/>
    </row>
    <row r="1290" spans="1:10" ht="13.35" customHeight="1">
      <c r="A1290" s="199" t="s">
        <v>403</v>
      </c>
      <c r="B1290" s="199" t="s">
        <v>403</v>
      </c>
      <c r="C1290" s="200" t="s">
        <v>405</v>
      </c>
      <c r="D1290" s="199" t="s">
        <v>404</v>
      </c>
      <c r="E1290" s="199" t="s">
        <v>403</v>
      </c>
      <c r="J1290" s="190"/>
    </row>
    <row r="1291" spans="1:10" ht="13.35" customHeight="1">
      <c r="A1291" s="610" t="e">
        <f t="shared" ref="A1291:A1297" si="244">A1283</f>
        <v>#N/A</v>
      </c>
      <c r="B1291" s="610"/>
      <c r="C1291" s="200" t="s">
        <v>405</v>
      </c>
      <c r="D1291" s="610" t="e">
        <f t="shared" ref="D1291:D1297" si="245">A1291</f>
        <v>#N/A</v>
      </c>
      <c r="E1291" s="610"/>
      <c r="J1291" s="190"/>
    </row>
    <row r="1292" spans="1:10" ht="13.35" customHeight="1">
      <c r="A1292" s="610" t="e">
        <f t="shared" si="244"/>
        <v>#N/A</v>
      </c>
      <c r="B1292" s="610"/>
      <c r="C1292" s="200" t="s">
        <v>405</v>
      </c>
      <c r="D1292" s="610" t="e">
        <f t="shared" si="245"/>
        <v>#N/A</v>
      </c>
      <c r="E1292" s="610"/>
      <c r="J1292" s="190"/>
    </row>
    <row r="1293" spans="1:10" ht="13.35" customHeight="1">
      <c r="A1293" s="182" t="e">
        <f t="shared" ca="1" si="244"/>
        <v>#N/A</v>
      </c>
      <c r="B1293" s="183" t="str">
        <f>B1285</f>
        <v xml:space="preserve">Lt: </v>
      </c>
      <c r="C1293" s="200" t="s">
        <v>405</v>
      </c>
      <c r="D1293" s="182" t="e">
        <f t="shared" ca="1" si="245"/>
        <v>#N/A</v>
      </c>
      <c r="E1293" s="183" t="str">
        <f>B1293</f>
        <v xml:space="preserve">Lt: </v>
      </c>
      <c r="J1293" s="190"/>
    </row>
    <row r="1294" spans="1:10" ht="13.35" customHeight="1">
      <c r="A1294" s="610" t="str">
        <f t="shared" si="244"/>
        <v xml:space="preserve">  0</v>
      </c>
      <c r="B1294" s="610"/>
      <c r="C1294" s="200" t="s">
        <v>405</v>
      </c>
      <c r="D1294" s="610" t="str">
        <f t="shared" si="245"/>
        <v xml:space="preserve">  0</v>
      </c>
      <c r="E1294" s="610"/>
      <c r="J1294" s="190"/>
    </row>
    <row r="1295" spans="1:10" ht="13.35" customHeight="1">
      <c r="A1295" s="609" t="str">
        <f t="shared" si="244"/>
        <v>QFP: JGARCIA   QFV: ADELTORO</v>
      </c>
      <c r="B1295" s="609"/>
      <c r="C1295" s="200" t="s">
        <v>405</v>
      </c>
      <c r="D1295" s="609" t="str">
        <f t="shared" si="245"/>
        <v>QFP: JGARCIA   QFV: ADELTORO</v>
      </c>
      <c r="E1295" s="609"/>
      <c r="J1295" s="190"/>
    </row>
    <row r="1296" spans="1:10" ht="13.35" customHeight="1">
      <c r="A1296" s="609" t="str">
        <f t="shared" si="244"/>
        <v>C.JPC/SEXTO NTE/SCOOP   Cama: NA</v>
      </c>
      <c r="B1296" s="609"/>
      <c r="C1296" s="200" t="s">
        <v>405</v>
      </c>
      <c r="D1296" s="609" t="str">
        <f t="shared" si="245"/>
        <v>C.JPC/SEXTO NTE/SCOOP   Cama: NA</v>
      </c>
      <c r="E1296" s="609"/>
      <c r="J1296" s="190"/>
    </row>
    <row r="1297" spans="1:10" ht="13.35" customHeight="1">
      <c r="A1297" s="609" t="str">
        <f t="shared" si="244"/>
        <v>UNIDOSSIS S.A.S.</v>
      </c>
      <c r="B1297" s="609"/>
      <c r="C1297" s="200" t="s">
        <v>405</v>
      </c>
      <c r="D1297" s="609" t="str">
        <f t="shared" si="245"/>
        <v>UNIDOSSIS S.A.S.</v>
      </c>
      <c r="E1297" s="609"/>
      <c r="J1297" s="190"/>
    </row>
    <row r="1298" spans="1:10" ht="13.35" customHeight="1">
      <c r="A1298" s="199" t="s">
        <v>403</v>
      </c>
      <c r="B1298" s="199" t="s">
        <v>403</v>
      </c>
      <c r="C1298" s="200" t="s">
        <v>405</v>
      </c>
      <c r="D1298" s="199" t="s">
        <v>404</v>
      </c>
      <c r="E1298" s="199" t="s">
        <v>403</v>
      </c>
      <c r="J1298" s="190"/>
    </row>
    <row r="1299" spans="1:10" ht="13.35" customHeight="1">
      <c r="A1299" s="610" t="e">
        <f t="shared" ref="A1299:A1305" si="246">A1291</f>
        <v>#N/A</v>
      </c>
      <c r="B1299" s="610"/>
      <c r="C1299" s="200" t="s">
        <v>405</v>
      </c>
      <c r="D1299" s="610" t="e">
        <f t="shared" ref="D1299:D1305" si="247">A1299</f>
        <v>#N/A</v>
      </c>
      <c r="E1299" s="610"/>
      <c r="J1299" s="190"/>
    </row>
    <row r="1300" spans="1:10" ht="13.35" customHeight="1">
      <c r="A1300" s="610" t="e">
        <f t="shared" si="246"/>
        <v>#N/A</v>
      </c>
      <c r="B1300" s="610"/>
      <c r="C1300" s="200" t="s">
        <v>405</v>
      </c>
      <c r="D1300" s="610" t="e">
        <f t="shared" si="247"/>
        <v>#N/A</v>
      </c>
      <c r="E1300" s="610"/>
      <c r="J1300" s="190"/>
    </row>
    <row r="1301" spans="1:10" ht="13.35" customHeight="1">
      <c r="A1301" s="182" t="e">
        <f t="shared" ca="1" si="246"/>
        <v>#N/A</v>
      </c>
      <c r="B1301" s="183" t="str">
        <f>B1293</f>
        <v xml:space="preserve">Lt: </v>
      </c>
      <c r="C1301" s="200" t="s">
        <v>405</v>
      </c>
      <c r="D1301" s="182" t="e">
        <f t="shared" ca="1" si="247"/>
        <v>#N/A</v>
      </c>
      <c r="E1301" s="183" t="str">
        <f>B1301</f>
        <v xml:space="preserve">Lt: </v>
      </c>
      <c r="J1301" s="190"/>
    </row>
    <row r="1302" spans="1:10" ht="13.35" customHeight="1">
      <c r="A1302" s="610" t="str">
        <f t="shared" si="246"/>
        <v xml:space="preserve">  0</v>
      </c>
      <c r="B1302" s="610"/>
      <c r="C1302" s="200" t="s">
        <v>405</v>
      </c>
      <c r="D1302" s="610" t="str">
        <f t="shared" si="247"/>
        <v xml:space="preserve">  0</v>
      </c>
      <c r="E1302" s="610"/>
      <c r="J1302" s="190"/>
    </row>
    <row r="1303" spans="1:10" ht="13.35" customHeight="1">
      <c r="A1303" s="609" t="str">
        <f t="shared" si="246"/>
        <v>QFP: JGARCIA   QFV: ADELTORO</v>
      </c>
      <c r="B1303" s="609"/>
      <c r="C1303" s="200" t="s">
        <v>405</v>
      </c>
      <c r="D1303" s="609" t="str">
        <f t="shared" si="247"/>
        <v>QFP: JGARCIA   QFV: ADELTORO</v>
      </c>
      <c r="E1303" s="609"/>
      <c r="J1303" s="190"/>
    </row>
    <row r="1304" spans="1:10" ht="13.35" customHeight="1">
      <c r="A1304" s="609" t="str">
        <f t="shared" si="246"/>
        <v>C.JPC/SEXTO NTE/SCOOP   Cama: NA</v>
      </c>
      <c r="B1304" s="609"/>
      <c r="C1304" s="200" t="s">
        <v>405</v>
      </c>
      <c r="D1304" s="609" t="str">
        <f t="shared" si="247"/>
        <v>C.JPC/SEXTO NTE/SCOOP   Cama: NA</v>
      </c>
      <c r="E1304" s="609"/>
      <c r="J1304" s="190"/>
    </row>
    <row r="1305" spans="1:10" ht="13.35" customHeight="1">
      <c r="A1305" s="609" t="str">
        <f t="shared" si="246"/>
        <v>UNIDOSSIS S.A.S.</v>
      </c>
      <c r="B1305" s="609"/>
      <c r="C1305" s="200" t="s">
        <v>405</v>
      </c>
      <c r="D1305" s="609" t="str">
        <f t="shared" si="247"/>
        <v>UNIDOSSIS S.A.S.</v>
      </c>
      <c r="E1305" s="609"/>
      <c r="J1305" s="190"/>
    </row>
    <row r="1306" spans="1:10" ht="13.35" customHeight="1">
      <c r="A1306" s="610" t="e">
        <f>'DATOS ETIQ'!B$44&amp;"  "&amp;'DATOS ETIQ'!C$44&amp;"  "&amp;'DATOS ETIQ'!D$44&amp;'DATOS ETIQ'!Q$44</f>
        <v>#N/A</v>
      </c>
      <c r="B1306" s="610"/>
      <c r="C1306" s="200" t="s">
        <v>405</v>
      </c>
      <c r="D1306" s="610" t="e">
        <f t="shared" ref="D1306:D1312" si="248">A1306</f>
        <v>#N/A</v>
      </c>
      <c r="E1306" s="610"/>
      <c r="J1306" s="190"/>
    </row>
    <row r="1307" spans="1:10" ht="13.35" customHeight="1" thickBot="1">
      <c r="A1307" s="610" t="e">
        <f>IF('DATOS ETIQ'!P$44=1,"Do: "&amp;'DATOS ETIQ'!F$44&amp;"mg   VolDo: "&amp;'DATOS ETIQ'!G$44&amp;"mL","Dilución 1/"&amp;'DATOS ETIQ'!P$44&amp;"  "&amp;'DATOS ETIQ'!E$44&amp;"mg/mL   Do: "&amp;'DATOS ETIQ'!F$44&amp;"mg   VolDo: "&amp;'DATOS ETIQ'!G$44&amp;"mL")</f>
        <v>#N/A</v>
      </c>
      <c r="B1307" s="610"/>
      <c r="C1307" s="200" t="s">
        <v>405</v>
      </c>
      <c r="D1307" s="610" t="e">
        <f t="shared" si="248"/>
        <v>#N/A</v>
      </c>
      <c r="E1307" s="610"/>
      <c r="J1307" s="190"/>
    </row>
    <row r="1308" spans="1:10" ht="13.35" customHeight="1">
      <c r="A1308" s="182" t="e">
        <f ca="1">'DATOS ETIQ'!H$44</f>
        <v>#N/A</v>
      </c>
      <c r="B1308" s="183" t="str">
        <f>"Lt: "&amp;'DATOS ETIQ'!I$44</f>
        <v xml:space="preserve">Lt: </v>
      </c>
      <c r="C1308" s="200" t="s">
        <v>405</v>
      </c>
      <c r="D1308" s="182" t="e">
        <f t="shared" ca="1" si="248"/>
        <v>#N/A</v>
      </c>
      <c r="E1308" s="183" t="str">
        <f>B1308</f>
        <v xml:space="preserve">Lt: </v>
      </c>
      <c r="G1308" s="611" t="e">
        <f>'FR PD 001 V1'!T48/4</f>
        <v>#N/A</v>
      </c>
      <c r="J1308" s="611">
        <v>43</v>
      </c>
    </row>
    <row r="1309" spans="1:10" ht="13.35" customHeight="1" thickBot="1">
      <c r="A1309" s="610" t="str">
        <f>'DATOS ETIQ'!J$44&amp;"  "&amp;'DATOS ETIQ'!K$44</f>
        <v xml:space="preserve">  0</v>
      </c>
      <c r="B1309" s="610"/>
      <c r="C1309" s="200" t="s">
        <v>405</v>
      </c>
      <c r="D1309" s="610" t="str">
        <f t="shared" si="248"/>
        <v xml:space="preserve">  0</v>
      </c>
      <c r="E1309" s="610"/>
      <c r="G1309" s="612"/>
      <c r="J1309" s="612"/>
    </row>
    <row r="1310" spans="1:10" ht="13.35" customHeight="1">
      <c r="A1310" s="609" t="str">
        <f>"QFP: "&amp;'DATOS ETIQ'!L$44&amp;"   QFV: "&amp;'DATOS ETIQ'!M$44</f>
        <v>QFP: JGARCIA   QFV: ADELTORO</v>
      </c>
      <c r="B1310" s="609"/>
      <c r="C1310" s="200" t="s">
        <v>405</v>
      </c>
      <c r="D1310" s="609" t="str">
        <f t="shared" si="248"/>
        <v>QFP: JGARCIA   QFV: ADELTORO</v>
      </c>
      <c r="E1310" s="609"/>
      <c r="J1310" s="190"/>
    </row>
    <row r="1311" spans="1:10" ht="13.35" customHeight="1">
      <c r="A1311" s="609" t="str">
        <f>'DATOS ETIQ'!N$44&amp;"   Cama: "&amp;'DATOS ETIQ'!O$44</f>
        <v>C.JPC/SEXTO NTE/SCOOP   Cama: NA</v>
      </c>
      <c r="B1311" s="609"/>
      <c r="C1311" s="200" t="s">
        <v>405</v>
      </c>
      <c r="D1311" s="609" t="str">
        <f t="shared" si="248"/>
        <v>C.JPC/SEXTO NTE/SCOOP   Cama: NA</v>
      </c>
      <c r="E1311" s="609"/>
      <c r="J1311" s="190"/>
    </row>
    <row r="1312" spans="1:10" ht="13.35" customHeight="1">
      <c r="A1312" s="609" t="s">
        <v>167</v>
      </c>
      <c r="B1312" s="609"/>
      <c r="C1312" s="200" t="s">
        <v>405</v>
      </c>
      <c r="D1312" s="609" t="str">
        <f t="shared" si="248"/>
        <v>UNIDOSSIS S.A.S.</v>
      </c>
      <c r="E1312" s="609"/>
      <c r="J1312" s="190"/>
    </row>
    <row r="1313" spans="1:10" ht="13.35" customHeight="1">
      <c r="A1313" s="199" t="s">
        <v>403</v>
      </c>
      <c r="B1313" s="199" t="s">
        <v>403</v>
      </c>
      <c r="C1313" s="200" t="s">
        <v>405</v>
      </c>
      <c r="D1313" s="199" t="s">
        <v>404</v>
      </c>
      <c r="E1313" s="199" t="s">
        <v>403</v>
      </c>
      <c r="J1313" s="190"/>
    </row>
    <row r="1314" spans="1:10" ht="13.35" customHeight="1">
      <c r="A1314" s="610" t="e">
        <f t="shared" ref="A1314:A1320" si="249">A1306</f>
        <v>#N/A</v>
      </c>
      <c r="B1314" s="610"/>
      <c r="C1314" s="200" t="s">
        <v>405</v>
      </c>
      <c r="D1314" s="610" t="e">
        <f t="shared" ref="D1314:D1320" si="250">A1314</f>
        <v>#N/A</v>
      </c>
      <c r="E1314" s="610"/>
      <c r="J1314" s="190"/>
    </row>
    <row r="1315" spans="1:10" ht="13.35" customHeight="1">
      <c r="A1315" s="610" t="e">
        <f t="shared" si="249"/>
        <v>#N/A</v>
      </c>
      <c r="B1315" s="610"/>
      <c r="C1315" s="200" t="s">
        <v>405</v>
      </c>
      <c r="D1315" s="610" t="e">
        <f t="shared" si="250"/>
        <v>#N/A</v>
      </c>
      <c r="E1315" s="610"/>
      <c r="J1315" s="190"/>
    </row>
    <row r="1316" spans="1:10" ht="13.35" customHeight="1">
      <c r="A1316" s="182" t="e">
        <f t="shared" ca="1" si="249"/>
        <v>#N/A</v>
      </c>
      <c r="B1316" s="183" t="str">
        <f>B1308</f>
        <v xml:space="preserve">Lt: </v>
      </c>
      <c r="C1316" s="200" t="s">
        <v>405</v>
      </c>
      <c r="D1316" s="182" t="e">
        <f t="shared" ca="1" si="250"/>
        <v>#N/A</v>
      </c>
      <c r="E1316" s="183" t="str">
        <f>B1316</f>
        <v xml:space="preserve">Lt: </v>
      </c>
      <c r="J1316" s="190"/>
    </row>
    <row r="1317" spans="1:10" ht="13.35" customHeight="1">
      <c r="A1317" s="610" t="str">
        <f t="shared" si="249"/>
        <v xml:space="preserve">  0</v>
      </c>
      <c r="B1317" s="610"/>
      <c r="C1317" s="200" t="s">
        <v>405</v>
      </c>
      <c r="D1317" s="610" t="str">
        <f t="shared" si="250"/>
        <v xml:space="preserve">  0</v>
      </c>
      <c r="E1317" s="610"/>
      <c r="J1317" s="190"/>
    </row>
    <row r="1318" spans="1:10" ht="13.35" customHeight="1">
      <c r="A1318" s="609" t="str">
        <f t="shared" si="249"/>
        <v>QFP: JGARCIA   QFV: ADELTORO</v>
      </c>
      <c r="B1318" s="609"/>
      <c r="C1318" s="200" t="s">
        <v>405</v>
      </c>
      <c r="D1318" s="609" t="str">
        <f t="shared" si="250"/>
        <v>QFP: JGARCIA   QFV: ADELTORO</v>
      </c>
      <c r="E1318" s="609"/>
      <c r="J1318" s="190"/>
    </row>
    <row r="1319" spans="1:10" ht="13.35" customHeight="1">
      <c r="A1319" s="609" t="str">
        <f t="shared" si="249"/>
        <v>C.JPC/SEXTO NTE/SCOOP   Cama: NA</v>
      </c>
      <c r="B1319" s="609"/>
      <c r="C1319" s="200" t="s">
        <v>405</v>
      </c>
      <c r="D1319" s="609" t="str">
        <f t="shared" si="250"/>
        <v>C.JPC/SEXTO NTE/SCOOP   Cama: NA</v>
      </c>
      <c r="E1319" s="609"/>
      <c r="J1319" s="190"/>
    </row>
    <row r="1320" spans="1:10" ht="13.35" customHeight="1">
      <c r="A1320" s="609" t="str">
        <f t="shared" si="249"/>
        <v>UNIDOSSIS S.A.S.</v>
      </c>
      <c r="B1320" s="609"/>
      <c r="C1320" s="200" t="s">
        <v>405</v>
      </c>
      <c r="D1320" s="609" t="str">
        <f t="shared" si="250"/>
        <v>UNIDOSSIS S.A.S.</v>
      </c>
      <c r="E1320" s="609"/>
      <c r="J1320" s="190"/>
    </row>
    <row r="1321" spans="1:10" ht="13.35" customHeight="1">
      <c r="A1321" s="199" t="s">
        <v>403</v>
      </c>
      <c r="B1321" s="199" t="s">
        <v>403</v>
      </c>
      <c r="C1321" s="200" t="s">
        <v>405</v>
      </c>
      <c r="D1321" s="199" t="s">
        <v>404</v>
      </c>
      <c r="E1321" s="199" t="s">
        <v>403</v>
      </c>
      <c r="J1321" s="190"/>
    </row>
    <row r="1322" spans="1:10" ht="13.35" customHeight="1">
      <c r="A1322" s="610" t="e">
        <f t="shared" ref="A1322:A1328" si="251">A1314</f>
        <v>#N/A</v>
      </c>
      <c r="B1322" s="610"/>
      <c r="C1322" s="200" t="s">
        <v>405</v>
      </c>
      <c r="D1322" s="610" t="e">
        <f t="shared" ref="D1322:D1328" si="252">A1322</f>
        <v>#N/A</v>
      </c>
      <c r="E1322" s="610"/>
      <c r="J1322" s="190"/>
    </row>
    <row r="1323" spans="1:10" ht="13.35" customHeight="1">
      <c r="A1323" s="610" t="e">
        <f t="shared" si="251"/>
        <v>#N/A</v>
      </c>
      <c r="B1323" s="610"/>
      <c r="C1323" s="200" t="s">
        <v>405</v>
      </c>
      <c r="D1323" s="610" t="e">
        <f t="shared" si="252"/>
        <v>#N/A</v>
      </c>
      <c r="E1323" s="610"/>
      <c r="J1323" s="190"/>
    </row>
    <row r="1324" spans="1:10" ht="13.35" customHeight="1">
      <c r="A1324" s="182" t="e">
        <f t="shared" ca="1" si="251"/>
        <v>#N/A</v>
      </c>
      <c r="B1324" s="183" t="str">
        <f>B1316</f>
        <v xml:space="preserve">Lt: </v>
      </c>
      <c r="C1324" s="200" t="s">
        <v>405</v>
      </c>
      <c r="D1324" s="182" t="e">
        <f t="shared" ca="1" si="252"/>
        <v>#N/A</v>
      </c>
      <c r="E1324" s="183" t="str">
        <f>B1324</f>
        <v xml:space="preserve">Lt: </v>
      </c>
      <c r="J1324" s="190"/>
    </row>
    <row r="1325" spans="1:10" ht="13.35" customHeight="1">
      <c r="A1325" s="610" t="str">
        <f t="shared" si="251"/>
        <v xml:space="preserve">  0</v>
      </c>
      <c r="B1325" s="610"/>
      <c r="C1325" s="200" t="s">
        <v>405</v>
      </c>
      <c r="D1325" s="610" t="str">
        <f t="shared" si="252"/>
        <v xml:space="preserve">  0</v>
      </c>
      <c r="E1325" s="610"/>
      <c r="J1325" s="190"/>
    </row>
    <row r="1326" spans="1:10" ht="13.35" customHeight="1">
      <c r="A1326" s="609" t="str">
        <f t="shared" si="251"/>
        <v>QFP: JGARCIA   QFV: ADELTORO</v>
      </c>
      <c r="B1326" s="609"/>
      <c r="C1326" s="200" t="s">
        <v>405</v>
      </c>
      <c r="D1326" s="609" t="str">
        <f t="shared" si="252"/>
        <v>QFP: JGARCIA   QFV: ADELTORO</v>
      </c>
      <c r="E1326" s="609"/>
      <c r="J1326" s="190"/>
    </row>
    <row r="1327" spans="1:10" ht="13.35" customHeight="1">
      <c r="A1327" s="609" t="str">
        <f t="shared" si="251"/>
        <v>C.JPC/SEXTO NTE/SCOOP   Cama: NA</v>
      </c>
      <c r="B1327" s="609"/>
      <c r="C1327" s="200" t="s">
        <v>405</v>
      </c>
      <c r="D1327" s="609" t="str">
        <f t="shared" si="252"/>
        <v>C.JPC/SEXTO NTE/SCOOP   Cama: NA</v>
      </c>
      <c r="E1327" s="609"/>
      <c r="J1327" s="190"/>
    </row>
    <row r="1328" spans="1:10" ht="13.35" customHeight="1">
      <c r="A1328" s="609" t="str">
        <f t="shared" si="251"/>
        <v>UNIDOSSIS S.A.S.</v>
      </c>
      <c r="B1328" s="609"/>
      <c r="C1328" s="200" t="s">
        <v>405</v>
      </c>
      <c r="D1328" s="609" t="str">
        <f t="shared" si="252"/>
        <v>UNIDOSSIS S.A.S.</v>
      </c>
      <c r="E1328" s="609"/>
      <c r="J1328" s="190"/>
    </row>
    <row r="1329" spans="1:10" ht="13.35" customHeight="1">
      <c r="A1329" s="199" t="s">
        <v>403</v>
      </c>
      <c r="B1329" s="199" t="s">
        <v>403</v>
      </c>
      <c r="C1329" s="200" t="s">
        <v>405</v>
      </c>
      <c r="D1329" s="199" t="s">
        <v>404</v>
      </c>
      <c r="E1329" s="199" t="s">
        <v>403</v>
      </c>
      <c r="J1329" s="190"/>
    </row>
    <row r="1330" spans="1:10" ht="13.35" customHeight="1">
      <c r="A1330" s="610" t="e">
        <f t="shared" ref="A1330:A1336" si="253">A1322</f>
        <v>#N/A</v>
      </c>
      <c r="B1330" s="610"/>
      <c r="C1330" s="200" t="s">
        <v>405</v>
      </c>
      <c r="D1330" s="610" t="e">
        <f t="shared" ref="D1330:D1336" si="254">A1330</f>
        <v>#N/A</v>
      </c>
      <c r="E1330" s="610"/>
      <c r="J1330" s="190"/>
    </row>
    <row r="1331" spans="1:10" ht="13.35" customHeight="1">
      <c r="A1331" s="610" t="e">
        <f t="shared" si="253"/>
        <v>#N/A</v>
      </c>
      <c r="B1331" s="610"/>
      <c r="C1331" s="200" t="s">
        <v>405</v>
      </c>
      <c r="D1331" s="610" t="e">
        <f t="shared" si="254"/>
        <v>#N/A</v>
      </c>
      <c r="E1331" s="610"/>
      <c r="J1331" s="190"/>
    </row>
    <row r="1332" spans="1:10" ht="13.35" customHeight="1">
      <c r="A1332" s="182" t="e">
        <f t="shared" ca="1" si="253"/>
        <v>#N/A</v>
      </c>
      <c r="B1332" s="183" t="str">
        <f>B1324</f>
        <v xml:space="preserve">Lt: </v>
      </c>
      <c r="C1332" s="200" t="s">
        <v>405</v>
      </c>
      <c r="D1332" s="182" t="e">
        <f t="shared" ca="1" si="254"/>
        <v>#N/A</v>
      </c>
      <c r="E1332" s="183" t="str">
        <f>B1332</f>
        <v xml:space="preserve">Lt: </v>
      </c>
      <c r="J1332" s="190"/>
    </row>
    <row r="1333" spans="1:10" ht="13.35" customHeight="1">
      <c r="A1333" s="610" t="str">
        <f t="shared" si="253"/>
        <v xml:space="preserve">  0</v>
      </c>
      <c r="B1333" s="610"/>
      <c r="C1333" s="200" t="s">
        <v>405</v>
      </c>
      <c r="D1333" s="610" t="str">
        <f t="shared" si="254"/>
        <v xml:space="preserve">  0</v>
      </c>
      <c r="E1333" s="610"/>
      <c r="J1333" s="190"/>
    </row>
    <row r="1334" spans="1:10" ht="13.35" customHeight="1">
      <c r="A1334" s="609" t="str">
        <f t="shared" si="253"/>
        <v>QFP: JGARCIA   QFV: ADELTORO</v>
      </c>
      <c r="B1334" s="609"/>
      <c r="C1334" s="200" t="s">
        <v>405</v>
      </c>
      <c r="D1334" s="609" t="str">
        <f t="shared" si="254"/>
        <v>QFP: JGARCIA   QFV: ADELTORO</v>
      </c>
      <c r="E1334" s="609"/>
      <c r="J1334" s="190"/>
    </row>
    <row r="1335" spans="1:10" ht="13.35" customHeight="1">
      <c r="A1335" s="609" t="str">
        <f t="shared" si="253"/>
        <v>C.JPC/SEXTO NTE/SCOOP   Cama: NA</v>
      </c>
      <c r="B1335" s="609"/>
      <c r="C1335" s="200" t="s">
        <v>405</v>
      </c>
      <c r="D1335" s="609" t="str">
        <f t="shared" si="254"/>
        <v>C.JPC/SEXTO NTE/SCOOP   Cama: NA</v>
      </c>
      <c r="E1335" s="609"/>
      <c r="J1335" s="190"/>
    </row>
    <row r="1336" spans="1:10" ht="13.35" customHeight="1">
      <c r="A1336" s="609" t="str">
        <f t="shared" si="253"/>
        <v>UNIDOSSIS S.A.S.</v>
      </c>
      <c r="B1336" s="609"/>
      <c r="C1336" s="200" t="s">
        <v>405</v>
      </c>
      <c r="D1336" s="609" t="str">
        <f t="shared" si="254"/>
        <v>UNIDOSSIS S.A.S.</v>
      </c>
      <c r="E1336" s="609"/>
      <c r="J1336" s="190"/>
    </row>
    <row r="1337" spans="1:10" ht="13.35" customHeight="1">
      <c r="A1337" s="610" t="e">
        <f>'DATOS ETIQ'!B$45&amp;"  "&amp;'DATOS ETIQ'!C$45&amp;"  "&amp;'DATOS ETIQ'!D$45&amp;'DATOS ETIQ'!Q$45</f>
        <v>#N/A</v>
      </c>
      <c r="B1337" s="610"/>
      <c r="C1337" s="200" t="s">
        <v>405</v>
      </c>
      <c r="D1337" s="610" t="e">
        <f t="shared" ref="D1337:D1343" si="255">A1337</f>
        <v>#N/A</v>
      </c>
      <c r="E1337" s="610"/>
      <c r="J1337" s="190"/>
    </row>
    <row r="1338" spans="1:10" ht="13.35" customHeight="1" thickBot="1">
      <c r="A1338" s="610" t="e">
        <f>IF('DATOS ETIQ'!P$45=1,"Do: "&amp;'DATOS ETIQ'!F$45&amp;"mg   VolDo: "&amp;'DATOS ETIQ'!G$45&amp;"mL","Dilución 1/"&amp;'DATOS ETIQ'!P$45&amp;"  "&amp;'DATOS ETIQ'!E$45&amp;"mg/mL   Do: "&amp;'DATOS ETIQ'!F$45&amp;"mg   VolDo: "&amp;'DATOS ETIQ'!G$45&amp;"mL")</f>
        <v>#N/A</v>
      </c>
      <c r="B1338" s="610"/>
      <c r="C1338" s="200" t="s">
        <v>405</v>
      </c>
      <c r="D1338" s="610" t="e">
        <f t="shared" si="255"/>
        <v>#N/A</v>
      </c>
      <c r="E1338" s="610"/>
      <c r="J1338" s="190"/>
    </row>
    <row r="1339" spans="1:10" ht="13.35" customHeight="1">
      <c r="A1339" s="182" t="e">
        <f ca="1">'DATOS ETIQ'!H$45</f>
        <v>#N/A</v>
      </c>
      <c r="B1339" s="183" t="str">
        <f>"Lt: "&amp;'DATOS ETIQ'!I$45</f>
        <v xml:space="preserve">Lt: </v>
      </c>
      <c r="C1339" s="200" t="s">
        <v>405</v>
      </c>
      <c r="D1339" s="182" t="e">
        <f t="shared" ca="1" si="255"/>
        <v>#N/A</v>
      </c>
      <c r="E1339" s="183" t="str">
        <f>B1339</f>
        <v xml:space="preserve">Lt: </v>
      </c>
      <c r="G1339" s="611" t="e">
        <f>'FR PD 001 V1'!T49/4</f>
        <v>#N/A</v>
      </c>
      <c r="J1339" s="611">
        <v>44</v>
      </c>
    </row>
    <row r="1340" spans="1:10" ht="13.35" customHeight="1" thickBot="1">
      <c r="A1340" s="610" t="str">
        <f>'DATOS ETIQ'!J$45&amp;"  "&amp;'DATOS ETIQ'!K$45</f>
        <v xml:space="preserve">  0</v>
      </c>
      <c r="B1340" s="610"/>
      <c r="C1340" s="200" t="s">
        <v>405</v>
      </c>
      <c r="D1340" s="610" t="str">
        <f t="shared" si="255"/>
        <v xml:space="preserve">  0</v>
      </c>
      <c r="E1340" s="610"/>
      <c r="G1340" s="612"/>
      <c r="J1340" s="612"/>
    </row>
    <row r="1341" spans="1:10" ht="13.35" customHeight="1">
      <c r="A1341" s="609" t="str">
        <f>"QFP: "&amp;'DATOS ETIQ'!L$45&amp;"   QFV: "&amp;'DATOS ETIQ'!M$45</f>
        <v>QFP: JGARCIA   QFV: ADELTORO</v>
      </c>
      <c r="B1341" s="609"/>
      <c r="C1341" s="200" t="s">
        <v>405</v>
      </c>
      <c r="D1341" s="609" t="str">
        <f t="shared" si="255"/>
        <v>QFP: JGARCIA   QFV: ADELTORO</v>
      </c>
      <c r="E1341" s="609"/>
    </row>
    <row r="1342" spans="1:10" ht="13.35" customHeight="1">
      <c r="A1342" s="609" t="str">
        <f>'DATOS ETIQ'!N$45&amp;"   Cama: "&amp;'DATOS ETIQ'!O$45</f>
        <v>C.JPC/SEXTO NTE/SCOOP   Cama: NA</v>
      </c>
      <c r="B1342" s="609"/>
      <c r="C1342" s="200" t="s">
        <v>405</v>
      </c>
      <c r="D1342" s="609" t="str">
        <f t="shared" si="255"/>
        <v>C.JPC/SEXTO NTE/SCOOP   Cama: NA</v>
      </c>
      <c r="E1342" s="609"/>
    </row>
    <row r="1343" spans="1:10" ht="13.35" customHeight="1">
      <c r="A1343" s="609" t="s">
        <v>167</v>
      </c>
      <c r="B1343" s="609"/>
      <c r="C1343" s="200" t="s">
        <v>405</v>
      </c>
      <c r="D1343" s="609" t="str">
        <f t="shared" si="255"/>
        <v>UNIDOSSIS S.A.S.</v>
      </c>
      <c r="E1343" s="609"/>
    </row>
    <row r="1344" spans="1:10" ht="13.35" customHeight="1">
      <c r="C1344" s="200" t="s">
        <v>405</v>
      </c>
      <c r="D1344" s="197"/>
      <c r="E1344" s="197"/>
    </row>
    <row r="1345" spans="1:5" ht="13.35" customHeight="1">
      <c r="A1345" s="610" t="e">
        <f t="shared" ref="A1345:A1351" si="256">A1337</f>
        <v>#N/A</v>
      </c>
      <c r="B1345" s="610"/>
      <c r="C1345" s="200" t="s">
        <v>405</v>
      </c>
      <c r="D1345" s="610" t="e">
        <f t="shared" ref="D1345:D1351" si="257">A1345</f>
        <v>#N/A</v>
      </c>
      <c r="E1345" s="610"/>
    </row>
    <row r="1346" spans="1:5" ht="13.35" customHeight="1">
      <c r="A1346" s="610" t="e">
        <f t="shared" si="256"/>
        <v>#N/A</v>
      </c>
      <c r="B1346" s="610"/>
      <c r="C1346" s="200" t="s">
        <v>405</v>
      </c>
      <c r="D1346" s="610" t="e">
        <f t="shared" si="257"/>
        <v>#N/A</v>
      </c>
      <c r="E1346" s="610"/>
    </row>
    <row r="1347" spans="1:5" ht="13.35" customHeight="1">
      <c r="A1347" s="182" t="e">
        <f t="shared" ca="1" si="256"/>
        <v>#N/A</v>
      </c>
      <c r="B1347" s="183" t="str">
        <f>B1339</f>
        <v xml:space="preserve">Lt: </v>
      </c>
      <c r="C1347" s="200" t="s">
        <v>405</v>
      </c>
      <c r="D1347" s="182" t="e">
        <f t="shared" ca="1" si="257"/>
        <v>#N/A</v>
      </c>
      <c r="E1347" s="183" t="str">
        <f>B1347</f>
        <v xml:space="preserve">Lt: </v>
      </c>
    </row>
    <row r="1348" spans="1:5" ht="13.35" customHeight="1">
      <c r="A1348" s="610" t="str">
        <f t="shared" si="256"/>
        <v xml:space="preserve">  0</v>
      </c>
      <c r="B1348" s="610"/>
      <c r="C1348" s="200" t="s">
        <v>405</v>
      </c>
      <c r="D1348" s="610" t="str">
        <f t="shared" si="257"/>
        <v xml:space="preserve">  0</v>
      </c>
      <c r="E1348" s="610"/>
    </row>
    <row r="1349" spans="1:5" ht="13.35" customHeight="1">
      <c r="A1349" s="609" t="str">
        <f t="shared" si="256"/>
        <v>QFP: JGARCIA   QFV: ADELTORO</v>
      </c>
      <c r="B1349" s="609"/>
      <c r="C1349" s="200" t="s">
        <v>405</v>
      </c>
      <c r="D1349" s="609" t="str">
        <f t="shared" si="257"/>
        <v>QFP: JGARCIA   QFV: ADELTORO</v>
      </c>
      <c r="E1349" s="609"/>
    </row>
    <row r="1350" spans="1:5" ht="13.35" customHeight="1">
      <c r="A1350" s="609" t="str">
        <f t="shared" si="256"/>
        <v>C.JPC/SEXTO NTE/SCOOP   Cama: NA</v>
      </c>
      <c r="B1350" s="609"/>
      <c r="C1350" s="200" t="s">
        <v>405</v>
      </c>
      <c r="D1350" s="609" t="str">
        <f t="shared" si="257"/>
        <v>C.JPC/SEXTO NTE/SCOOP   Cama: NA</v>
      </c>
      <c r="E1350" s="609"/>
    </row>
    <row r="1351" spans="1:5" ht="13.35" customHeight="1">
      <c r="A1351" s="609" t="str">
        <f t="shared" si="256"/>
        <v>UNIDOSSIS S.A.S.</v>
      </c>
      <c r="B1351" s="609"/>
      <c r="C1351" s="200" t="s">
        <v>405</v>
      </c>
      <c r="D1351" s="609" t="str">
        <f t="shared" si="257"/>
        <v>UNIDOSSIS S.A.S.</v>
      </c>
      <c r="E1351" s="609"/>
    </row>
    <row r="1352" spans="1:5" ht="13.35" customHeight="1">
      <c r="C1352" s="200" t="s">
        <v>405</v>
      </c>
    </row>
    <row r="1353" spans="1:5" ht="13.35" customHeight="1">
      <c r="A1353" s="610" t="e">
        <f t="shared" ref="A1353:A1359" si="258">A1345</f>
        <v>#N/A</v>
      </c>
      <c r="B1353" s="610"/>
      <c r="C1353" s="200" t="s">
        <v>405</v>
      </c>
      <c r="D1353" s="610" t="e">
        <f t="shared" ref="D1353:D1359" si="259">A1353</f>
        <v>#N/A</v>
      </c>
      <c r="E1353" s="610"/>
    </row>
    <row r="1354" spans="1:5" ht="13.35" customHeight="1">
      <c r="A1354" s="610" t="e">
        <f t="shared" si="258"/>
        <v>#N/A</v>
      </c>
      <c r="B1354" s="610"/>
      <c r="C1354" s="200" t="s">
        <v>405</v>
      </c>
      <c r="D1354" s="610" t="e">
        <f t="shared" si="259"/>
        <v>#N/A</v>
      </c>
      <c r="E1354" s="610"/>
    </row>
    <row r="1355" spans="1:5" ht="13.35" customHeight="1">
      <c r="A1355" s="182" t="e">
        <f t="shared" ca="1" si="258"/>
        <v>#N/A</v>
      </c>
      <c r="B1355" s="183" t="str">
        <f>B1347</f>
        <v xml:space="preserve">Lt: </v>
      </c>
      <c r="C1355" s="200" t="s">
        <v>405</v>
      </c>
      <c r="D1355" s="182" t="e">
        <f t="shared" ca="1" si="259"/>
        <v>#N/A</v>
      </c>
      <c r="E1355" s="183" t="str">
        <f>B1355</f>
        <v xml:space="preserve">Lt: </v>
      </c>
    </row>
    <row r="1356" spans="1:5" ht="13.35" customHeight="1">
      <c r="A1356" s="610" t="str">
        <f t="shared" si="258"/>
        <v xml:space="preserve">  0</v>
      </c>
      <c r="B1356" s="610"/>
      <c r="C1356" s="200" t="s">
        <v>405</v>
      </c>
      <c r="D1356" s="610" t="str">
        <f t="shared" si="259"/>
        <v xml:space="preserve">  0</v>
      </c>
      <c r="E1356" s="610"/>
    </row>
    <row r="1357" spans="1:5" ht="13.35" customHeight="1">
      <c r="A1357" s="609" t="str">
        <f t="shared" si="258"/>
        <v>QFP: JGARCIA   QFV: ADELTORO</v>
      </c>
      <c r="B1357" s="609"/>
      <c r="C1357" s="200" t="s">
        <v>405</v>
      </c>
      <c r="D1357" s="609" t="str">
        <f t="shared" si="259"/>
        <v>QFP: JGARCIA   QFV: ADELTORO</v>
      </c>
      <c r="E1357" s="609"/>
    </row>
    <row r="1358" spans="1:5" ht="13.35" customHeight="1">
      <c r="A1358" s="609" t="str">
        <f t="shared" si="258"/>
        <v>C.JPC/SEXTO NTE/SCOOP   Cama: NA</v>
      </c>
      <c r="B1358" s="609"/>
      <c r="C1358" s="200" t="s">
        <v>405</v>
      </c>
      <c r="D1358" s="609" t="str">
        <f t="shared" si="259"/>
        <v>C.JPC/SEXTO NTE/SCOOP   Cama: NA</v>
      </c>
      <c r="E1358" s="609"/>
    </row>
    <row r="1359" spans="1:5" ht="13.35" customHeight="1">
      <c r="A1359" s="609" t="str">
        <f t="shared" si="258"/>
        <v>UNIDOSSIS S.A.S.</v>
      </c>
      <c r="B1359" s="609"/>
      <c r="C1359" s="200" t="s">
        <v>405</v>
      </c>
      <c r="D1359" s="609" t="str">
        <f t="shared" si="259"/>
        <v>UNIDOSSIS S.A.S.</v>
      </c>
      <c r="E1359" s="609"/>
    </row>
    <row r="1360" spans="1:5" ht="13.35" customHeight="1">
      <c r="C1360" s="200" t="s">
        <v>405</v>
      </c>
    </row>
    <row r="1361" spans="1:5" ht="13.35" customHeight="1">
      <c r="A1361" s="610" t="e">
        <f t="shared" ref="A1361:A1367" si="260">A1353</f>
        <v>#N/A</v>
      </c>
      <c r="B1361" s="610"/>
      <c r="C1361" s="200" t="s">
        <v>405</v>
      </c>
      <c r="D1361" s="610" t="e">
        <f t="shared" ref="D1361:D1367" si="261">A1361</f>
        <v>#N/A</v>
      </c>
      <c r="E1361" s="610"/>
    </row>
    <row r="1362" spans="1:5" ht="13.35" customHeight="1">
      <c r="A1362" s="610" t="e">
        <f t="shared" si="260"/>
        <v>#N/A</v>
      </c>
      <c r="B1362" s="610"/>
      <c r="C1362" s="200" t="s">
        <v>405</v>
      </c>
      <c r="D1362" s="610" t="e">
        <f t="shared" si="261"/>
        <v>#N/A</v>
      </c>
      <c r="E1362" s="610"/>
    </row>
    <row r="1363" spans="1:5" ht="13.35" customHeight="1">
      <c r="A1363" s="182" t="e">
        <f t="shared" ca="1" si="260"/>
        <v>#N/A</v>
      </c>
      <c r="B1363" s="183" t="str">
        <f>B1355</f>
        <v xml:space="preserve">Lt: </v>
      </c>
      <c r="C1363" s="200" t="s">
        <v>405</v>
      </c>
      <c r="D1363" s="182" t="e">
        <f t="shared" ca="1" si="261"/>
        <v>#N/A</v>
      </c>
      <c r="E1363" s="183" t="str">
        <f>B1363</f>
        <v xml:space="preserve">Lt: </v>
      </c>
    </row>
    <row r="1364" spans="1:5" ht="13.35" customHeight="1">
      <c r="A1364" s="610" t="str">
        <f t="shared" si="260"/>
        <v xml:space="preserve">  0</v>
      </c>
      <c r="B1364" s="610"/>
      <c r="C1364" s="200" t="s">
        <v>405</v>
      </c>
      <c r="D1364" s="610" t="str">
        <f t="shared" si="261"/>
        <v xml:space="preserve">  0</v>
      </c>
      <c r="E1364" s="610"/>
    </row>
    <row r="1365" spans="1:5" ht="13.35" customHeight="1">
      <c r="A1365" s="609" t="str">
        <f t="shared" si="260"/>
        <v>QFP: JGARCIA   QFV: ADELTORO</v>
      </c>
      <c r="B1365" s="609"/>
      <c r="C1365" s="200" t="s">
        <v>405</v>
      </c>
      <c r="D1365" s="609" t="str">
        <f t="shared" si="261"/>
        <v>QFP: JGARCIA   QFV: ADELTORO</v>
      </c>
      <c r="E1365" s="609"/>
    </row>
    <row r="1366" spans="1:5" ht="13.35" customHeight="1">
      <c r="A1366" s="609" t="str">
        <f t="shared" si="260"/>
        <v>C.JPC/SEXTO NTE/SCOOP   Cama: NA</v>
      </c>
      <c r="B1366" s="609"/>
      <c r="C1366" s="200" t="s">
        <v>405</v>
      </c>
      <c r="D1366" s="609" t="str">
        <f t="shared" si="261"/>
        <v>C.JPC/SEXTO NTE/SCOOP   Cama: NA</v>
      </c>
      <c r="E1366" s="609"/>
    </row>
    <row r="1367" spans="1:5" ht="13.35" customHeight="1">
      <c r="A1367" s="609" t="str">
        <f t="shared" si="260"/>
        <v>UNIDOSSIS S.A.S.</v>
      </c>
      <c r="B1367" s="609"/>
      <c r="C1367" s="200" t="s">
        <v>405</v>
      </c>
      <c r="D1367" s="609" t="str">
        <f t="shared" si="261"/>
        <v>UNIDOSSIS S.A.S.</v>
      </c>
      <c r="E1367" s="609"/>
    </row>
  </sheetData>
  <mergeCells count="2203">
    <mergeCell ref="A9:B9"/>
    <mergeCell ref="D9:E9"/>
    <mergeCell ref="A10:B10"/>
    <mergeCell ref="D10:E10"/>
    <mergeCell ref="A12:B12"/>
    <mergeCell ref="D12:E12"/>
    <mergeCell ref="G6:G7"/>
    <mergeCell ref="J6:J7"/>
    <mergeCell ref="A7:B7"/>
    <mergeCell ref="D7:E7"/>
    <mergeCell ref="A8:B8"/>
    <mergeCell ref="D8:E8"/>
    <mergeCell ref="A1:E3"/>
    <mergeCell ref="G1:G3"/>
    <mergeCell ref="J1:J3"/>
    <mergeCell ref="A4:B4"/>
    <mergeCell ref="D4:E4"/>
    <mergeCell ref="A5:B5"/>
    <mergeCell ref="D5:E5"/>
    <mergeCell ref="G37:G38"/>
    <mergeCell ref="J37:J38"/>
    <mergeCell ref="A38:B38"/>
    <mergeCell ref="D38:E38"/>
    <mergeCell ref="A17:B17"/>
    <mergeCell ref="D17:E17"/>
    <mergeCell ref="A18:B18"/>
    <mergeCell ref="D18:E18"/>
    <mergeCell ref="A35:B35"/>
    <mergeCell ref="D35:E35"/>
    <mergeCell ref="A20:B20"/>
    <mergeCell ref="D20:E20"/>
    <mergeCell ref="A21:B21"/>
    <mergeCell ref="D21:E21"/>
    <mergeCell ref="A13:B13"/>
    <mergeCell ref="D13:E13"/>
    <mergeCell ref="A15:B15"/>
    <mergeCell ref="D15:E15"/>
    <mergeCell ref="A16:B16"/>
    <mergeCell ref="D16:E16"/>
    <mergeCell ref="A26:B26"/>
    <mergeCell ref="D26:E26"/>
    <mergeCell ref="A23:B23"/>
    <mergeCell ref="D23:E23"/>
    <mergeCell ref="A24:B24"/>
    <mergeCell ref="D24:E24"/>
    <mergeCell ref="A25:B25"/>
    <mergeCell ref="D25:E25"/>
    <mergeCell ref="A28:B28"/>
    <mergeCell ref="D28:E28"/>
    <mergeCell ref="A29:B29"/>
    <mergeCell ref="D29:E29"/>
    <mergeCell ref="A66:B66"/>
    <mergeCell ref="D66:E66"/>
    <mergeCell ref="A67:B67"/>
    <mergeCell ref="D67:E67"/>
    <mergeCell ref="G68:G69"/>
    <mergeCell ref="J68:J69"/>
    <mergeCell ref="A69:B69"/>
    <mergeCell ref="D69:E69"/>
    <mergeCell ref="A47:B47"/>
    <mergeCell ref="D47:E47"/>
    <mergeCell ref="A48:B48"/>
    <mergeCell ref="D48:E48"/>
    <mergeCell ref="A49:B49"/>
    <mergeCell ref="D49:E49"/>
    <mergeCell ref="A43:B43"/>
    <mergeCell ref="D43:E43"/>
    <mergeCell ref="A44:B44"/>
    <mergeCell ref="D44:E44"/>
    <mergeCell ref="A46:B46"/>
    <mergeCell ref="D46:E46"/>
    <mergeCell ref="A51:B51"/>
    <mergeCell ref="D51:E51"/>
    <mergeCell ref="A52:B52"/>
    <mergeCell ref="D52:E52"/>
    <mergeCell ref="A54:B54"/>
    <mergeCell ref="D54:E54"/>
    <mergeCell ref="A64:B64"/>
    <mergeCell ref="D64:E64"/>
    <mergeCell ref="A65:B65"/>
    <mergeCell ref="D65:E65"/>
    <mergeCell ref="G99:G100"/>
    <mergeCell ref="J99:J100"/>
    <mergeCell ref="A100:B100"/>
    <mergeCell ref="D100:E100"/>
    <mergeCell ref="A78:B78"/>
    <mergeCell ref="D78:E78"/>
    <mergeCell ref="A79:B79"/>
    <mergeCell ref="D79:E79"/>
    <mergeCell ref="A80:B80"/>
    <mergeCell ref="D80:E80"/>
    <mergeCell ref="A74:B74"/>
    <mergeCell ref="D74:E74"/>
    <mergeCell ref="A75:B75"/>
    <mergeCell ref="D75:E75"/>
    <mergeCell ref="A77:B77"/>
    <mergeCell ref="D77:E77"/>
    <mergeCell ref="A70:B70"/>
    <mergeCell ref="D70:E70"/>
    <mergeCell ref="A71:B71"/>
    <mergeCell ref="D71:E71"/>
    <mergeCell ref="A72:B72"/>
    <mergeCell ref="D72:E72"/>
    <mergeCell ref="A90:B90"/>
    <mergeCell ref="D90:E90"/>
    <mergeCell ref="A91:B91"/>
    <mergeCell ref="D91:E91"/>
    <mergeCell ref="A93:B93"/>
    <mergeCell ref="D93:E93"/>
    <mergeCell ref="A86:B86"/>
    <mergeCell ref="D86:E86"/>
    <mergeCell ref="A87:B87"/>
    <mergeCell ref="D87:E87"/>
    <mergeCell ref="G130:G131"/>
    <mergeCell ref="J130:J131"/>
    <mergeCell ref="A131:B131"/>
    <mergeCell ref="D131:E131"/>
    <mergeCell ref="A109:B109"/>
    <mergeCell ref="D109:E109"/>
    <mergeCell ref="A110:B110"/>
    <mergeCell ref="D110:E110"/>
    <mergeCell ref="A111:B111"/>
    <mergeCell ref="D111:E111"/>
    <mergeCell ref="A105:B105"/>
    <mergeCell ref="D105:E105"/>
    <mergeCell ref="A106:B106"/>
    <mergeCell ref="D106:E106"/>
    <mergeCell ref="A108:B108"/>
    <mergeCell ref="D108:E108"/>
    <mergeCell ref="A101:B101"/>
    <mergeCell ref="D101:E101"/>
    <mergeCell ref="A102:B102"/>
    <mergeCell ref="D102:E102"/>
    <mergeCell ref="A103:B103"/>
    <mergeCell ref="D103:E103"/>
    <mergeCell ref="A125:B125"/>
    <mergeCell ref="D125:E125"/>
    <mergeCell ref="A126:B126"/>
    <mergeCell ref="D126:E126"/>
    <mergeCell ref="A127:B127"/>
    <mergeCell ref="D127:E127"/>
    <mergeCell ref="A121:B121"/>
    <mergeCell ref="D121:E121"/>
    <mergeCell ref="A122:B122"/>
    <mergeCell ref="D122:E122"/>
    <mergeCell ref="A159:B159"/>
    <mergeCell ref="D159:E159"/>
    <mergeCell ref="A160:B160"/>
    <mergeCell ref="D160:E160"/>
    <mergeCell ref="G161:G162"/>
    <mergeCell ref="J161:J162"/>
    <mergeCell ref="A162:B162"/>
    <mergeCell ref="D162:E162"/>
    <mergeCell ref="A140:B140"/>
    <mergeCell ref="D140:E140"/>
    <mergeCell ref="A141:B141"/>
    <mergeCell ref="D141:E141"/>
    <mergeCell ref="A142:B142"/>
    <mergeCell ref="D142:E142"/>
    <mergeCell ref="A136:B136"/>
    <mergeCell ref="D136:E136"/>
    <mergeCell ref="A137:B137"/>
    <mergeCell ref="D137:E137"/>
    <mergeCell ref="A139:B139"/>
    <mergeCell ref="D139:E139"/>
    <mergeCell ref="A144:B144"/>
    <mergeCell ref="D144:E144"/>
    <mergeCell ref="A145:B145"/>
    <mergeCell ref="D145:E145"/>
    <mergeCell ref="A147:B147"/>
    <mergeCell ref="D147:E147"/>
    <mergeCell ref="G192:G193"/>
    <mergeCell ref="J192:J193"/>
    <mergeCell ref="A193:B193"/>
    <mergeCell ref="D193:E193"/>
    <mergeCell ref="A171:B171"/>
    <mergeCell ref="D171:E171"/>
    <mergeCell ref="A172:B172"/>
    <mergeCell ref="D172:E172"/>
    <mergeCell ref="A173:B173"/>
    <mergeCell ref="D173:E173"/>
    <mergeCell ref="A167:B167"/>
    <mergeCell ref="D167:E167"/>
    <mergeCell ref="A168:B168"/>
    <mergeCell ref="D168:E168"/>
    <mergeCell ref="A170:B170"/>
    <mergeCell ref="D170:E170"/>
    <mergeCell ref="A163:B163"/>
    <mergeCell ref="D163:E163"/>
    <mergeCell ref="A164:B164"/>
    <mergeCell ref="D164:E164"/>
    <mergeCell ref="A165:B165"/>
    <mergeCell ref="D165:E165"/>
    <mergeCell ref="A183:B183"/>
    <mergeCell ref="D183:E183"/>
    <mergeCell ref="A184:B184"/>
    <mergeCell ref="D184:E184"/>
    <mergeCell ref="A186:B186"/>
    <mergeCell ref="D186:E186"/>
    <mergeCell ref="A179:B179"/>
    <mergeCell ref="D179:E179"/>
    <mergeCell ref="A180:B180"/>
    <mergeCell ref="D180:E180"/>
    <mergeCell ref="G223:G224"/>
    <mergeCell ref="J223:J224"/>
    <mergeCell ref="A224:B224"/>
    <mergeCell ref="D224:E224"/>
    <mergeCell ref="A202:B202"/>
    <mergeCell ref="D202:E202"/>
    <mergeCell ref="A203:B203"/>
    <mergeCell ref="D203:E203"/>
    <mergeCell ref="A204:B204"/>
    <mergeCell ref="D204:E204"/>
    <mergeCell ref="A198:B198"/>
    <mergeCell ref="D198:E198"/>
    <mergeCell ref="A199:B199"/>
    <mergeCell ref="D199:E199"/>
    <mergeCell ref="A201:B201"/>
    <mergeCell ref="D201:E201"/>
    <mergeCell ref="A194:B194"/>
    <mergeCell ref="D194:E194"/>
    <mergeCell ref="A195:B195"/>
    <mergeCell ref="D195:E195"/>
    <mergeCell ref="A196:B196"/>
    <mergeCell ref="D196:E196"/>
    <mergeCell ref="A218:B218"/>
    <mergeCell ref="D218:E218"/>
    <mergeCell ref="A219:B219"/>
    <mergeCell ref="D219:E219"/>
    <mergeCell ref="A220:B220"/>
    <mergeCell ref="D220:E220"/>
    <mergeCell ref="A214:B214"/>
    <mergeCell ref="D214:E214"/>
    <mergeCell ref="A215:B215"/>
    <mergeCell ref="D215:E215"/>
    <mergeCell ref="A252:B252"/>
    <mergeCell ref="D252:E252"/>
    <mergeCell ref="A253:B253"/>
    <mergeCell ref="D253:E253"/>
    <mergeCell ref="G254:G255"/>
    <mergeCell ref="J254:J255"/>
    <mergeCell ref="A255:B255"/>
    <mergeCell ref="D255:E255"/>
    <mergeCell ref="A233:B233"/>
    <mergeCell ref="D233:E233"/>
    <mergeCell ref="A234:B234"/>
    <mergeCell ref="D234:E234"/>
    <mergeCell ref="A235:B235"/>
    <mergeCell ref="D235:E235"/>
    <mergeCell ref="A229:B229"/>
    <mergeCell ref="D229:E229"/>
    <mergeCell ref="A230:B230"/>
    <mergeCell ref="D230:E230"/>
    <mergeCell ref="A232:B232"/>
    <mergeCell ref="D232:E232"/>
    <mergeCell ref="A237:B237"/>
    <mergeCell ref="D237:E237"/>
    <mergeCell ref="A238:B238"/>
    <mergeCell ref="D238:E238"/>
    <mergeCell ref="A240:B240"/>
    <mergeCell ref="D240:E240"/>
    <mergeCell ref="G285:G286"/>
    <mergeCell ref="J285:J286"/>
    <mergeCell ref="A286:B286"/>
    <mergeCell ref="D286:E286"/>
    <mergeCell ref="A264:B264"/>
    <mergeCell ref="D264:E264"/>
    <mergeCell ref="A265:B265"/>
    <mergeCell ref="D265:E265"/>
    <mergeCell ref="A266:B266"/>
    <mergeCell ref="D266:E266"/>
    <mergeCell ref="A260:B260"/>
    <mergeCell ref="D260:E260"/>
    <mergeCell ref="A261:B261"/>
    <mergeCell ref="D261:E261"/>
    <mergeCell ref="A263:B263"/>
    <mergeCell ref="D263:E263"/>
    <mergeCell ref="A256:B256"/>
    <mergeCell ref="D256:E256"/>
    <mergeCell ref="A257:B257"/>
    <mergeCell ref="D257:E257"/>
    <mergeCell ref="A258:B258"/>
    <mergeCell ref="D258:E258"/>
    <mergeCell ref="A276:B276"/>
    <mergeCell ref="D276:E276"/>
    <mergeCell ref="A277:B277"/>
    <mergeCell ref="D277:E277"/>
    <mergeCell ref="A279:B279"/>
    <mergeCell ref="D279:E279"/>
    <mergeCell ref="A272:B272"/>
    <mergeCell ref="D272:E272"/>
    <mergeCell ref="A273:B273"/>
    <mergeCell ref="D273:E273"/>
    <mergeCell ref="G316:G317"/>
    <mergeCell ref="J316:J317"/>
    <mergeCell ref="A317:B317"/>
    <mergeCell ref="D317:E317"/>
    <mergeCell ref="A295:B295"/>
    <mergeCell ref="D295:E295"/>
    <mergeCell ref="A296:B296"/>
    <mergeCell ref="D296:E296"/>
    <mergeCell ref="A297:B297"/>
    <mergeCell ref="D297:E297"/>
    <mergeCell ref="A291:B291"/>
    <mergeCell ref="D291:E291"/>
    <mergeCell ref="A292:B292"/>
    <mergeCell ref="D292:E292"/>
    <mergeCell ref="A294:B294"/>
    <mergeCell ref="D294:E294"/>
    <mergeCell ref="A287:B287"/>
    <mergeCell ref="D287:E287"/>
    <mergeCell ref="A288:B288"/>
    <mergeCell ref="D288:E288"/>
    <mergeCell ref="A289:B289"/>
    <mergeCell ref="D289:E289"/>
    <mergeCell ref="A311:B311"/>
    <mergeCell ref="D311:E311"/>
    <mergeCell ref="A312:B312"/>
    <mergeCell ref="D312:E312"/>
    <mergeCell ref="A313:B313"/>
    <mergeCell ref="D313:E313"/>
    <mergeCell ref="A307:B307"/>
    <mergeCell ref="D307:E307"/>
    <mergeCell ref="A308:B308"/>
    <mergeCell ref="D308:E308"/>
    <mergeCell ref="A345:B345"/>
    <mergeCell ref="D345:E345"/>
    <mergeCell ref="A346:B346"/>
    <mergeCell ref="D346:E346"/>
    <mergeCell ref="G347:G348"/>
    <mergeCell ref="J347:J348"/>
    <mergeCell ref="A348:B348"/>
    <mergeCell ref="D348:E348"/>
    <mergeCell ref="A326:B326"/>
    <mergeCell ref="D326:E326"/>
    <mergeCell ref="A327:B327"/>
    <mergeCell ref="D327:E327"/>
    <mergeCell ref="A328:B328"/>
    <mergeCell ref="D328:E328"/>
    <mergeCell ref="A322:B322"/>
    <mergeCell ref="D322:E322"/>
    <mergeCell ref="A323:B323"/>
    <mergeCell ref="D323:E323"/>
    <mergeCell ref="A325:B325"/>
    <mergeCell ref="D325:E325"/>
    <mergeCell ref="A330:B330"/>
    <mergeCell ref="D330:E330"/>
    <mergeCell ref="A331:B331"/>
    <mergeCell ref="D331:E331"/>
    <mergeCell ref="A333:B333"/>
    <mergeCell ref="D333:E333"/>
    <mergeCell ref="G378:G379"/>
    <mergeCell ref="J378:J379"/>
    <mergeCell ref="A379:B379"/>
    <mergeCell ref="D379:E379"/>
    <mergeCell ref="A357:B357"/>
    <mergeCell ref="D357:E357"/>
    <mergeCell ref="A358:B358"/>
    <mergeCell ref="D358:E358"/>
    <mergeCell ref="A359:B359"/>
    <mergeCell ref="D359:E359"/>
    <mergeCell ref="A353:B353"/>
    <mergeCell ref="D353:E353"/>
    <mergeCell ref="A354:B354"/>
    <mergeCell ref="D354:E354"/>
    <mergeCell ref="A356:B356"/>
    <mergeCell ref="D356:E356"/>
    <mergeCell ref="A349:B349"/>
    <mergeCell ref="D349:E349"/>
    <mergeCell ref="A350:B350"/>
    <mergeCell ref="D350:E350"/>
    <mergeCell ref="A351:B351"/>
    <mergeCell ref="D351:E351"/>
    <mergeCell ref="A369:B369"/>
    <mergeCell ref="D369:E369"/>
    <mergeCell ref="A370:B370"/>
    <mergeCell ref="D370:E370"/>
    <mergeCell ref="A372:B372"/>
    <mergeCell ref="D372:E372"/>
    <mergeCell ref="A365:B365"/>
    <mergeCell ref="D365:E365"/>
    <mergeCell ref="A366:B366"/>
    <mergeCell ref="D366:E366"/>
    <mergeCell ref="G409:G410"/>
    <mergeCell ref="J409:J410"/>
    <mergeCell ref="A410:B410"/>
    <mergeCell ref="D410:E410"/>
    <mergeCell ref="A388:B388"/>
    <mergeCell ref="D388:E388"/>
    <mergeCell ref="A389:B389"/>
    <mergeCell ref="D389:E389"/>
    <mergeCell ref="A390:B390"/>
    <mergeCell ref="D390:E390"/>
    <mergeCell ref="A384:B384"/>
    <mergeCell ref="D384:E384"/>
    <mergeCell ref="A385:B385"/>
    <mergeCell ref="D385:E385"/>
    <mergeCell ref="A387:B387"/>
    <mergeCell ref="D387:E387"/>
    <mergeCell ref="A380:B380"/>
    <mergeCell ref="D380:E380"/>
    <mergeCell ref="A381:B381"/>
    <mergeCell ref="D381:E381"/>
    <mergeCell ref="A382:B382"/>
    <mergeCell ref="D382:E382"/>
    <mergeCell ref="A404:B404"/>
    <mergeCell ref="D404:E404"/>
    <mergeCell ref="A405:B405"/>
    <mergeCell ref="D405:E405"/>
    <mergeCell ref="A406:B406"/>
    <mergeCell ref="D406:E406"/>
    <mergeCell ref="A400:B400"/>
    <mergeCell ref="D400:E400"/>
    <mergeCell ref="A401:B401"/>
    <mergeCell ref="D401:E401"/>
    <mergeCell ref="A438:B438"/>
    <mergeCell ref="D438:E438"/>
    <mergeCell ref="A439:B439"/>
    <mergeCell ref="D439:E439"/>
    <mergeCell ref="G440:G441"/>
    <mergeCell ref="J440:J441"/>
    <mergeCell ref="A441:B441"/>
    <mergeCell ref="D441:E441"/>
    <mergeCell ref="A419:B419"/>
    <mergeCell ref="D419:E419"/>
    <mergeCell ref="A420:B420"/>
    <mergeCell ref="D420:E420"/>
    <mergeCell ref="A421:B421"/>
    <mergeCell ref="D421:E421"/>
    <mergeCell ref="A415:B415"/>
    <mergeCell ref="D415:E415"/>
    <mergeCell ref="A416:B416"/>
    <mergeCell ref="D416:E416"/>
    <mergeCell ref="A418:B418"/>
    <mergeCell ref="D418:E418"/>
    <mergeCell ref="A423:B423"/>
    <mergeCell ref="D423:E423"/>
    <mergeCell ref="A424:B424"/>
    <mergeCell ref="D424:E424"/>
    <mergeCell ref="A426:B426"/>
    <mergeCell ref="D426:E426"/>
    <mergeCell ref="G471:G472"/>
    <mergeCell ref="J471:J472"/>
    <mergeCell ref="A472:B472"/>
    <mergeCell ref="D472:E472"/>
    <mergeCell ref="A450:B450"/>
    <mergeCell ref="D450:E450"/>
    <mergeCell ref="A451:B451"/>
    <mergeCell ref="D451:E451"/>
    <mergeCell ref="A452:B452"/>
    <mergeCell ref="D452:E452"/>
    <mergeCell ref="A446:B446"/>
    <mergeCell ref="D446:E446"/>
    <mergeCell ref="A447:B447"/>
    <mergeCell ref="D447:E447"/>
    <mergeCell ref="A449:B449"/>
    <mergeCell ref="D449:E449"/>
    <mergeCell ref="A442:B442"/>
    <mergeCell ref="D442:E442"/>
    <mergeCell ref="A443:B443"/>
    <mergeCell ref="D443:E443"/>
    <mergeCell ref="A444:B444"/>
    <mergeCell ref="D444:E444"/>
    <mergeCell ref="A462:B462"/>
    <mergeCell ref="D462:E462"/>
    <mergeCell ref="A463:B463"/>
    <mergeCell ref="D463:E463"/>
    <mergeCell ref="A465:B465"/>
    <mergeCell ref="D465:E465"/>
    <mergeCell ref="A458:B458"/>
    <mergeCell ref="D458:E458"/>
    <mergeCell ref="A459:B459"/>
    <mergeCell ref="D459:E459"/>
    <mergeCell ref="G502:G503"/>
    <mergeCell ref="J502:J503"/>
    <mergeCell ref="A503:B503"/>
    <mergeCell ref="D503:E503"/>
    <mergeCell ref="A481:B481"/>
    <mergeCell ref="D481:E481"/>
    <mergeCell ref="A482:B482"/>
    <mergeCell ref="D482:E482"/>
    <mergeCell ref="A483:B483"/>
    <mergeCell ref="D483:E483"/>
    <mergeCell ref="A477:B477"/>
    <mergeCell ref="D477:E477"/>
    <mergeCell ref="A478:B478"/>
    <mergeCell ref="D478:E478"/>
    <mergeCell ref="A480:B480"/>
    <mergeCell ref="D480:E480"/>
    <mergeCell ref="A473:B473"/>
    <mergeCell ref="D473:E473"/>
    <mergeCell ref="A474:B474"/>
    <mergeCell ref="D474:E474"/>
    <mergeCell ref="A475:B475"/>
    <mergeCell ref="D475:E475"/>
    <mergeCell ref="A497:B497"/>
    <mergeCell ref="D497:E497"/>
    <mergeCell ref="A498:B498"/>
    <mergeCell ref="D498:E498"/>
    <mergeCell ref="A499:B499"/>
    <mergeCell ref="D499:E499"/>
    <mergeCell ref="A493:B493"/>
    <mergeCell ref="D493:E493"/>
    <mergeCell ref="A494:B494"/>
    <mergeCell ref="D494:E494"/>
    <mergeCell ref="A531:B531"/>
    <mergeCell ref="D531:E531"/>
    <mergeCell ref="A532:B532"/>
    <mergeCell ref="D532:E532"/>
    <mergeCell ref="G533:G534"/>
    <mergeCell ref="J533:J534"/>
    <mergeCell ref="A534:B534"/>
    <mergeCell ref="D534:E534"/>
    <mergeCell ref="A512:B512"/>
    <mergeCell ref="D512:E512"/>
    <mergeCell ref="A513:B513"/>
    <mergeCell ref="D513:E513"/>
    <mergeCell ref="A514:B514"/>
    <mergeCell ref="D514:E514"/>
    <mergeCell ref="A508:B508"/>
    <mergeCell ref="D508:E508"/>
    <mergeCell ref="A509:B509"/>
    <mergeCell ref="D509:E509"/>
    <mergeCell ref="A511:B511"/>
    <mergeCell ref="D511:E511"/>
    <mergeCell ref="A516:B516"/>
    <mergeCell ref="D516:E516"/>
    <mergeCell ref="A517:B517"/>
    <mergeCell ref="D517:E517"/>
    <mergeCell ref="A519:B519"/>
    <mergeCell ref="D519:E519"/>
    <mergeCell ref="G564:G565"/>
    <mergeCell ref="J564:J565"/>
    <mergeCell ref="A565:B565"/>
    <mergeCell ref="D565:E565"/>
    <mergeCell ref="A543:B543"/>
    <mergeCell ref="D543:E543"/>
    <mergeCell ref="A544:B544"/>
    <mergeCell ref="D544:E544"/>
    <mergeCell ref="A545:B545"/>
    <mergeCell ref="D545:E545"/>
    <mergeCell ref="A539:B539"/>
    <mergeCell ref="D539:E539"/>
    <mergeCell ref="A540:B540"/>
    <mergeCell ref="D540:E540"/>
    <mergeCell ref="A542:B542"/>
    <mergeCell ref="D542:E542"/>
    <mergeCell ref="A535:B535"/>
    <mergeCell ref="D535:E535"/>
    <mergeCell ref="A536:B536"/>
    <mergeCell ref="D536:E536"/>
    <mergeCell ref="A537:B537"/>
    <mergeCell ref="D537:E537"/>
    <mergeCell ref="A555:B555"/>
    <mergeCell ref="D555:E555"/>
    <mergeCell ref="A556:B556"/>
    <mergeCell ref="D556:E556"/>
    <mergeCell ref="A558:B558"/>
    <mergeCell ref="D558:E558"/>
    <mergeCell ref="A551:B551"/>
    <mergeCell ref="D551:E551"/>
    <mergeCell ref="A552:B552"/>
    <mergeCell ref="D552:E552"/>
    <mergeCell ref="G595:G596"/>
    <mergeCell ref="J595:J596"/>
    <mergeCell ref="A596:B596"/>
    <mergeCell ref="D596:E596"/>
    <mergeCell ref="A574:B574"/>
    <mergeCell ref="D574:E574"/>
    <mergeCell ref="A575:B575"/>
    <mergeCell ref="D575:E575"/>
    <mergeCell ref="A576:B576"/>
    <mergeCell ref="D576:E576"/>
    <mergeCell ref="A570:B570"/>
    <mergeCell ref="D570:E570"/>
    <mergeCell ref="A571:B571"/>
    <mergeCell ref="D571:E571"/>
    <mergeCell ref="A573:B573"/>
    <mergeCell ref="D573:E573"/>
    <mergeCell ref="A566:B566"/>
    <mergeCell ref="D566:E566"/>
    <mergeCell ref="A567:B567"/>
    <mergeCell ref="D567:E567"/>
    <mergeCell ref="A568:B568"/>
    <mergeCell ref="D568:E568"/>
    <mergeCell ref="A590:B590"/>
    <mergeCell ref="D590:E590"/>
    <mergeCell ref="A591:B591"/>
    <mergeCell ref="D591:E591"/>
    <mergeCell ref="A592:B592"/>
    <mergeCell ref="D592:E592"/>
    <mergeCell ref="A586:B586"/>
    <mergeCell ref="D586:E586"/>
    <mergeCell ref="A587:B587"/>
    <mergeCell ref="D587:E587"/>
    <mergeCell ref="A624:B624"/>
    <mergeCell ref="D624:E624"/>
    <mergeCell ref="A625:B625"/>
    <mergeCell ref="D625:E625"/>
    <mergeCell ref="G626:G627"/>
    <mergeCell ref="J626:J627"/>
    <mergeCell ref="A627:B627"/>
    <mergeCell ref="D627:E627"/>
    <mergeCell ref="A605:B605"/>
    <mergeCell ref="D605:E605"/>
    <mergeCell ref="A606:B606"/>
    <mergeCell ref="D606:E606"/>
    <mergeCell ref="A607:B607"/>
    <mergeCell ref="D607:E607"/>
    <mergeCell ref="A601:B601"/>
    <mergeCell ref="D601:E601"/>
    <mergeCell ref="A602:B602"/>
    <mergeCell ref="D602:E602"/>
    <mergeCell ref="A604:B604"/>
    <mergeCell ref="D604:E604"/>
    <mergeCell ref="A609:B609"/>
    <mergeCell ref="D609:E609"/>
    <mergeCell ref="A610:B610"/>
    <mergeCell ref="D610:E610"/>
    <mergeCell ref="A612:B612"/>
    <mergeCell ref="D612:E612"/>
    <mergeCell ref="G657:G658"/>
    <mergeCell ref="J657:J658"/>
    <mergeCell ref="A658:B658"/>
    <mergeCell ref="D658:E658"/>
    <mergeCell ref="A636:B636"/>
    <mergeCell ref="D636:E636"/>
    <mergeCell ref="A637:B637"/>
    <mergeCell ref="D637:E637"/>
    <mergeCell ref="A638:B638"/>
    <mergeCell ref="D638:E638"/>
    <mergeCell ref="A632:B632"/>
    <mergeCell ref="D632:E632"/>
    <mergeCell ref="A633:B633"/>
    <mergeCell ref="D633:E633"/>
    <mergeCell ref="A635:B635"/>
    <mergeCell ref="D635:E635"/>
    <mergeCell ref="A628:B628"/>
    <mergeCell ref="D628:E628"/>
    <mergeCell ref="A629:B629"/>
    <mergeCell ref="D629:E629"/>
    <mergeCell ref="A630:B630"/>
    <mergeCell ref="D630:E630"/>
    <mergeCell ref="A648:B648"/>
    <mergeCell ref="D648:E648"/>
    <mergeCell ref="A649:B649"/>
    <mergeCell ref="D649:E649"/>
    <mergeCell ref="A651:B651"/>
    <mergeCell ref="D651:E651"/>
    <mergeCell ref="A644:B644"/>
    <mergeCell ref="D644:E644"/>
    <mergeCell ref="A645:B645"/>
    <mergeCell ref="D645:E645"/>
    <mergeCell ref="G688:G689"/>
    <mergeCell ref="J688:J689"/>
    <mergeCell ref="A689:B689"/>
    <mergeCell ref="D689:E689"/>
    <mergeCell ref="A667:B667"/>
    <mergeCell ref="D667:E667"/>
    <mergeCell ref="A668:B668"/>
    <mergeCell ref="D668:E668"/>
    <mergeCell ref="A669:B669"/>
    <mergeCell ref="D669:E669"/>
    <mergeCell ref="A663:B663"/>
    <mergeCell ref="D663:E663"/>
    <mergeCell ref="A664:B664"/>
    <mergeCell ref="D664:E664"/>
    <mergeCell ref="A666:B666"/>
    <mergeCell ref="D666:E666"/>
    <mergeCell ref="A659:B659"/>
    <mergeCell ref="D659:E659"/>
    <mergeCell ref="A660:B660"/>
    <mergeCell ref="D660:E660"/>
    <mergeCell ref="A661:B661"/>
    <mergeCell ref="D661:E661"/>
    <mergeCell ref="A683:B683"/>
    <mergeCell ref="D683:E683"/>
    <mergeCell ref="A684:B684"/>
    <mergeCell ref="D684:E684"/>
    <mergeCell ref="A685:B685"/>
    <mergeCell ref="D685:E685"/>
    <mergeCell ref="A679:B679"/>
    <mergeCell ref="D679:E679"/>
    <mergeCell ref="A680:B680"/>
    <mergeCell ref="D680:E680"/>
    <mergeCell ref="A717:B717"/>
    <mergeCell ref="D717:E717"/>
    <mergeCell ref="A718:B718"/>
    <mergeCell ref="D718:E718"/>
    <mergeCell ref="G719:G720"/>
    <mergeCell ref="J719:J720"/>
    <mergeCell ref="A720:B720"/>
    <mergeCell ref="D720:E720"/>
    <mergeCell ref="A698:B698"/>
    <mergeCell ref="D698:E698"/>
    <mergeCell ref="A699:B699"/>
    <mergeCell ref="D699:E699"/>
    <mergeCell ref="A700:B700"/>
    <mergeCell ref="D700:E700"/>
    <mergeCell ref="A694:B694"/>
    <mergeCell ref="D694:E694"/>
    <mergeCell ref="A695:B695"/>
    <mergeCell ref="D695:E695"/>
    <mergeCell ref="A697:B697"/>
    <mergeCell ref="D697:E697"/>
    <mergeCell ref="A702:B702"/>
    <mergeCell ref="D702:E702"/>
    <mergeCell ref="A703:B703"/>
    <mergeCell ref="D703:E703"/>
    <mergeCell ref="A705:B705"/>
    <mergeCell ref="D705:E705"/>
    <mergeCell ref="G750:G751"/>
    <mergeCell ref="J750:J751"/>
    <mergeCell ref="A751:B751"/>
    <mergeCell ref="D751:E751"/>
    <mergeCell ref="A729:B729"/>
    <mergeCell ref="D729:E729"/>
    <mergeCell ref="A730:B730"/>
    <mergeCell ref="D730:E730"/>
    <mergeCell ref="A731:B731"/>
    <mergeCell ref="D731:E731"/>
    <mergeCell ref="A725:B725"/>
    <mergeCell ref="D725:E725"/>
    <mergeCell ref="A726:B726"/>
    <mergeCell ref="D726:E726"/>
    <mergeCell ref="A728:B728"/>
    <mergeCell ref="D728:E728"/>
    <mergeCell ref="A721:B721"/>
    <mergeCell ref="D721:E721"/>
    <mergeCell ref="A722:B722"/>
    <mergeCell ref="D722:E722"/>
    <mergeCell ref="A723:B723"/>
    <mergeCell ref="D723:E723"/>
    <mergeCell ref="A741:B741"/>
    <mergeCell ref="D741:E741"/>
    <mergeCell ref="A742:B742"/>
    <mergeCell ref="D742:E742"/>
    <mergeCell ref="A744:B744"/>
    <mergeCell ref="D744:E744"/>
    <mergeCell ref="A737:B737"/>
    <mergeCell ref="D737:E737"/>
    <mergeCell ref="A738:B738"/>
    <mergeCell ref="D738:E738"/>
    <mergeCell ref="G781:G782"/>
    <mergeCell ref="J781:J782"/>
    <mergeCell ref="A782:B782"/>
    <mergeCell ref="D782:E782"/>
    <mergeCell ref="A760:B760"/>
    <mergeCell ref="D760:E760"/>
    <mergeCell ref="A761:B761"/>
    <mergeCell ref="D761:E761"/>
    <mergeCell ref="A762:B762"/>
    <mergeCell ref="D762:E762"/>
    <mergeCell ref="A756:B756"/>
    <mergeCell ref="D756:E756"/>
    <mergeCell ref="A757:B757"/>
    <mergeCell ref="D757:E757"/>
    <mergeCell ref="A759:B759"/>
    <mergeCell ref="D759:E759"/>
    <mergeCell ref="A752:B752"/>
    <mergeCell ref="D752:E752"/>
    <mergeCell ref="A753:B753"/>
    <mergeCell ref="D753:E753"/>
    <mergeCell ref="A754:B754"/>
    <mergeCell ref="D754:E754"/>
    <mergeCell ref="A776:B776"/>
    <mergeCell ref="D776:E776"/>
    <mergeCell ref="A777:B777"/>
    <mergeCell ref="D777:E777"/>
    <mergeCell ref="A778:B778"/>
    <mergeCell ref="D778:E778"/>
    <mergeCell ref="A772:B772"/>
    <mergeCell ref="D772:E772"/>
    <mergeCell ref="A773:B773"/>
    <mergeCell ref="D773:E773"/>
    <mergeCell ref="A810:B810"/>
    <mergeCell ref="D810:E810"/>
    <mergeCell ref="A811:B811"/>
    <mergeCell ref="D811:E811"/>
    <mergeCell ref="G812:G813"/>
    <mergeCell ref="J812:J813"/>
    <mergeCell ref="A813:B813"/>
    <mergeCell ref="D813:E813"/>
    <mergeCell ref="A791:B791"/>
    <mergeCell ref="D791:E791"/>
    <mergeCell ref="A792:B792"/>
    <mergeCell ref="D792:E792"/>
    <mergeCell ref="A793:B793"/>
    <mergeCell ref="D793:E793"/>
    <mergeCell ref="A787:B787"/>
    <mergeCell ref="D787:E787"/>
    <mergeCell ref="A788:B788"/>
    <mergeCell ref="D788:E788"/>
    <mergeCell ref="A790:B790"/>
    <mergeCell ref="D790:E790"/>
    <mergeCell ref="A795:B795"/>
    <mergeCell ref="D795:E795"/>
    <mergeCell ref="A796:B796"/>
    <mergeCell ref="D796:E796"/>
    <mergeCell ref="A798:B798"/>
    <mergeCell ref="D798:E798"/>
    <mergeCell ref="G843:G844"/>
    <mergeCell ref="J843:J844"/>
    <mergeCell ref="A844:B844"/>
    <mergeCell ref="D844:E844"/>
    <mergeCell ref="A822:B822"/>
    <mergeCell ref="D822:E822"/>
    <mergeCell ref="A823:B823"/>
    <mergeCell ref="D823:E823"/>
    <mergeCell ref="A824:B824"/>
    <mergeCell ref="D824:E824"/>
    <mergeCell ref="A818:B818"/>
    <mergeCell ref="D818:E818"/>
    <mergeCell ref="A819:B819"/>
    <mergeCell ref="D819:E819"/>
    <mergeCell ref="A821:B821"/>
    <mergeCell ref="D821:E821"/>
    <mergeCell ref="A814:B814"/>
    <mergeCell ref="D814:E814"/>
    <mergeCell ref="A815:B815"/>
    <mergeCell ref="D815:E815"/>
    <mergeCell ref="A816:B816"/>
    <mergeCell ref="D816:E816"/>
    <mergeCell ref="A834:B834"/>
    <mergeCell ref="D834:E834"/>
    <mergeCell ref="A835:B835"/>
    <mergeCell ref="D835:E835"/>
    <mergeCell ref="A837:B837"/>
    <mergeCell ref="D837:E837"/>
    <mergeCell ref="A830:B830"/>
    <mergeCell ref="D830:E830"/>
    <mergeCell ref="A831:B831"/>
    <mergeCell ref="D831:E831"/>
    <mergeCell ref="G874:G875"/>
    <mergeCell ref="J874:J875"/>
    <mergeCell ref="A875:B875"/>
    <mergeCell ref="D875:E875"/>
    <mergeCell ref="A853:B853"/>
    <mergeCell ref="D853:E853"/>
    <mergeCell ref="A854:B854"/>
    <mergeCell ref="D854:E854"/>
    <mergeCell ref="A855:B855"/>
    <mergeCell ref="D855:E855"/>
    <mergeCell ref="A849:B849"/>
    <mergeCell ref="D849:E849"/>
    <mergeCell ref="A850:B850"/>
    <mergeCell ref="D850:E850"/>
    <mergeCell ref="A852:B852"/>
    <mergeCell ref="D852:E852"/>
    <mergeCell ref="A845:B845"/>
    <mergeCell ref="D845:E845"/>
    <mergeCell ref="A846:B846"/>
    <mergeCell ref="D846:E846"/>
    <mergeCell ref="A847:B847"/>
    <mergeCell ref="D847:E847"/>
    <mergeCell ref="A869:B869"/>
    <mergeCell ref="D869:E869"/>
    <mergeCell ref="A870:B870"/>
    <mergeCell ref="D870:E870"/>
    <mergeCell ref="A871:B871"/>
    <mergeCell ref="D871:E871"/>
    <mergeCell ref="A865:B865"/>
    <mergeCell ref="D865:E865"/>
    <mergeCell ref="A866:B866"/>
    <mergeCell ref="D866:E866"/>
    <mergeCell ref="A903:B903"/>
    <mergeCell ref="D903:E903"/>
    <mergeCell ref="A904:B904"/>
    <mergeCell ref="D904:E904"/>
    <mergeCell ref="G905:G906"/>
    <mergeCell ref="J905:J906"/>
    <mergeCell ref="A906:B906"/>
    <mergeCell ref="D906:E906"/>
    <mergeCell ref="A884:B884"/>
    <mergeCell ref="D884:E884"/>
    <mergeCell ref="A885:B885"/>
    <mergeCell ref="D885:E885"/>
    <mergeCell ref="A886:B886"/>
    <mergeCell ref="D886:E886"/>
    <mergeCell ref="A880:B880"/>
    <mergeCell ref="D880:E880"/>
    <mergeCell ref="A881:B881"/>
    <mergeCell ref="D881:E881"/>
    <mergeCell ref="A883:B883"/>
    <mergeCell ref="D883:E883"/>
    <mergeCell ref="A888:B888"/>
    <mergeCell ref="D888:E888"/>
    <mergeCell ref="A889:B889"/>
    <mergeCell ref="D889:E889"/>
    <mergeCell ref="A891:B891"/>
    <mergeCell ref="D891:E891"/>
    <mergeCell ref="G936:G937"/>
    <mergeCell ref="J936:J937"/>
    <mergeCell ref="A937:B937"/>
    <mergeCell ref="D937:E937"/>
    <mergeCell ref="A915:B915"/>
    <mergeCell ref="D915:E915"/>
    <mergeCell ref="A916:B916"/>
    <mergeCell ref="D916:E916"/>
    <mergeCell ref="A917:B917"/>
    <mergeCell ref="D917:E917"/>
    <mergeCell ref="A911:B911"/>
    <mergeCell ref="D911:E911"/>
    <mergeCell ref="A912:B912"/>
    <mergeCell ref="D912:E912"/>
    <mergeCell ref="A914:B914"/>
    <mergeCell ref="D914:E914"/>
    <mergeCell ref="A907:B907"/>
    <mergeCell ref="D907:E907"/>
    <mergeCell ref="A908:B908"/>
    <mergeCell ref="D908:E908"/>
    <mergeCell ref="A909:B909"/>
    <mergeCell ref="D909:E909"/>
    <mergeCell ref="A927:B927"/>
    <mergeCell ref="D927:E927"/>
    <mergeCell ref="A928:B928"/>
    <mergeCell ref="D928:E928"/>
    <mergeCell ref="A930:B930"/>
    <mergeCell ref="D930:E930"/>
    <mergeCell ref="A923:B923"/>
    <mergeCell ref="D923:E923"/>
    <mergeCell ref="A924:B924"/>
    <mergeCell ref="D924:E924"/>
    <mergeCell ref="G967:G968"/>
    <mergeCell ref="J967:J968"/>
    <mergeCell ref="A968:B968"/>
    <mergeCell ref="D968:E968"/>
    <mergeCell ref="A946:B946"/>
    <mergeCell ref="D946:E946"/>
    <mergeCell ref="A947:B947"/>
    <mergeCell ref="D947:E947"/>
    <mergeCell ref="A948:B948"/>
    <mergeCell ref="D948:E948"/>
    <mergeCell ref="A942:B942"/>
    <mergeCell ref="D942:E942"/>
    <mergeCell ref="A943:B943"/>
    <mergeCell ref="D943:E943"/>
    <mergeCell ref="A945:B945"/>
    <mergeCell ref="D945:E945"/>
    <mergeCell ref="A938:B938"/>
    <mergeCell ref="D938:E938"/>
    <mergeCell ref="A939:B939"/>
    <mergeCell ref="D939:E939"/>
    <mergeCell ref="A940:B940"/>
    <mergeCell ref="D940:E940"/>
    <mergeCell ref="A962:B962"/>
    <mergeCell ref="D962:E962"/>
    <mergeCell ref="A963:B963"/>
    <mergeCell ref="D963:E963"/>
    <mergeCell ref="A964:B964"/>
    <mergeCell ref="D964:E964"/>
    <mergeCell ref="A958:B958"/>
    <mergeCell ref="D958:E958"/>
    <mergeCell ref="A959:B959"/>
    <mergeCell ref="D959:E959"/>
    <mergeCell ref="A996:B996"/>
    <mergeCell ref="D996:E996"/>
    <mergeCell ref="A997:B997"/>
    <mergeCell ref="D997:E997"/>
    <mergeCell ref="G998:G999"/>
    <mergeCell ref="J998:J999"/>
    <mergeCell ref="A999:B999"/>
    <mergeCell ref="D999:E999"/>
    <mergeCell ref="A977:B977"/>
    <mergeCell ref="D977:E977"/>
    <mergeCell ref="A978:B978"/>
    <mergeCell ref="D978:E978"/>
    <mergeCell ref="A979:B979"/>
    <mergeCell ref="D979:E979"/>
    <mergeCell ref="A973:B973"/>
    <mergeCell ref="D973:E973"/>
    <mergeCell ref="A974:B974"/>
    <mergeCell ref="D974:E974"/>
    <mergeCell ref="A976:B976"/>
    <mergeCell ref="D976:E976"/>
    <mergeCell ref="A981:B981"/>
    <mergeCell ref="D981:E981"/>
    <mergeCell ref="A982:B982"/>
    <mergeCell ref="D982:E982"/>
    <mergeCell ref="A984:B984"/>
    <mergeCell ref="D984:E984"/>
    <mergeCell ref="G1029:G1030"/>
    <mergeCell ref="J1029:J1030"/>
    <mergeCell ref="A1030:B1030"/>
    <mergeCell ref="D1030:E1030"/>
    <mergeCell ref="A1008:B1008"/>
    <mergeCell ref="D1008:E1008"/>
    <mergeCell ref="A1009:B1009"/>
    <mergeCell ref="D1009:E1009"/>
    <mergeCell ref="A1010:B1010"/>
    <mergeCell ref="D1010:E1010"/>
    <mergeCell ref="A1004:B1004"/>
    <mergeCell ref="D1004:E1004"/>
    <mergeCell ref="A1005:B1005"/>
    <mergeCell ref="D1005:E1005"/>
    <mergeCell ref="A1007:B1007"/>
    <mergeCell ref="D1007:E1007"/>
    <mergeCell ref="A1000:B1000"/>
    <mergeCell ref="D1000:E1000"/>
    <mergeCell ref="A1001:B1001"/>
    <mergeCell ref="D1001:E1001"/>
    <mergeCell ref="A1002:B1002"/>
    <mergeCell ref="D1002:E1002"/>
    <mergeCell ref="A1020:B1020"/>
    <mergeCell ref="D1020:E1020"/>
    <mergeCell ref="A1021:B1021"/>
    <mergeCell ref="D1021:E1021"/>
    <mergeCell ref="A1023:B1023"/>
    <mergeCell ref="D1023:E1023"/>
    <mergeCell ref="A1016:B1016"/>
    <mergeCell ref="D1016:E1016"/>
    <mergeCell ref="A1017:B1017"/>
    <mergeCell ref="D1017:E1017"/>
    <mergeCell ref="G1060:G1061"/>
    <mergeCell ref="J1060:J1061"/>
    <mergeCell ref="A1061:B1061"/>
    <mergeCell ref="D1061:E1061"/>
    <mergeCell ref="A1039:B1039"/>
    <mergeCell ref="D1039:E1039"/>
    <mergeCell ref="A1040:B1040"/>
    <mergeCell ref="D1040:E1040"/>
    <mergeCell ref="A1041:B1041"/>
    <mergeCell ref="D1041:E1041"/>
    <mergeCell ref="A1035:B1035"/>
    <mergeCell ref="D1035:E1035"/>
    <mergeCell ref="A1036:B1036"/>
    <mergeCell ref="D1036:E1036"/>
    <mergeCell ref="A1038:B1038"/>
    <mergeCell ref="D1038:E1038"/>
    <mergeCell ref="A1031:B1031"/>
    <mergeCell ref="D1031:E1031"/>
    <mergeCell ref="A1032:B1032"/>
    <mergeCell ref="D1032:E1032"/>
    <mergeCell ref="A1033:B1033"/>
    <mergeCell ref="D1033:E1033"/>
    <mergeCell ref="A1055:B1055"/>
    <mergeCell ref="D1055:E1055"/>
    <mergeCell ref="A1056:B1056"/>
    <mergeCell ref="D1056:E1056"/>
    <mergeCell ref="A1057:B1057"/>
    <mergeCell ref="D1057:E1057"/>
    <mergeCell ref="A1051:B1051"/>
    <mergeCell ref="D1051:E1051"/>
    <mergeCell ref="A1052:B1052"/>
    <mergeCell ref="D1052:E1052"/>
    <mergeCell ref="A1089:B1089"/>
    <mergeCell ref="D1089:E1089"/>
    <mergeCell ref="A1090:B1090"/>
    <mergeCell ref="D1090:E1090"/>
    <mergeCell ref="G1091:G1092"/>
    <mergeCell ref="J1091:J1092"/>
    <mergeCell ref="A1092:B1092"/>
    <mergeCell ref="D1092:E1092"/>
    <mergeCell ref="A1070:B1070"/>
    <mergeCell ref="D1070:E1070"/>
    <mergeCell ref="A1071:B1071"/>
    <mergeCell ref="D1071:E1071"/>
    <mergeCell ref="A1072:B1072"/>
    <mergeCell ref="D1072:E1072"/>
    <mergeCell ref="A1066:B1066"/>
    <mergeCell ref="D1066:E1066"/>
    <mergeCell ref="A1067:B1067"/>
    <mergeCell ref="D1067:E1067"/>
    <mergeCell ref="A1069:B1069"/>
    <mergeCell ref="D1069:E1069"/>
    <mergeCell ref="A1074:B1074"/>
    <mergeCell ref="D1074:E1074"/>
    <mergeCell ref="A1075:B1075"/>
    <mergeCell ref="D1075:E1075"/>
    <mergeCell ref="A1077:B1077"/>
    <mergeCell ref="D1077:E1077"/>
    <mergeCell ref="G1122:G1123"/>
    <mergeCell ref="J1122:J1123"/>
    <mergeCell ref="A1123:B1123"/>
    <mergeCell ref="D1123:E1123"/>
    <mergeCell ref="A1101:B1101"/>
    <mergeCell ref="D1101:E1101"/>
    <mergeCell ref="A1102:B1102"/>
    <mergeCell ref="D1102:E1102"/>
    <mergeCell ref="A1103:B1103"/>
    <mergeCell ref="D1103:E1103"/>
    <mergeCell ref="A1097:B1097"/>
    <mergeCell ref="D1097:E1097"/>
    <mergeCell ref="A1098:B1098"/>
    <mergeCell ref="D1098:E1098"/>
    <mergeCell ref="A1100:B1100"/>
    <mergeCell ref="D1100:E1100"/>
    <mergeCell ref="A1093:B1093"/>
    <mergeCell ref="D1093:E1093"/>
    <mergeCell ref="A1094:B1094"/>
    <mergeCell ref="D1094:E1094"/>
    <mergeCell ref="A1095:B1095"/>
    <mergeCell ref="D1095:E1095"/>
    <mergeCell ref="A1113:B1113"/>
    <mergeCell ref="D1113:E1113"/>
    <mergeCell ref="A1114:B1114"/>
    <mergeCell ref="D1114:E1114"/>
    <mergeCell ref="A1116:B1116"/>
    <mergeCell ref="D1116:E1116"/>
    <mergeCell ref="A1109:B1109"/>
    <mergeCell ref="D1109:E1109"/>
    <mergeCell ref="A1110:B1110"/>
    <mergeCell ref="D1110:E1110"/>
    <mergeCell ref="G1153:G1154"/>
    <mergeCell ref="J1153:J1154"/>
    <mergeCell ref="A1154:B1154"/>
    <mergeCell ref="D1154:E1154"/>
    <mergeCell ref="A1132:B1132"/>
    <mergeCell ref="D1132:E1132"/>
    <mergeCell ref="A1133:B1133"/>
    <mergeCell ref="D1133:E1133"/>
    <mergeCell ref="A1134:B1134"/>
    <mergeCell ref="D1134:E1134"/>
    <mergeCell ref="A1128:B1128"/>
    <mergeCell ref="D1128:E1128"/>
    <mergeCell ref="A1129:B1129"/>
    <mergeCell ref="D1129:E1129"/>
    <mergeCell ref="A1131:B1131"/>
    <mergeCell ref="D1131:E1131"/>
    <mergeCell ref="A1124:B1124"/>
    <mergeCell ref="D1124:E1124"/>
    <mergeCell ref="A1125:B1125"/>
    <mergeCell ref="D1125:E1125"/>
    <mergeCell ref="A1126:B1126"/>
    <mergeCell ref="D1126:E1126"/>
    <mergeCell ref="A1148:B1148"/>
    <mergeCell ref="D1148:E1148"/>
    <mergeCell ref="A1149:B1149"/>
    <mergeCell ref="D1149:E1149"/>
    <mergeCell ref="A1150:B1150"/>
    <mergeCell ref="D1150:E1150"/>
    <mergeCell ref="A1144:B1144"/>
    <mergeCell ref="D1144:E1144"/>
    <mergeCell ref="A1145:B1145"/>
    <mergeCell ref="D1145:E1145"/>
    <mergeCell ref="A1182:B1182"/>
    <mergeCell ref="D1182:E1182"/>
    <mergeCell ref="A1183:B1183"/>
    <mergeCell ref="D1183:E1183"/>
    <mergeCell ref="G1184:G1185"/>
    <mergeCell ref="J1184:J1185"/>
    <mergeCell ref="A1185:B1185"/>
    <mergeCell ref="D1185:E1185"/>
    <mergeCell ref="A1163:B1163"/>
    <mergeCell ref="D1163:E1163"/>
    <mergeCell ref="A1164:B1164"/>
    <mergeCell ref="D1164:E1164"/>
    <mergeCell ref="A1165:B1165"/>
    <mergeCell ref="D1165:E1165"/>
    <mergeCell ref="A1159:B1159"/>
    <mergeCell ref="D1159:E1159"/>
    <mergeCell ref="A1160:B1160"/>
    <mergeCell ref="D1160:E1160"/>
    <mergeCell ref="A1162:B1162"/>
    <mergeCell ref="D1162:E1162"/>
    <mergeCell ref="A1167:B1167"/>
    <mergeCell ref="D1167:E1167"/>
    <mergeCell ref="A1168:B1168"/>
    <mergeCell ref="D1168:E1168"/>
    <mergeCell ref="A1170:B1170"/>
    <mergeCell ref="D1170:E1170"/>
    <mergeCell ref="G1215:G1216"/>
    <mergeCell ref="J1215:J1216"/>
    <mergeCell ref="A1216:B1216"/>
    <mergeCell ref="D1216:E1216"/>
    <mergeCell ref="A1194:B1194"/>
    <mergeCell ref="D1194:E1194"/>
    <mergeCell ref="A1195:B1195"/>
    <mergeCell ref="D1195:E1195"/>
    <mergeCell ref="A1196:B1196"/>
    <mergeCell ref="D1196:E1196"/>
    <mergeCell ref="A1190:B1190"/>
    <mergeCell ref="D1190:E1190"/>
    <mergeCell ref="A1191:B1191"/>
    <mergeCell ref="D1191:E1191"/>
    <mergeCell ref="A1193:B1193"/>
    <mergeCell ref="D1193:E1193"/>
    <mergeCell ref="A1186:B1186"/>
    <mergeCell ref="D1186:E1186"/>
    <mergeCell ref="A1187:B1187"/>
    <mergeCell ref="D1187:E1187"/>
    <mergeCell ref="A1188:B1188"/>
    <mergeCell ref="D1188:E1188"/>
    <mergeCell ref="A1206:B1206"/>
    <mergeCell ref="D1206:E1206"/>
    <mergeCell ref="A1207:B1207"/>
    <mergeCell ref="D1207:E1207"/>
    <mergeCell ref="A1209:B1209"/>
    <mergeCell ref="D1209:E1209"/>
    <mergeCell ref="A1202:B1202"/>
    <mergeCell ref="D1202:E1202"/>
    <mergeCell ref="A1203:B1203"/>
    <mergeCell ref="D1203:E1203"/>
    <mergeCell ref="G1246:G1247"/>
    <mergeCell ref="J1246:J1247"/>
    <mergeCell ref="A1247:B1247"/>
    <mergeCell ref="D1247:E1247"/>
    <mergeCell ref="A1225:B1225"/>
    <mergeCell ref="D1225:E1225"/>
    <mergeCell ref="A1226:B1226"/>
    <mergeCell ref="D1226:E1226"/>
    <mergeCell ref="A1227:B1227"/>
    <mergeCell ref="D1227:E1227"/>
    <mergeCell ref="A1221:B1221"/>
    <mergeCell ref="D1221:E1221"/>
    <mergeCell ref="A1222:B1222"/>
    <mergeCell ref="D1222:E1222"/>
    <mergeCell ref="A1224:B1224"/>
    <mergeCell ref="D1224:E1224"/>
    <mergeCell ref="A1217:B1217"/>
    <mergeCell ref="D1217:E1217"/>
    <mergeCell ref="A1218:B1218"/>
    <mergeCell ref="D1218:E1218"/>
    <mergeCell ref="A1219:B1219"/>
    <mergeCell ref="D1219:E1219"/>
    <mergeCell ref="A1241:B1241"/>
    <mergeCell ref="D1241:E1241"/>
    <mergeCell ref="A1242:B1242"/>
    <mergeCell ref="D1242:E1242"/>
    <mergeCell ref="A1243:B1243"/>
    <mergeCell ref="D1243:E1243"/>
    <mergeCell ref="A1237:B1237"/>
    <mergeCell ref="D1237:E1237"/>
    <mergeCell ref="A1238:B1238"/>
    <mergeCell ref="D1238:E1238"/>
    <mergeCell ref="A1275:B1275"/>
    <mergeCell ref="D1275:E1275"/>
    <mergeCell ref="A1276:B1276"/>
    <mergeCell ref="D1276:E1276"/>
    <mergeCell ref="G1277:G1278"/>
    <mergeCell ref="J1277:J1278"/>
    <mergeCell ref="A1278:B1278"/>
    <mergeCell ref="D1278:E1278"/>
    <mergeCell ref="A1256:B1256"/>
    <mergeCell ref="D1256:E1256"/>
    <mergeCell ref="A1257:B1257"/>
    <mergeCell ref="D1257:E1257"/>
    <mergeCell ref="A1258:B1258"/>
    <mergeCell ref="D1258:E1258"/>
    <mergeCell ref="A1252:B1252"/>
    <mergeCell ref="D1252:E1252"/>
    <mergeCell ref="A1253:B1253"/>
    <mergeCell ref="D1253:E1253"/>
    <mergeCell ref="A1255:B1255"/>
    <mergeCell ref="D1255:E1255"/>
    <mergeCell ref="A1260:B1260"/>
    <mergeCell ref="D1260:E1260"/>
    <mergeCell ref="A1261:B1261"/>
    <mergeCell ref="D1261:E1261"/>
    <mergeCell ref="A1263:B1263"/>
    <mergeCell ref="D1263:E1263"/>
    <mergeCell ref="A1283:B1283"/>
    <mergeCell ref="D1283:E1283"/>
    <mergeCell ref="A1284:B1284"/>
    <mergeCell ref="D1284:E1284"/>
    <mergeCell ref="A1286:B1286"/>
    <mergeCell ref="D1286:E1286"/>
    <mergeCell ref="A1279:B1279"/>
    <mergeCell ref="D1279:E1279"/>
    <mergeCell ref="A1280:B1280"/>
    <mergeCell ref="D1280:E1280"/>
    <mergeCell ref="A1281:B1281"/>
    <mergeCell ref="D1281:E1281"/>
    <mergeCell ref="A1306:B1306"/>
    <mergeCell ref="D1306:E1306"/>
    <mergeCell ref="A1299:B1299"/>
    <mergeCell ref="D1299:E1299"/>
    <mergeCell ref="A1300:B1300"/>
    <mergeCell ref="D1300:E1300"/>
    <mergeCell ref="A1302:B1302"/>
    <mergeCell ref="D1302:E1302"/>
    <mergeCell ref="A1295:B1295"/>
    <mergeCell ref="D1295:E1295"/>
    <mergeCell ref="A1305:B1305"/>
    <mergeCell ref="D1305:E1305"/>
    <mergeCell ref="A1311:B1311"/>
    <mergeCell ref="D1311:E1311"/>
    <mergeCell ref="A1312:B1312"/>
    <mergeCell ref="D1312:E1312"/>
    <mergeCell ref="A1337:B1337"/>
    <mergeCell ref="D1337:E1337"/>
    <mergeCell ref="A1338:B1338"/>
    <mergeCell ref="D1338:E1338"/>
    <mergeCell ref="G1308:G1309"/>
    <mergeCell ref="J1308:J1309"/>
    <mergeCell ref="A1309:B1309"/>
    <mergeCell ref="D1309:E1309"/>
    <mergeCell ref="A1287:B1287"/>
    <mergeCell ref="D1287:E1287"/>
    <mergeCell ref="A1288:B1288"/>
    <mergeCell ref="D1288:E1288"/>
    <mergeCell ref="A1289:B1289"/>
    <mergeCell ref="D1289:E1289"/>
    <mergeCell ref="A1296:B1296"/>
    <mergeCell ref="D1296:E1296"/>
    <mergeCell ref="A1297:B1297"/>
    <mergeCell ref="D1297:E1297"/>
    <mergeCell ref="A1291:B1291"/>
    <mergeCell ref="D1291:E1291"/>
    <mergeCell ref="A1292:B1292"/>
    <mergeCell ref="D1292:E1292"/>
    <mergeCell ref="A1294:B1294"/>
    <mergeCell ref="D1294:E1294"/>
    <mergeCell ref="A1303:B1303"/>
    <mergeCell ref="D1303:E1303"/>
    <mergeCell ref="A1304:B1304"/>
    <mergeCell ref="D1304:E1304"/>
    <mergeCell ref="G1339:G1340"/>
    <mergeCell ref="J1339:J1340"/>
    <mergeCell ref="A1340:B1340"/>
    <mergeCell ref="D1340:E1340"/>
    <mergeCell ref="A1318:B1318"/>
    <mergeCell ref="D1318:E1318"/>
    <mergeCell ref="A1319:B1319"/>
    <mergeCell ref="D1319:E1319"/>
    <mergeCell ref="A1320:B1320"/>
    <mergeCell ref="D1320:E1320"/>
    <mergeCell ref="A1314:B1314"/>
    <mergeCell ref="D1314:E1314"/>
    <mergeCell ref="A1315:B1315"/>
    <mergeCell ref="D1315:E1315"/>
    <mergeCell ref="A1317:B1317"/>
    <mergeCell ref="D1317:E1317"/>
    <mergeCell ref="A1326:B1326"/>
    <mergeCell ref="D1326:E1326"/>
    <mergeCell ref="A1327:B1327"/>
    <mergeCell ref="D1327:E1327"/>
    <mergeCell ref="A1328:B1328"/>
    <mergeCell ref="D1328:E1328"/>
    <mergeCell ref="A1322:B1322"/>
    <mergeCell ref="D1322:E1322"/>
    <mergeCell ref="A1323:B1323"/>
    <mergeCell ref="D1323:E1323"/>
    <mergeCell ref="A1325:B1325"/>
    <mergeCell ref="D1325:E1325"/>
    <mergeCell ref="A34:B34"/>
    <mergeCell ref="D34:E34"/>
    <mergeCell ref="A31:B31"/>
    <mergeCell ref="D31:E31"/>
    <mergeCell ref="A32:B32"/>
    <mergeCell ref="D32:E32"/>
    <mergeCell ref="A33:B33"/>
    <mergeCell ref="D33:E33"/>
    <mergeCell ref="A39:B39"/>
    <mergeCell ref="D39:E39"/>
    <mergeCell ref="A40:B40"/>
    <mergeCell ref="D40:E40"/>
    <mergeCell ref="A41:B41"/>
    <mergeCell ref="D41:E41"/>
    <mergeCell ref="A36:B36"/>
    <mergeCell ref="D36:E36"/>
    <mergeCell ref="A63:B63"/>
    <mergeCell ref="D63:E63"/>
    <mergeCell ref="A59:B59"/>
    <mergeCell ref="D59:E59"/>
    <mergeCell ref="A60:B60"/>
    <mergeCell ref="D60:E60"/>
    <mergeCell ref="A62:B62"/>
    <mergeCell ref="D62:E62"/>
    <mergeCell ref="A55:B55"/>
    <mergeCell ref="D55:E55"/>
    <mergeCell ref="A56:B56"/>
    <mergeCell ref="D56:E56"/>
    <mergeCell ref="A57:B57"/>
    <mergeCell ref="D57:E57"/>
    <mergeCell ref="A88:B88"/>
    <mergeCell ref="D88:E88"/>
    <mergeCell ref="A82:B82"/>
    <mergeCell ref="D82:E82"/>
    <mergeCell ref="A83:B83"/>
    <mergeCell ref="D83:E83"/>
    <mergeCell ref="A85:B85"/>
    <mergeCell ref="D85:E85"/>
    <mergeCell ref="A117:B117"/>
    <mergeCell ref="D117:E117"/>
    <mergeCell ref="A118:B118"/>
    <mergeCell ref="D118:E118"/>
    <mergeCell ref="A119:B119"/>
    <mergeCell ref="D119:E119"/>
    <mergeCell ref="A113:B113"/>
    <mergeCell ref="D113:E113"/>
    <mergeCell ref="A114:B114"/>
    <mergeCell ref="D114:E114"/>
    <mergeCell ref="A116:B116"/>
    <mergeCell ref="D116:E116"/>
    <mergeCell ref="A94:B94"/>
    <mergeCell ref="D94:E94"/>
    <mergeCell ref="A95:B95"/>
    <mergeCell ref="D95:E95"/>
    <mergeCell ref="A96:B96"/>
    <mergeCell ref="D96:E96"/>
    <mergeCell ref="A97:B97"/>
    <mergeCell ref="D97:E97"/>
    <mergeCell ref="A98:B98"/>
    <mergeCell ref="D98:E98"/>
    <mergeCell ref="A124:B124"/>
    <mergeCell ref="D124:E124"/>
    <mergeCell ref="A132:B132"/>
    <mergeCell ref="D132:E132"/>
    <mergeCell ref="A133:B133"/>
    <mergeCell ref="D133:E133"/>
    <mergeCell ref="A134:B134"/>
    <mergeCell ref="D134:E134"/>
    <mergeCell ref="A128:B128"/>
    <mergeCell ref="D128:E128"/>
    <mergeCell ref="A129:B129"/>
    <mergeCell ref="D129:E129"/>
    <mergeCell ref="A156:B156"/>
    <mergeCell ref="D156:E156"/>
    <mergeCell ref="A157:B157"/>
    <mergeCell ref="D157:E157"/>
    <mergeCell ref="A158:B158"/>
    <mergeCell ref="D158:E158"/>
    <mergeCell ref="A152:B152"/>
    <mergeCell ref="D152:E152"/>
    <mergeCell ref="A153:B153"/>
    <mergeCell ref="D153:E153"/>
    <mergeCell ref="A155:B155"/>
    <mergeCell ref="D155:E155"/>
    <mergeCell ref="A148:B148"/>
    <mergeCell ref="D148:E148"/>
    <mergeCell ref="A149:B149"/>
    <mergeCell ref="D149:E149"/>
    <mergeCell ref="A150:B150"/>
    <mergeCell ref="D150:E150"/>
    <mergeCell ref="A181:B181"/>
    <mergeCell ref="D181:E181"/>
    <mergeCell ref="A175:B175"/>
    <mergeCell ref="D175:E175"/>
    <mergeCell ref="A176:B176"/>
    <mergeCell ref="D176:E176"/>
    <mergeCell ref="A178:B178"/>
    <mergeCell ref="D178:E178"/>
    <mergeCell ref="A210:B210"/>
    <mergeCell ref="D210:E210"/>
    <mergeCell ref="A211:B211"/>
    <mergeCell ref="D211:E211"/>
    <mergeCell ref="A212:B212"/>
    <mergeCell ref="D212:E212"/>
    <mergeCell ref="A206:B206"/>
    <mergeCell ref="D206:E206"/>
    <mergeCell ref="A207:B207"/>
    <mergeCell ref="D207:E207"/>
    <mergeCell ref="A209:B209"/>
    <mergeCell ref="D209:E209"/>
    <mergeCell ref="A187:B187"/>
    <mergeCell ref="D187:E187"/>
    <mergeCell ref="A188:B188"/>
    <mergeCell ref="D188:E188"/>
    <mergeCell ref="A189:B189"/>
    <mergeCell ref="D189:E189"/>
    <mergeCell ref="A190:B190"/>
    <mergeCell ref="D190:E190"/>
    <mergeCell ref="A191:B191"/>
    <mergeCell ref="D191:E191"/>
    <mergeCell ref="A217:B217"/>
    <mergeCell ref="D217:E217"/>
    <mergeCell ref="A225:B225"/>
    <mergeCell ref="D225:E225"/>
    <mergeCell ref="A226:B226"/>
    <mergeCell ref="D226:E226"/>
    <mergeCell ref="A227:B227"/>
    <mergeCell ref="D227:E227"/>
    <mergeCell ref="A221:B221"/>
    <mergeCell ref="D221:E221"/>
    <mergeCell ref="A222:B222"/>
    <mergeCell ref="D222:E222"/>
    <mergeCell ref="A249:B249"/>
    <mergeCell ref="D249:E249"/>
    <mergeCell ref="A250:B250"/>
    <mergeCell ref="D250:E250"/>
    <mergeCell ref="A251:B251"/>
    <mergeCell ref="D251:E251"/>
    <mergeCell ref="A245:B245"/>
    <mergeCell ref="D245:E245"/>
    <mergeCell ref="A246:B246"/>
    <mergeCell ref="D246:E246"/>
    <mergeCell ref="A248:B248"/>
    <mergeCell ref="D248:E248"/>
    <mergeCell ref="A241:B241"/>
    <mergeCell ref="D241:E241"/>
    <mergeCell ref="A242:B242"/>
    <mergeCell ref="D242:E242"/>
    <mergeCell ref="A243:B243"/>
    <mergeCell ref="D243:E243"/>
    <mergeCell ref="A274:B274"/>
    <mergeCell ref="D274:E274"/>
    <mergeCell ref="A268:B268"/>
    <mergeCell ref="D268:E268"/>
    <mergeCell ref="A269:B269"/>
    <mergeCell ref="D269:E269"/>
    <mergeCell ref="A271:B271"/>
    <mergeCell ref="D271:E271"/>
    <mergeCell ref="A303:B303"/>
    <mergeCell ref="D303:E303"/>
    <mergeCell ref="A304:B304"/>
    <mergeCell ref="D304:E304"/>
    <mergeCell ref="A305:B305"/>
    <mergeCell ref="D305:E305"/>
    <mergeCell ref="A299:B299"/>
    <mergeCell ref="D299:E299"/>
    <mergeCell ref="A300:B300"/>
    <mergeCell ref="D300:E300"/>
    <mergeCell ref="A302:B302"/>
    <mergeCell ref="D302:E302"/>
    <mergeCell ref="A280:B280"/>
    <mergeCell ref="D280:E280"/>
    <mergeCell ref="A281:B281"/>
    <mergeCell ref="D281:E281"/>
    <mergeCell ref="A282:B282"/>
    <mergeCell ref="D282:E282"/>
    <mergeCell ref="A283:B283"/>
    <mergeCell ref="D283:E283"/>
    <mergeCell ref="A284:B284"/>
    <mergeCell ref="D284:E284"/>
    <mergeCell ref="A310:B310"/>
    <mergeCell ref="D310:E310"/>
    <mergeCell ref="A318:B318"/>
    <mergeCell ref="D318:E318"/>
    <mergeCell ref="A319:B319"/>
    <mergeCell ref="D319:E319"/>
    <mergeCell ref="A320:B320"/>
    <mergeCell ref="D320:E320"/>
    <mergeCell ref="A314:B314"/>
    <mergeCell ref="D314:E314"/>
    <mergeCell ref="A315:B315"/>
    <mergeCell ref="D315:E315"/>
    <mergeCell ref="A342:B342"/>
    <mergeCell ref="D342:E342"/>
    <mergeCell ref="A343:B343"/>
    <mergeCell ref="D343:E343"/>
    <mergeCell ref="A344:B344"/>
    <mergeCell ref="D344:E344"/>
    <mergeCell ref="A338:B338"/>
    <mergeCell ref="D338:E338"/>
    <mergeCell ref="A339:B339"/>
    <mergeCell ref="D339:E339"/>
    <mergeCell ref="A341:B341"/>
    <mergeCell ref="D341:E341"/>
    <mergeCell ref="A334:B334"/>
    <mergeCell ref="D334:E334"/>
    <mergeCell ref="A335:B335"/>
    <mergeCell ref="D335:E335"/>
    <mergeCell ref="A336:B336"/>
    <mergeCell ref="D336:E336"/>
    <mergeCell ref="A367:B367"/>
    <mergeCell ref="D367:E367"/>
    <mergeCell ref="A361:B361"/>
    <mergeCell ref="D361:E361"/>
    <mergeCell ref="A362:B362"/>
    <mergeCell ref="D362:E362"/>
    <mergeCell ref="A364:B364"/>
    <mergeCell ref="D364:E364"/>
    <mergeCell ref="A396:B396"/>
    <mergeCell ref="D396:E396"/>
    <mergeCell ref="A397:B397"/>
    <mergeCell ref="D397:E397"/>
    <mergeCell ref="A398:B398"/>
    <mergeCell ref="D398:E398"/>
    <mergeCell ref="A392:B392"/>
    <mergeCell ref="D392:E392"/>
    <mergeCell ref="A393:B393"/>
    <mergeCell ref="D393:E393"/>
    <mergeCell ref="A395:B395"/>
    <mergeCell ref="D395:E395"/>
    <mergeCell ref="A373:B373"/>
    <mergeCell ref="D373:E373"/>
    <mergeCell ref="A374:B374"/>
    <mergeCell ref="D374:E374"/>
    <mergeCell ref="A375:B375"/>
    <mergeCell ref="D375:E375"/>
    <mergeCell ref="A376:B376"/>
    <mergeCell ref="D376:E376"/>
    <mergeCell ref="A377:B377"/>
    <mergeCell ref="D377:E377"/>
    <mergeCell ref="A403:B403"/>
    <mergeCell ref="D403:E403"/>
    <mergeCell ref="A411:B411"/>
    <mergeCell ref="D411:E411"/>
    <mergeCell ref="A412:B412"/>
    <mergeCell ref="D412:E412"/>
    <mergeCell ref="A413:B413"/>
    <mergeCell ref="D413:E413"/>
    <mergeCell ref="A407:B407"/>
    <mergeCell ref="D407:E407"/>
    <mergeCell ref="A408:B408"/>
    <mergeCell ref="D408:E408"/>
    <mergeCell ref="A435:B435"/>
    <mergeCell ref="D435:E435"/>
    <mergeCell ref="A436:B436"/>
    <mergeCell ref="D436:E436"/>
    <mergeCell ref="A437:B437"/>
    <mergeCell ref="D437:E437"/>
    <mergeCell ref="A431:B431"/>
    <mergeCell ref="D431:E431"/>
    <mergeCell ref="A432:B432"/>
    <mergeCell ref="D432:E432"/>
    <mergeCell ref="A434:B434"/>
    <mergeCell ref="D434:E434"/>
    <mergeCell ref="A427:B427"/>
    <mergeCell ref="D427:E427"/>
    <mergeCell ref="A428:B428"/>
    <mergeCell ref="D428:E428"/>
    <mergeCell ref="A429:B429"/>
    <mergeCell ref="D429:E429"/>
    <mergeCell ref="A460:B460"/>
    <mergeCell ref="D460:E460"/>
    <mergeCell ref="A454:B454"/>
    <mergeCell ref="D454:E454"/>
    <mergeCell ref="A455:B455"/>
    <mergeCell ref="D455:E455"/>
    <mergeCell ref="A457:B457"/>
    <mergeCell ref="D457:E457"/>
    <mergeCell ref="A489:B489"/>
    <mergeCell ref="D489:E489"/>
    <mergeCell ref="A490:B490"/>
    <mergeCell ref="D490:E490"/>
    <mergeCell ref="A491:B491"/>
    <mergeCell ref="D491:E491"/>
    <mergeCell ref="A485:B485"/>
    <mergeCell ref="D485:E485"/>
    <mergeCell ref="A486:B486"/>
    <mergeCell ref="D486:E486"/>
    <mergeCell ref="A488:B488"/>
    <mergeCell ref="D488:E488"/>
    <mergeCell ref="A466:B466"/>
    <mergeCell ref="D466:E466"/>
    <mergeCell ref="A467:B467"/>
    <mergeCell ref="D467:E467"/>
    <mergeCell ref="A468:B468"/>
    <mergeCell ref="D468:E468"/>
    <mergeCell ref="A469:B469"/>
    <mergeCell ref="D469:E469"/>
    <mergeCell ref="A470:B470"/>
    <mergeCell ref="D470:E470"/>
    <mergeCell ref="A496:B496"/>
    <mergeCell ref="D496:E496"/>
    <mergeCell ref="A504:B504"/>
    <mergeCell ref="D504:E504"/>
    <mergeCell ref="A505:B505"/>
    <mergeCell ref="D505:E505"/>
    <mergeCell ref="A506:B506"/>
    <mergeCell ref="D506:E506"/>
    <mergeCell ref="A500:B500"/>
    <mergeCell ref="D500:E500"/>
    <mergeCell ref="A501:B501"/>
    <mergeCell ref="D501:E501"/>
    <mergeCell ref="A528:B528"/>
    <mergeCell ref="D528:E528"/>
    <mergeCell ref="A529:B529"/>
    <mergeCell ref="D529:E529"/>
    <mergeCell ref="A530:B530"/>
    <mergeCell ref="D530:E530"/>
    <mergeCell ref="A524:B524"/>
    <mergeCell ref="D524:E524"/>
    <mergeCell ref="A525:B525"/>
    <mergeCell ref="D525:E525"/>
    <mergeCell ref="A527:B527"/>
    <mergeCell ref="D527:E527"/>
    <mergeCell ref="A520:B520"/>
    <mergeCell ref="D520:E520"/>
    <mergeCell ref="A521:B521"/>
    <mergeCell ref="D521:E521"/>
    <mergeCell ref="A522:B522"/>
    <mergeCell ref="D522:E522"/>
    <mergeCell ref="A553:B553"/>
    <mergeCell ref="D553:E553"/>
    <mergeCell ref="A547:B547"/>
    <mergeCell ref="D547:E547"/>
    <mergeCell ref="A548:B548"/>
    <mergeCell ref="D548:E548"/>
    <mergeCell ref="A550:B550"/>
    <mergeCell ref="D550:E550"/>
    <mergeCell ref="A582:B582"/>
    <mergeCell ref="D582:E582"/>
    <mergeCell ref="A583:B583"/>
    <mergeCell ref="D583:E583"/>
    <mergeCell ref="A584:B584"/>
    <mergeCell ref="D584:E584"/>
    <mergeCell ref="A578:B578"/>
    <mergeCell ref="D578:E578"/>
    <mergeCell ref="A579:B579"/>
    <mergeCell ref="D579:E579"/>
    <mergeCell ref="A581:B581"/>
    <mergeCell ref="D581:E581"/>
    <mergeCell ref="A559:B559"/>
    <mergeCell ref="D559:E559"/>
    <mergeCell ref="A560:B560"/>
    <mergeCell ref="D560:E560"/>
    <mergeCell ref="A561:B561"/>
    <mergeCell ref="D561:E561"/>
    <mergeCell ref="A562:B562"/>
    <mergeCell ref="D562:E562"/>
    <mergeCell ref="A563:B563"/>
    <mergeCell ref="D563:E563"/>
    <mergeCell ref="A589:B589"/>
    <mergeCell ref="D589:E589"/>
    <mergeCell ref="A597:B597"/>
    <mergeCell ref="D597:E597"/>
    <mergeCell ref="A598:B598"/>
    <mergeCell ref="D598:E598"/>
    <mergeCell ref="A599:B599"/>
    <mergeCell ref="D599:E599"/>
    <mergeCell ref="A593:B593"/>
    <mergeCell ref="D593:E593"/>
    <mergeCell ref="A594:B594"/>
    <mergeCell ref="D594:E594"/>
    <mergeCell ref="A621:B621"/>
    <mergeCell ref="D621:E621"/>
    <mergeCell ref="A622:B622"/>
    <mergeCell ref="D622:E622"/>
    <mergeCell ref="A623:B623"/>
    <mergeCell ref="D623:E623"/>
    <mergeCell ref="A617:B617"/>
    <mergeCell ref="D617:E617"/>
    <mergeCell ref="A618:B618"/>
    <mergeCell ref="D618:E618"/>
    <mergeCell ref="A620:B620"/>
    <mergeCell ref="D620:E620"/>
    <mergeCell ref="A613:B613"/>
    <mergeCell ref="D613:E613"/>
    <mergeCell ref="A614:B614"/>
    <mergeCell ref="D614:E614"/>
    <mergeCell ref="A615:B615"/>
    <mergeCell ref="D615:E615"/>
    <mergeCell ref="A646:B646"/>
    <mergeCell ref="D646:E646"/>
    <mergeCell ref="A640:B640"/>
    <mergeCell ref="D640:E640"/>
    <mergeCell ref="A641:B641"/>
    <mergeCell ref="D641:E641"/>
    <mergeCell ref="A643:B643"/>
    <mergeCell ref="D643:E643"/>
    <mergeCell ref="A675:B675"/>
    <mergeCell ref="D675:E675"/>
    <mergeCell ref="A676:B676"/>
    <mergeCell ref="D676:E676"/>
    <mergeCell ref="A677:B677"/>
    <mergeCell ref="D677:E677"/>
    <mergeCell ref="A671:B671"/>
    <mergeCell ref="D671:E671"/>
    <mergeCell ref="A672:B672"/>
    <mergeCell ref="D672:E672"/>
    <mergeCell ref="A674:B674"/>
    <mergeCell ref="D674:E674"/>
    <mergeCell ref="A652:B652"/>
    <mergeCell ref="D652:E652"/>
    <mergeCell ref="A653:B653"/>
    <mergeCell ref="D653:E653"/>
    <mergeCell ref="A654:B654"/>
    <mergeCell ref="D654:E654"/>
    <mergeCell ref="A655:B655"/>
    <mergeCell ref="D655:E655"/>
    <mergeCell ref="A656:B656"/>
    <mergeCell ref="D656:E656"/>
    <mergeCell ref="A682:B682"/>
    <mergeCell ref="D682:E682"/>
    <mergeCell ref="A690:B690"/>
    <mergeCell ref="D690:E690"/>
    <mergeCell ref="A691:B691"/>
    <mergeCell ref="D691:E691"/>
    <mergeCell ref="A692:B692"/>
    <mergeCell ref="D692:E692"/>
    <mergeCell ref="A686:B686"/>
    <mergeCell ref="D686:E686"/>
    <mergeCell ref="A687:B687"/>
    <mergeCell ref="D687:E687"/>
    <mergeCell ref="A714:B714"/>
    <mergeCell ref="D714:E714"/>
    <mergeCell ref="A715:B715"/>
    <mergeCell ref="D715:E715"/>
    <mergeCell ref="A716:B716"/>
    <mergeCell ref="D716:E716"/>
    <mergeCell ref="A710:B710"/>
    <mergeCell ref="D710:E710"/>
    <mergeCell ref="A711:B711"/>
    <mergeCell ref="D711:E711"/>
    <mergeCell ref="A713:B713"/>
    <mergeCell ref="D713:E713"/>
    <mergeCell ref="A706:B706"/>
    <mergeCell ref="D706:E706"/>
    <mergeCell ref="A707:B707"/>
    <mergeCell ref="D707:E707"/>
    <mergeCell ref="A708:B708"/>
    <mergeCell ref="D708:E708"/>
    <mergeCell ref="A739:B739"/>
    <mergeCell ref="D739:E739"/>
    <mergeCell ref="A733:B733"/>
    <mergeCell ref="D733:E733"/>
    <mergeCell ref="A734:B734"/>
    <mergeCell ref="D734:E734"/>
    <mergeCell ref="A736:B736"/>
    <mergeCell ref="D736:E736"/>
    <mergeCell ref="A768:B768"/>
    <mergeCell ref="D768:E768"/>
    <mergeCell ref="A769:B769"/>
    <mergeCell ref="D769:E769"/>
    <mergeCell ref="A770:B770"/>
    <mergeCell ref="D770:E770"/>
    <mergeCell ref="A764:B764"/>
    <mergeCell ref="D764:E764"/>
    <mergeCell ref="A765:B765"/>
    <mergeCell ref="D765:E765"/>
    <mergeCell ref="A767:B767"/>
    <mergeCell ref="D767:E767"/>
    <mergeCell ref="A745:B745"/>
    <mergeCell ref="D745:E745"/>
    <mergeCell ref="A746:B746"/>
    <mergeCell ref="D746:E746"/>
    <mergeCell ref="A747:B747"/>
    <mergeCell ref="D747:E747"/>
    <mergeCell ref="A748:B748"/>
    <mergeCell ref="D748:E748"/>
    <mergeCell ref="A749:B749"/>
    <mergeCell ref="D749:E749"/>
    <mergeCell ref="A775:B775"/>
    <mergeCell ref="D775:E775"/>
    <mergeCell ref="A783:B783"/>
    <mergeCell ref="D783:E783"/>
    <mergeCell ref="A784:B784"/>
    <mergeCell ref="D784:E784"/>
    <mergeCell ref="A785:B785"/>
    <mergeCell ref="D785:E785"/>
    <mergeCell ref="A779:B779"/>
    <mergeCell ref="D779:E779"/>
    <mergeCell ref="A780:B780"/>
    <mergeCell ref="D780:E780"/>
    <mergeCell ref="A807:B807"/>
    <mergeCell ref="D807:E807"/>
    <mergeCell ref="A808:B808"/>
    <mergeCell ref="D808:E808"/>
    <mergeCell ref="A809:B809"/>
    <mergeCell ref="D809:E809"/>
    <mergeCell ref="A803:B803"/>
    <mergeCell ref="D803:E803"/>
    <mergeCell ref="A804:B804"/>
    <mergeCell ref="D804:E804"/>
    <mergeCell ref="A806:B806"/>
    <mergeCell ref="D806:E806"/>
    <mergeCell ref="A799:B799"/>
    <mergeCell ref="D799:E799"/>
    <mergeCell ref="A800:B800"/>
    <mergeCell ref="D800:E800"/>
    <mergeCell ref="A801:B801"/>
    <mergeCell ref="D801:E801"/>
    <mergeCell ref="A832:B832"/>
    <mergeCell ref="D832:E832"/>
    <mergeCell ref="A826:B826"/>
    <mergeCell ref="D826:E826"/>
    <mergeCell ref="A827:B827"/>
    <mergeCell ref="D827:E827"/>
    <mergeCell ref="A829:B829"/>
    <mergeCell ref="D829:E829"/>
    <mergeCell ref="A861:B861"/>
    <mergeCell ref="D861:E861"/>
    <mergeCell ref="A862:B862"/>
    <mergeCell ref="D862:E862"/>
    <mergeCell ref="A863:B863"/>
    <mergeCell ref="D863:E863"/>
    <mergeCell ref="A857:B857"/>
    <mergeCell ref="D857:E857"/>
    <mergeCell ref="A858:B858"/>
    <mergeCell ref="D858:E858"/>
    <mergeCell ref="A860:B860"/>
    <mergeCell ref="D860:E860"/>
    <mergeCell ref="A838:B838"/>
    <mergeCell ref="D838:E838"/>
    <mergeCell ref="A839:B839"/>
    <mergeCell ref="D839:E839"/>
    <mergeCell ref="A840:B840"/>
    <mergeCell ref="D840:E840"/>
    <mergeCell ref="A841:B841"/>
    <mergeCell ref="D841:E841"/>
    <mergeCell ref="A842:B842"/>
    <mergeCell ref="D842:E842"/>
    <mergeCell ref="A868:B868"/>
    <mergeCell ref="D868:E868"/>
    <mergeCell ref="A876:B876"/>
    <mergeCell ref="D876:E876"/>
    <mergeCell ref="A877:B877"/>
    <mergeCell ref="D877:E877"/>
    <mergeCell ref="A878:B878"/>
    <mergeCell ref="D878:E878"/>
    <mergeCell ref="A872:B872"/>
    <mergeCell ref="D872:E872"/>
    <mergeCell ref="A873:B873"/>
    <mergeCell ref="D873:E873"/>
    <mergeCell ref="A900:B900"/>
    <mergeCell ref="D900:E900"/>
    <mergeCell ref="A901:B901"/>
    <mergeCell ref="D901:E901"/>
    <mergeCell ref="A902:B902"/>
    <mergeCell ref="D902:E902"/>
    <mergeCell ref="A896:B896"/>
    <mergeCell ref="D896:E896"/>
    <mergeCell ref="A897:B897"/>
    <mergeCell ref="D897:E897"/>
    <mergeCell ref="A899:B899"/>
    <mergeCell ref="D899:E899"/>
    <mergeCell ref="A892:B892"/>
    <mergeCell ref="D892:E892"/>
    <mergeCell ref="A893:B893"/>
    <mergeCell ref="D893:E893"/>
    <mergeCell ref="A894:B894"/>
    <mergeCell ref="D894:E894"/>
    <mergeCell ref="A925:B925"/>
    <mergeCell ref="D925:E925"/>
    <mergeCell ref="A919:B919"/>
    <mergeCell ref="D919:E919"/>
    <mergeCell ref="A920:B920"/>
    <mergeCell ref="D920:E920"/>
    <mergeCell ref="A922:B922"/>
    <mergeCell ref="D922:E922"/>
    <mergeCell ref="A954:B954"/>
    <mergeCell ref="D954:E954"/>
    <mergeCell ref="A955:B955"/>
    <mergeCell ref="D955:E955"/>
    <mergeCell ref="A956:B956"/>
    <mergeCell ref="D956:E956"/>
    <mergeCell ref="A950:B950"/>
    <mergeCell ref="D950:E950"/>
    <mergeCell ref="A951:B951"/>
    <mergeCell ref="D951:E951"/>
    <mergeCell ref="A953:B953"/>
    <mergeCell ref="D953:E953"/>
    <mergeCell ref="A931:B931"/>
    <mergeCell ref="D931:E931"/>
    <mergeCell ref="A932:B932"/>
    <mergeCell ref="D932:E932"/>
    <mergeCell ref="A933:B933"/>
    <mergeCell ref="D933:E933"/>
    <mergeCell ref="A934:B934"/>
    <mergeCell ref="D934:E934"/>
    <mergeCell ref="A935:B935"/>
    <mergeCell ref="D935:E935"/>
    <mergeCell ref="A961:B961"/>
    <mergeCell ref="D961:E961"/>
    <mergeCell ref="A969:B969"/>
    <mergeCell ref="D969:E969"/>
    <mergeCell ref="A970:B970"/>
    <mergeCell ref="D970:E970"/>
    <mergeCell ref="A971:B971"/>
    <mergeCell ref="D971:E971"/>
    <mergeCell ref="A965:B965"/>
    <mergeCell ref="D965:E965"/>
    <mergeCell ref="A966:B966"/>
    <mergeCell ref="D966:E966"/>
    <mergeCell ref="A993:B993"/>
    <mergeCell ref="D993:E993"/>
    <mergeCell ref="A994:B994"/>
    <mergeCell ref="D994:E994"/>
    <mergeCell ref="A995:B995"/>
    <mergeCell ref="D995:E995"/>
    <mergeCell ref="A989:B989"/>
    <mergeCell ref="D989:E989"/>
    <mergeCell ref="A990:B990"/>
    <mergeCell ref="D990:E990"/>
    <mergeCell ref="A992:B992"/>
    <mergeCell ref="D992:E992"/>
    <mergeCell ref="A985:B985"/>
    <mergeCell ref="D985:E985"/>
    <mergeCell ref="A986:B986"/>
    <mergeCell ref="D986:E986"/>
    <mergeCell ref="A987:B987"/>
    <mergeCell ref="D987:E987"/>
    <mergeCell ref="A1018:B1018"/>
    <mergeCell ref="D1018:E1018"/>
    <mergeCell ref="A1012:B1012"/>
    <mergeCell ref="D1012:E1012"/>
    <mergeCell ref="A1013:B1013"/>
    <mergeCell ref="D1013:E1013"/>
    <mergeCell ref="A1015:B1015"/>
    <mergeCell ref="D1015:E1015"/>
    <mergeCell ref="A1047:B1047"/>
    <mergeCell ref="D1047:E1047"/>
    <mergeCell ref="A1048:B1048"/>
    <mergeCell ref="D1048:E1048"/>
    <mergeCell ref="A1049:B1049"/>
    <mergeCell ref="D1049:E1049"/>
    <mergeCell ref="A1043:B1043"/>
    <mergeCell ref="D1043:E1043"/>
    <mergeCell ref="A1044:B1044"/>
    <mergeCell ref="D1044:E1044"/>
    <mergeCell ref="A1046:B1046"/>
    <mergeCell ref="D1046:E1046"/>
    <mergeCell ref="A1024:B1024"/>
    <mergeCell ref="D1024:E1024"/>
    <mergeCell ref="A1025:B1025"/>
    <mergeCell ref="D1025:E1025"/>
    <mergeCell ref="A1026:B1026"/>
    <mergeCell ref="D1026:E1026"/>
    <mergeCell ref="A1027:B1027"/>
    <mergeCell ref="D1027:E1027"/>
    <mergeCell ref="A1028:B1028"/>
    <mergeCell ref="D1028:E1028"/>
    <mergeCell ref="A1054:B1054"/>
    <mergeCell ref="D1054:E1054"/>
    <mergeCell ref="A1062:B1062"/>
    <mergeCell ref="D1062:E1062"/>
    <mergeCell ref="A1063:B1063"/>
    <mergeCell ref="D1063:E1063"/>
    <mergeCell ref="A1064:B1064"/>
    <mergeCell ref="D1064:E1064"/>
    <mergeCell ref="A1058:B1058"/>
    <mergeCell ref="D1058:E1058"/>
    <mergeCell ref="A1059:B1059"/>
    <mergeCell ref="D1059:E1059"/>
    <mergeCell ref="A1086:B1086"/>
    <mergeCell ref="D1086:E1086"/>
    <mergeCell ref="A1087:B1087"/>
    <mergeCell ref="D1087:E1087"/>
    <mergeCell ref="A1088:B1088"/>
    <mergeCell ref="D1088:E1088"/>
    <mergeCell ref="A1082:B1082"/>
    <mergeCell ref="D1082:E1082"/>
    <mergeCell ref="A1083:B1083"/>
    <mergeCell ref="D1083:E1083"/>
    <mergeCell ref="A1085:B1085"/>
    <mergeCell ref="D1085:E1085"/>
    <mergeCell ref="A1078:B1078"/>
    <mergeCell ref="D1078:E1078"/>
    <mergeCell ref="A1079:B1079"/>
    <mergeCell ref="D1079:E1079"/>
    <mergeCell ref="A1080:B1080"/>
    <mergeCell ref="D1080:E1080"/>
    <mergeCell ref="A1111:B1111"/>
    <mergeCell ref="D1111:E1111"/>
    <mergeCell ref="A1105:B1105"/>
    <mergeCell ref="D1105:E1105"/>
    <mergeCell ref="A1106:B1106"/>
    <mergeCell ref="D1106:E1106"/>
    <mergeCell ref="A1108:B1108"/>
    <mergeCell ref="D1108:E1108"/>
    <mergeCell ref="A1140:B1140"/>
    <mergeCell ref="D1140:E1140"/>
    <mergeCell ref="A1141:B1141"/>
    <mergeCell ref="D1141:E1141"/>
    <mergeCell ref="A1142:B1142"/>
    <mergeCell ref="D1142:E1142"/>
    <mergeCell ref="A1136:B1136"/>
    <mergeCell ref="D1136:E1136"/>
    <mergeCell ref="A1137:B1137"/>
    <mergeCell ref="D1137:E1137"/>
    <mergeCell ref="A1139:B1139"/>
    <mergeCell ref="D1139:E1139"/>
    <mergeCell ref="A1117:B1117"/>
    <mergeCell ref="D1117:E1117"/>
    <mergeCell ref="A1118:B1118"/>
    <mergeCell ref="D1118:E1118"/>
    <mergeCell ref="A1119:B1119"/>
    <mergeCell ref="D1119:E1119"/>
    <mergeCell ref="A1120:B1120"/>
    <mergeCell ref="D1120:E1120"/>
    <mergeCell ref="A1121:B1121"/>
    <mergeCell ref="D1121:E1121"/>
    <mergeCell ref="A1147:B1147"/>
    <mergeCell ref="D1147:E1147"/>
    <mergeCell ref="A1155:B1155"/>
    <mergeCell ref="D1155:E1155"/>
    <mergeCell ref="A1156:B1156"/>
    <mergeCell ref="D1156:E1156"/>
    <mergeCell ref="A1157:B1157"/>
    <mergeCell ref="D1157:E1157"/>
    <mergeCell ref="A1151:B1151"/>
    <mergeCell ref="D1151:E1151"/>
    <mergeCell ref="A1152:B1152"/>
    <mergeCell ref="D1152:E1152"/>
    <mergeCell ref="A1179:B1179"/>
    <mergeCell ref="D1179:E1179"/>
    <mergeCell ref="A1180:B1180"/>
    <mergeCell ref="D1180:E1180"/>
    <mergeCell ref="A1181:B1181"/>
    <mergeCell ref="D1181:E1181"/>
    <mergeCell ref="A1175:B1175"/>
    <mergeCell ref="D1175:E1175"/>
    <mergeCell ref="A1176:B1176"/>
    <mergeCell ref="D1176:E1176"/>
    <mergeCell ref="A1178:B1178"/>
    <mergeCell ref="D1178:E1178"/>
    <mergeCell ref="A1171:B1171"/>
    <mergeCell ref="D1171:E1171"/>
    <mergeCell ref="A1172:B1172"/>
    <mergeCell ref="D1172:E1172"/>
    <mergeCell ref="A1173:B1173"/>
    <mergeCell ref="D1173:E1173"/>
    <mergeCell ref="A1204:B1204"/>
    <mergeCell ref="D1204:E1204"/>
    <mergeCell ref="A1198:B1198"/>
    <mergeCell ref="D1198:E1198"/>
    <mergeCell ref="A1199:B1199"/>
    <mergeCell ref="D1199:E1199"/>
    <mergeCell ref="A1201:B1201"/>
    <mergeCell ref="D1201:E1201"/>
    <mergeCell ref="A1233:B1233"/>
    <mergeCell ref="D1233:E1233"/>
    <mergeCell ref="A1234:B1234"/>
    <mergeCell ref="D1234:E1234"/>
    <mergeCell ref="A1235:B1235"/>
    <mergeCell ref="D1235:E1235"/>
    <mergeCell ref="A1229:B1229"/>
    <mergeCell ref="D1229:E1229"/>
    <mergeCell ref="A1230:B1230"/>
    <mergeCell ref="D1230:E1230"/>
    <mergeCell ref="A1232:B1232"/>
    <mergeCell ref="D1232:E1232"/>
    <mergeCell ref="A1210:B1210"/>
    <mergeCell ref="D1210:E1210"/>
    <mergeCell ref="A1211:B1211"/>
    <mergeCell ref="D1211:E1211"/>
    <mergeCell ref="A1212:B1212"/>
    <mergeCell ref="D1212:E1212"/>
    <mergeCell ref="A1213:B1213"/>
    <mergeCell ref="D1213:E1213"/>
    <mergeCell ref="A1214:B1214"/>
    <mergeCell ref="D1214:E1214"/>
    <mergeCell ref="A1240:B1240"/>
    <mergeCell ref="D1240:E1240"/>
    <mergeCell ref="A1248:B1248"/>
    <mergeCell ref="D1248:E1248"/>
    <mergeCell ref="A1249:B1249"/>
    <mergeCell ref="D1249:E1249"/>
    <mergeCell ref="A1250:B1250"/>
    <mergeCell ref="D1250:E1250"/>
    <mergeCell ref="A1244:B1244"/>
    <mergeCell ref="D1244:E1244"/>
    <mergeCell ref="A1245:B1245"/>
    <mergeCell ref="D1245:E1245"/>
    <mergeCell ref="A1272:B1272"/>
    <mergeCell ref="D1272:E1272"/>
    <mergeCell ref="A1273:B1273"/>
    <mergeCell ref="D1273:E1273"/>
    <mergeCell ref="A1274:B1274"/>
    <mergeCell ref="D1274:E1274"/>
    <mergeCell ref="A1268:B1268"/>
    <mergeCell ref="D1268:E1268"/>
    <mergeCell ref="A1269:B1269"/>
    <mergeCell ref="D1269:E1269"/>
    <mergeCell ref="A1271:B1271"/>
    <mergeCell ref="D1271:E1271"/>
    <mergeCell ref="A1264:B1264"/>
    <mergeCell ref="D1264:E1264"/>
    <mergeCell ref="A1265:B1265"/>
    <mergeCell ref="D1265:E1265"/>
    <mergeCell ref="A1266:B1266"/>
    <mergeCell ref="D1266:E1266"/>
    <mergeCell ref="A1307:B1307"/>
    <mergeCell ref="D1307:E1307"/>
    <mergeCell ref="A1310:B1310"/>
    <mergeCell ref="D1310:E1310"/>
    <mergeCell ref="A1353:B1353"/>
    <mergeCell ref="D1353:E1353"/>
    <mergeCell ref="A1354:B1354"/>
    <mergeCell ref="D1354:E1354"/>
    <mergeCell ref="A1356:B1356"/>
    <mergeCell ref="D1356:E1356"/>
    <mergeCell ref="A1334:B1334"/>
    <mergeCell ref="D1334:E1334"/>
    <mergeCell ref="A1335:B1335"/>
    <mergeCell ref="D1335:E1335"/>
    <mergeCell ref="A1336:B1336"/>
    <mergeCell ref="D1336:E1336"/>
    <mergeCell ref="A1330:B1330"/>
    <mergeCell ref="D1330:E1330"/>
    <mergeCell ref="A1331:B1331"/>
    <mergeCell ref="D1331:E1331"/>
    <mergeCell ref="A1333:B1333"/>
    <mergeCell ref="D1333:E1333"/>
    <mergeCell ref="A1349:B1349"/>
    <mergeCell ref="D1349:E1349"/>
    <mergeCell ref="A1350:B1350"/>
    <mergeCell ref="D1350:E1350"/>
    <mergeCell ref="A1351:B1351"/>
    <mergeCell ref="D1351:E1351"/>
    <mergeCell ref="A1345:B1345"/>
    <mergeCell ref="D1345:E1345"/>
    <mergeCell ref="A1346:B1346"/>
    <mergeCell ref="D1346:E1346"/>
    <mergeCell ref="A1348:B1348"/>
    <mergeCell ref="D1348:E1348"/>
    <mergeCell ref="A1341:B1341"/>
    <mergeCell ref="D1341:E1341"/>
    <mergeCell ref="A1365:B1365"/>
    <mergeCell ref="D1365:E1365"/>
    <mergeCell ref="A1366:B1366"/>
    <mergeCell ref="D1366:E1366"/>
    <mergeCell ref="A1367:B1367"/>
    <mergeCell ref="D1367:E1367"/>
    <mergeCell ref="A1361:B1361"/>
    <mergeCell ref="D1361:E1361"/>
    <mergeCell ref="A1362:B1362"/>
    <mergeCell ref="D1362:E1362"/>
    <mergeCell ref="A1364:B1364"/>
    <mergeCell ref="D1364:E1364"/>
    <mergeCell ref="A1357:B1357"/>
    <mergeCell ref="D1357:E1357"/>
    <mergeCell ref="A1358:B1358"/>
    <mergeCell ref="D1358:E1358"/>
    <mergeCell ref="A1359:B1359"/>
    <mergeCell ref="D1359:E1359"/>
    <mergeCell ref="A1342:B1342"/>
    <mergeCell ref="D1342:E1342"/>
    <mergeCell ref="A1343:B1343"/>
    <mergeCell ref="D1343:E1343"/>
  </mergeCells>
  <pageMargins left="7.874015748031496E-2" right="7.874015748031496E-2" top="0" bottom="0" header="0" footer="0"/>
  <pageSetup paperSize="263" fitToHeight="0" orientation="portrait" horizontalDpi="203" verticalDpi="203" r:id="rId1"/>
  <rowBreaks count="43" manualBreakCount="43">
    <brk id="34" max="16383" man="1"/>
    <brk id="65" max="16383" man="1"/>
    <brk id="96" max="16383" man="1"/>
    <brk id="127" max="16383" man="1"/>
    <brk id="158" max="16383" man="1"/>
    <brk id="189" max="16383" man="1"/>
    <brk id="220" max="16383" man="1"/>
    <brk id="251" max="16383" man="1"/>
    <brk id="282" max="16383" man="1"/>
    <brk id="313" max="16383" man="1"/>
    <brk id="344" max="16383" man="1"/>
    <brk id="375" max="16383" man="1"/>
    <brk id="406" max="16383" man="1"/>
    <brk id="437" max="16383" man="1"/>
    <brk id="468" max="16383" man="1"/>
    <brk id="499" max="16383" man="1"/>
    <brk id="530" max="16383" man="1"/>
    <brk id="561" max="16383" man="1"/>
    <brk id="592" max="16383" man="1"/>
    <brk id="623" max="16383" man="1"/>
    <brk id="654" max="16383" man="1"/>
    <brk id="685" max="16383" man="1"/>
    <brk id="716" max="16383" man="1"/>
    <brk id="747" max="16383" man="1"/>
    <brk id="778" max="16383" man="1"/>
    <brk id="809" max="16383" man="1"/>
    <brk id="840" max="16383" man="1"/>
    <brk id="871" max="16383" man="1"/>
    <brk id="902" max="16383" man="1"/>
    <brk id="933" max="16383" man="1"/>
    <brk id="964" max="16383" man="1"/>
    <brk id="995" max="16383" man="1"/>
    <brk id="1026" max="16383" man="1"/>
    <brk id="1057" max="16383" man="1"/>
    <brk id="1088" max="16383" man="1"/>
    <brk id="1119" max="16383" man="1"/>
    <brk id="1150" max="16383" man="1"/>
    <brk id="1181" max="16383" man="1"/>
    <brk id="1212" max="16383" man="1"/>
    <brk id="1243" max="16383" man="1"/>
    <brk id="1274" max="4" man="1"/>
    <brk id="1305" max="4" man="1"/>
    <brk id="1336" max="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F57"/>
  <sheetViews>
    <sheetView workbookViewId="0">
      <selection sqref="A1:XFD1048576"/>
    </sheetView>
  </sheetViews>
  <sheetFormatPr defaultColWidth="11.42578125" defaultRowHeight="15"/>
  <cols>
    <col min="1" max="1" width="29.140625" style="64" bestFit="1" customWidth="1"/>
    <col min="2" max="2" width="28.140625" style="64" bestFit="1" customWidth="1"/>
    <col min="3" max="3" width="41.5703125" style="64" bestFit="1" customWidth="1"/>
    <col min="4" max="16384" width="11.42578125" style="64"/>
  </cols>
  <sheetData>
    <row r="1" spans="1:6" ht="15.75">
      <c r="A1" s="637" t="s">
        <v>200</v>
      </c>
      <c r="B1" s="638"/>
      <c r="C1" s="638"/>
    </row>
    <row r="2" spans="1:6" ht="15.75" thickBot="1"/>
    <row r="3" spans="1:6" ht="15.75" thickBot="1">
      <c r="A3" s="245" t="s">
        <v>201</v>
      </c>
      <c r="B3" s="245" t="s">
        <v>6</v>
      </c>
      <c r="C3" s="245" t="s">
        <v>202</v>
      </c>
    </row>
    <row r="4" spans="1:6" ht="15.75" thickBot="1">
      <c r="A4" s="246" t="s">
        <v>241</v>
      </c>
      <c r="B4" s="247" t="s">
        <v>183</v>
      </c>
      <c r="C4" s="248" t="s">
        <v>204</v>
      </c>
    </row>
    <row r="5" spans="1:6" ht="15.75" thickBot="1">
      <c r="A5" s="246" t="s">
        <v>203</v>
      </c>
      <c r="B5" s="247" t="s">
        <v>35</v>
      </c>
      <c r="C5" s="248" t="s">
        <v>204</v>
      </c>
      <c r="E5" s="64" t="s">
        <v>423</v>
      </c>
      <c r="F5" s="135" t="s">
        <v>406</v>
      </c>
    </row>
    <row r="6" spans="1:6" ht="15.75" thickBot="1">
      <c r="A6" s="634" t="s">
        <v>205</v>
      </c>
      <c r="B6" s="247" t="s">
        <v>36</v>
      </c>
      <c r="C6" s="248" t="s">
        <v>204</v>
      </c>
      <c r="E6" s="64" t="s">
        <v>423</v>
      </c>
      <c r="F6" s="135" t="s">
        <v>407</v>
      </c>
    </row>
    <row r="7" spans="1:6" ht="15.75" thickBot="1">
      <c r="A7" s="635"/>
      <c r="B7" s="247" t="s">
        <v>242</v>
      </c>
      <c r="C7" s="248" t="s">
        <v>204</v>
      </c>
      <c r="F7" s="64" t="s">
        <v>429</v>
      </c>
    </row>
    <row r="8" spans="1:6" ht="15.75" thickBot="1">
      <c r="A8" s="636"/>
      <c r="B8" s="247" t="s">
        <v>182</v>
      </c>
      <c r="C8" s="248" t="s">
        <v>204</v>
      </c>
    </row>
    <row r="9" spans="1:6" ht="15.75" thickBot="1">
      <c r="A9" s="246" t="s">
        <v>206</v>
      </c>
      <c r="B9" s="247" t="s">
        <v>42</v>
      </c>
      <c r="C9" s="248" t="s">
        <v>204</v>
      </c>
    </row>
    <row r="10" spans="1:6">
      <c r="A10" s="639" t="s">
        <v>207</v>
      </c>
      <c r="B10" s="249" t="s">
        <v>40</v>
      </c>
      <c r="C10" s="620" t="s">
        <v>204</v>
      </c>
    </row>
    <row r="11" spans="1:6">
      <c r="A11" s="640"/>
      <c r="B11" s="250" t="s">
        <v>208</v>
      </c>
      <c r="C11" s="621"/>
    </row>
    <row r="12" spans="1:6" ht="15.75" thickBot="1">
      <c r="A12" s="641"/>
      <c r="B12" s="251" t="s">
        <v>45</v>
      </c>
      <c r="C12" s="622"/>
    </row>
    <row r="13" spans="1:6" ht="15.75" thickBot="1">
      <c r="A13" s="252" t="s">
        <v>209</v>
      </c>
      <c r="B13" s="253" t="s">
        <v>46</v>
      </c>
      <c r="C13" s="248" t="s">
        <v>204</v>
      </c>
    </row>
    <row r="14" spans="1:6">
      <c r="A14" s="642" t="s">
        <v>210</v>
      </c>
      <c r="B14" s="254" t="s">
        <v>181</v>
      </c>
      <c r="C14" s="620" t="s">
        <v>204</v>
      </c>
      <c r="E14" s="64" t="s">
        <v>424</v>
      </c>
      <c r="F14" s="135" t="s">
        <v>409</v>
      </c>
    </row>
    <row r="15" spans="1:6" ht="15.75" thickBot="1">
      <c r="A15" s="643"/>
      <c r="B15" s="251" t="s">
        <v>47</v>
      </c>
      <c r="C15" s="622"/>
      <c r="E15" s="64" t="s">
        <v>424</v>
      </c>
      <c r="F15" s="135" t="s">
        <v>413</v>
      </c>
    </row>
    <row r="16" spans="1:6">
      <c r="A16" s="631" t="s">
        <v>211</v>
      </c>
      <c r="B16" s="255" t="s">
        <v>43</v>
      </c>
      <c r="C16" s="620" t="s">
        <v>204</v>
      </c>
    </row>
    <row r="17" spans="1:6" ht="15.75" thickBot="1">
      <c r="A17" s="633"/>
      <c r="B17" s="251" t="s">
        <v>44</v>
      </c>
      <c r="C17" s="622"/>
    </row>
    <row r="18" spans="1:6" ht="15.75" thickBot="1">
      <c r="A18" s="256" t="s">
        <v>212</v>
      </c>
      <c r="B18" s="257" t="s">
        <v>39</v>
      </c>
      <c r="C18" s="248" t="s">
        <v>204</v>
      </c>
    </row>
    <row r="19" spans="1:6" ht="15.75" thickBot="1">
      <c r="A19" s="256" t="s">
        <v>213</v>
      </c>
      <c r="B19" s="257" t="s">
        <v>61</v>
      </c>
      <c r="C19" s="248" t="s">
        <v>204</v>
      </c>
    </row>
    <row r="20" spans="1:6" ht="15.75" thickBot="1">
      <c r="A20" s="256" t="s">
        <v>214</v>
      </c>
      <c r="B20" s="257" t="s">
        <v>60</v>
      </c>
      <c r="C20" s="248" t="s">
        <v>204</v>
      </c>
    </row>
    <row r="21" spans="1:6" ht="15.75" thickBot="1">
      <c r="A21" s="256" t="s">
        <v>215</v>
      </c>
      <c r="B21" s="257" t="s">
        <v>62</v>
      </c>
      <c r="C21" s="248" t="s">
        <v>204</v>
      </c>
    </row>
    <row r="22" spans="1:6" ht="15.75" thickBot="1">
      <c r="A22" s="256" t="s">
        <v>216</v>
      </c>
      <c r="B22" s="257" t="s">
        <v>63</v>
      </c>
      <c r="C22" s="248" t="s">
        <v>204</v>
      </c>
    </row>
    <row r="23" spans="1:6">
      <c r="A23" s="617" t="s">
        <v>217</v>
      </c>
      <c r="B23" s="258" t="s">
        <v>38</v>
      </c>
      <c r="C23" s="620" t="s">
        <v>204</v>
      </c>
      <c r="E23" s="64" t="s">
        <v>427</v>
      </c>
      <c r="F23" s="135" t="s">
        <v>412</v>
      </c>
    </row>
    <row r="24" spans="1:6">
      <c r="A24" s="618"/>
      <c r="B24" s="259" t="s">
        <v>178</v>
      </c>
      <c r="C24" s="621"/>
      <c r="E24" s="64" t="s">
        <v>426</v>
      </c>
      <c r="F24" s="135" t="s">
        <v>414</v>
      </c>
    </row>
    <row r="25" spans="1:6">
      <c r="A25" s="618"/>
      <c r="B25" s="260" t="s">
        <v>176</v>
      </c>
      <c r="C25" s="621"/>
      <c r="F25" s="135" t="s">
        <v>411</v>
      </c>
    </row>
    <row r="26" spans="1:6" ht="15.75" thickBot="1">
      <c r="A26" s="619"/>
      <c r="B26" s="261" t="s">
        <v>177</v>
      </c>
      <c r="C26" s="622"/>
    </row>
    <row r="27" spans="1:6">
      <c r="A27" s="631" t="s">
        <v>218</v>
      </c>
      <c r="B27" s="262" t="s">
        <v>179</v>
      </c>
      <c r="C27" s="620" t="s">
        <v>204</v>
      </c>
    </row>
    <row r="28" spans="1:6">
      <c r="A28" s="632"/>
      <c r="B28" s="263" t="s">
        <v>24</v>
      </c>
      <c r="C28" s="621"/>
    </row>
    <row r="29" spans="1:6">
      <c r="A29" s="632"/>
      <c r="B29" s="264" t="s">
        <v>50</v>
      </c>
      <c r="C29" s="621"/>
    </row>
    <row r="30" spans="1:6">
      <c r="A30" s="632"/>
      <c r="B30" s="263" t="s">
        <v>52</v>
      </c>
      <c r="C30" s="621"/>
    </row>
    <row r="31" spans="1:6">
      <c r="A31" s="632"/>
      <c r="B31" s="263" t="s">
        <v>29</v>
      </c>
      <c r="C31" s="621"/>
    </row>
    <row r="32" spans="1:6">
      <c r="A32" s="632"/>
      <c r="B32" s="263" t="s">
        <v>51</v>
      </c>
      <c r="C32" s="621"/>
    </row>
    <row r="33" spans="1:6">
      <c r="A33" s="632"/>
      <c r="B33" s="265" t="s">
        <v>53</v>
      </c>
      <c r="C33" s="621"/>
    </row>
    <row r="34" spans="1:6">
      <c r="A34" s="632"/>
      <c r="B34" s="265" t="s">
        <v>54</v>
      </c>
      <c r="C34" s="621"/>
    </row>
    <row r="35" spans="1:6" ht="15.75" thickBot="1">
      <c r="A35" s="633"/>
      <c r="B35" s="266" t="s">
        <v>180</v>
      </c>
      <c r="C35" s="622"/>
    </row>
    <row r="36" spans="1:6" ht="15.75" thickBot="1">
      <c r="A36" s="246" t="s">
        <v>219</v>
      </c>
      <c r="B36" s="257" t="s">
        <v>56</v>
      </c>
      <c r="C36" s="248" t="s">
        <v>204</v>
      </c>
    </row>
    <row r="37" spans="1:6">
      <c r="A37" s="617" t="s">
        <v>220</v>
      </c>
      <c r="B37" s="267" t="s">
        <v>31</v>
      </c>
      <c r="C37" s="620" t="s">
        <v>204</v>
      </c>
    </row>
    <row r="38" spans="1:6" ht="15.75" thickBot="1">
      <c r="A38" s="619"/>
      <c r="B38" s="261" t="s">
        <v>32</v>
      </c>
      <c r="C38" s="622"/>
      <c r="E38" s="64" t="s">
        <v>428</v>
      </c>
      <c r="F38" s="135" t="s">
        <v>408</v>
      </c>
    </row>
    <row r="39" spans="1:6" ht="15.75" thickBot="1">
      <c r="A39" s="268" t="s">
        <v>221</v>
      </c>
      <c r="B39" s="269" t="s">
        <v>33</v>
      </c>
      <c r="C39" s="248" t="s">
        <v>204</v>
      </c>
    </row>
    <row r="40" spans="1:6" ht="15.75" thickBot="1">
      <c r="A40" s="268" t="s">
        <v>222</v>
      </c>
      <c r="B40" s="247" t="s">
        <v>189</v>
      </c>
      <c r="C40" s="248" t="s">
        <v>204</v>
      </c>
    </row>
    <row r="41" spans="1:6" ht="15.75" thickBot="1">
      <c r="A41" s="256" t="s">
        <v>223</v>
      </c>
      <c r="B41" s="257" t="s">
        <v>48</v>
      </c>
      <c r="C41" s="248" t="s">
        <v>204</v>
      </c>
    </row>
    <row r="42" spans="1:6" ht="15.75" thickBot="1">
      <c r="A42" s="246" t="s">
        <v>224</v>
      </c>
      <c r="B42" s="247" t="s">
        <v>30</v>
      </c>
      <c r="C42" s="248" t="s">
        <v>204</v>
      </c>
    </row>
    <row r="43" spans="1:6">
      <c r="A43" s="617" t="s">
        <v>225</v>
      </c>
      <c r="B43" s="255" t="s">
        <v>37</v>
      </c>
      <c r="C43" s="620" t="s">
        <v>204</v>
      </c>
    </row>
    <row r="44" spans="1:6">
      <c r="A44" s="618"/>
      <c r="B44" s="270" t="s">
        <v>55</v>
      </c>
      <c r="C44" s="621"/>
    </row>
    <row r="45" spans="1:6" ht="15.75" thickBot="1">
      <c r="A45" s="619"/>
      <c r="B45" s="271" t="s">
        <v>226</v>
      </c>
      <c r="C45" s="622"/>
    </row>
    <row r="46" spans="1:6" ht="15.75" thickBot="1">
      <c r="A46" s="256" t="s">
        <v>227</v>
      </c>
      <c r="B46" s="272" t="s">
        <v>228</v>
      </c>
      <c r="C46" s="248" t="s">
        <v>204</v>
      </c>
      <c r="E46" s="64" t="s">
        <v>425</v>
      </c>
      <c r="F46" s="135" t="s">
        <v>410</v>
      </c>
    </row>
    <row r="47" spans="1:6" ht="15.75" thickBot="1">
      <c r="A47" s="256" t="s">
        <v>229</v>
      </c>
      <c r="B47" s="257" t="s">
        <v>57</v>
      </c>
      <c r="C47" s="248" t="s">
        <v>204</v>
      </c>
    </row>
    <row r="48" spans="1:6" ht="15.75" thickBot="1">
      <c r="A48" s="256" t="s">
        <v>230</v>
      </c>
      <c r="B48" s="257" t="s">
        <v>58</v>
      </c>
      <c r="C48" s="248" t="s">
        <v>204</v>
      </c>
    </row>
    <row r="49" spans="1:3" ht="15.75" thickBot="1">
      <c r="A49" s="256" t="s">
        <v>231</v>
      </c>
      <c r="B49" s="257" t="s">
        <v>41</v>
      </c>
      <c r="C49" s="248" t="s">
        <v>204</v>
      </c>
    </row>
    <row r="50" spans="1:3">
      <c r="A50" s="617" t="s">
        <v>232</v>
      </c>
      <c r="B50" s="273" t="s">
        <v>34</v>
      </c>
      <c r="C50" s="620" t="s">
        <v>204</v>
      </c>
    </row>
    <row r="51" spans="1:3" ht="15.75" thickBot="1">
      <c r="A51" s="619"/>
      <c r="B51" s="251" t="s">
        <v>49</v>
      </c>
      <c r="C51" s="622"/>
    </row>
    <row r="52" spans="1:3">
      <c r="A52" s="623" t="s">
        <v>233</v>
      </c>
      <c r="B52" s="274" t="s">
        <v>234</v>
      </c>
      <c r="C52" s="627" t="s">
        <v>204</v>
      </c>
    </row>
    <row r="53" spans="1:3">
      <c r="A53" s="624"/>
      <c r="B53" s="275" t="s">
        <v>235</v>
      </c>
      <c r="C53" s="628"/>
    </row>
    <row r="54" spans="1:3">
      <c r="A54" s="624"/>
      <c r="B54" s="275" t="s">
        <v>236</v>
      </c>
      <c r="C54" s="628"/>
    </row>
    <row r="55" spans="1:3">
      <c r="A55" s="625"/>
      <c r="B55" s="276" t="s">
        <v>237</v>
      </c>
      <c r="C55" s="629"/>
    </row>
    <row r="56" spans="1:3" ht="15.75" thickBot="1">
      <c r="A56" s="626"/>
      <c r="B56" s="277" t="s">
        <v>238</v>
      </c>
      <c r="C56" s="630"/>
    </row>
    <row r="57" spans="1:3" ht="15.75" thickBot="1">
      <c r="A57" s="278" t="s">
        <v>239</v>
      </c>
      <c r="B57" s="279" t="s">
        <v>240</v>
      </c>
      <c r="C57" s="280" t="s">
        <v>204</v>
      </c>
    </row>
  </sheetData>
  <sheetProtection algorithmName="SHA-512" hashValue="brYAuP1HTXpC6yDIG5ko/TVK5m3DnZTC52Q8aDyMqB5k8huplaFql8vmiBn6evpOY4PCfNB8FCq39DctMkkSQQ==" saltValue="Uoq98+pSPmoCVgujnUAKUw==" spinCount="100000" sheet="1" objects="1" scenarios="1"/>
  <mergeCells count="20">
    <mergeCell ref="A16:A17"/>
    <mergeCell ref="C16:C17"/>
    <mergeCell ref="A6:A8"/>
    <mergeCell ref="A1:C1"/>
    <mergeCell ref="A10:A12"/>
    <mergeCell ref="C10:C12"/>
    <mergeCell ref="A14:A15"/>
    <mergeCell ref="C14:C15"/>
    <mergeCell ref="A23:A26"/>
    <mergeCell ref="C23:C26"/>
    <mergeCell ref="A27:A35"/>
    <mergeCell ref="C27:C35"/>
    <mergeCell ref="A37:A38"/>
    <mergeCell ref="C37:C38"/>
    <mergeCell ref="A43:A45"/>
    <mergeCell ref="C43:C45"/>
    <mergeCell ref="A50:A51"/>
    <mergeCell ref="C50:C51"/>
    <mergeCell ref="A52:A56"/>
    <mergeCell ref="C52:C5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X122"/>
  <sheetViews>
    <sheetView workbookViewId="0">
      <pane ySplit="1" topLeftCell="A66" activePane="bottomLeft" state="frozen"/>
      <selection sqref="A1:XFD1048576"/>
      <selection pane="bottomLeft" activeCell="A64" sqref="A64"/>
    </sheetView>
  </sheetViews>
  <sheetFormatPr defaultColWidth="11.42578125" defaultRowHeight="15"/>
  <cols>
    <col min="1" max="1" width="8.7109375" style="138" bestFit="1" customWidth="1"/>
    <col min="2" max="2" width="36.140625" style="138" bestFit="1" customWidth="1"/>
    <col min="3" max="3" width="5.5703125" style="138" customWidth="1"/>
    <col min="4" max="4" width="23.140625" style="138" bestFit="1" customWidth="1"/>
    <col min="5" max="5" width="15.7109375" style="138" bestFit="1" customWidth="1"/>
    <col min="6" max="6" width="16.7109375" style="138" bestFit="1" customWidth="1"/>
    <col min="7" max="7" width="16.7109375" style="138" customWidth="1"/>
    <col min="8" max="8" width="18.28515625" style="138" bestFit="1" customWidth="1"/>
    <col min="9" max="9" width="16.7109375" style="138" bestFit="1" customWidth="1"/>
    <col min="10" max="10" width="12.28515625" style="138" customWidth="1"/>
    <col min="11" max="11" width="13.7109375" style="138" bestFit="1" customWidth="1"/>
    <col min="12" max="13" width="11.42578125" style="138"/>
    <col min="14" max="14" width="12.5703125" style="138" bestFit="1" customWidth="1"/>
    <col min="15" max="16" width="8.7109375" style="138" bestFit="1" customWidth="1"/>
    <col min="17" max="16384" width="11.42578125" style="64"/>
  </cols>
  <sheetData>
    <row r="1" spans="1:24" ht="36" customHeight="1">
      <c r="A1" s="281" t="s">
        <v>98</v>
      </c>
      <c r="B1" s="281" t="s">
        <v>25</v>
      </c>
      <c r="C1" s="281" t="s">
        <v>96</v>
      </c>
      <c r="D1" s="281" t="s">
        <v>0</v>
      </c>
      <c r="E1" s="281" t="s">
        <v>188</v>
      </c>
      <c r="F1" s="281" t="s">
        <v>275</v>
      </c>
      <c r="G1" s="281" t="s">
        <v>276</v>
      </c>
      <c r="H1" s="281" t="s">
        <v>256</v>
      </c>
      <c r="I1" s="281" t="s">
        <v>255</v>
      </c>
      <c r="J1" s="281" t="s">
        <v>243</v>
      </c>
      <c r="K1" s="281" t="s">
        <v>99</v>
      </c>
      <c r="L1" s="281" t="s">
        <v>192</v>
      </c>
      <c r="M1" s="281" t="s">
        <v>175</v>
      </c>
      <c r="N1" s="281" t="s">
        <v>7</v>
      </c>
      <c r="O1" s="281" t="s">
        <v>692</v>
      </c>
      <c r="P1" s="281" t="s">
        <v>99</v>
      </c>
      <c r="Q1" s="238" t="s">
        <v>759</v>
      </c>
      <c r="R1" s="238" t="s">
        <v>760</v>
      </c>
      <c r="S1" s="238" t="s">
        <v>761</v>
      </c>
      <c r="T1" s="238" t="s">
        <v>762</v>
      </c>
      <c r="U1" s="238" t="s">
        <v>751</v>
      </c>
      <c r="V1" s="238" t="s">
        <v>763</v>
      </c>
      <c r="W1" s="238" t="s">
        <v>764</v>
      </c>
      <c r="X1" s="239" t="s">
        <v>117</v>
      </c>
    </row>
    <row r="2" spans="1:24">
      <c r="A2" s="136">
        <v>69</v>
      </c>
      <c r="B2" s="134" t="s">
        <v>41</v>
      </c>
      <c r="C2" s="134" t="s">
        <v>280</v>
      </c>
      <c r="D2" s="134" t="s">
        <v>526</v>
      </c>
      <c r="E2" s="134">
        <v>250</v>
      </c>
      <c r="F2" s="134">
        <v>25</v>
      </c>
      <c r="G2" s="134">
        <v>50</v>
      </c>
      <c r="H2" s="135" t="s">
        <v>257</v>
      </c>
      <c r="I2" s="135" t="s">
        <v>259</v>
      </c>
      <c r="J2" s="136">
        <v>7</v>
      </c>
      <c r="K2" s="136" t="s">
        <v>685</v>
      </c>
      <c r="L2" s="136" t="s">
        <v>193</v>
      </c>
      <c r="M2" s="136">
        <v>84</v>
      </c>
      <c r="N2" s="136" t="s">
        <v>198</v>
      </c>
      <c r="O2" s="231" t="s">
        <v>697</v>
      </c>
      <c r="P2" s="231"/>
      <c r="Q2" s="237"/>
      <c r="R2" s="237" t="s">
        <v>765</v>
      </c>
      <c r="S2" s="237" t="s">
        <v>795</v>
      </c>
      <c r="T2" s="237"/>
      <c r="U2" s="237"/>
      <c r="V2" s="237"/>
      <c r="W2" s="237"/>
    </row>
    <row r="3" spans="1:24">
      <c r="A3" s="136" t="s">
        <v>525</v>
      </c>
      <c r="B3" s="134" t="s">
        <v>41</v>
      </c>
      <c r="C3" s="134" t="s">
        <v>280</v>
      </c>
      <c r="D3" s="134" t="s">
        <v>526</v>
      </c>
      <c r="E3" s="134">
        <v>250</v>
      </c>
      <c r="F3" s="134">
        <v>25</v>
      </c>
      <c r="G3" s="134">
        <v>50</v>
      </c>
      <c r="H3" s="135" t="s">
        <v>257</v>
      </c>
      <c r="I3" s="135" t="s">
        <v>259</v>
      </c>
      <c r="J3" s="136">
        <v>7</v>
      </c>
      <c r="K3" s="136" t="s">
        <v>685</v>
      </c>
      <c r="L3" s="136" t="s">
        <v>193</v>
      </c>
      <c r="M3" s="136">
        <v>84</v>
      </c>
      <c r="N3" s="136" t="s">
        <v>198</v>
      </c>
      <c r="O3" s="231" t="s">
        <v>697</v>
      </c>
      <c r="P3" s="231"/>
      <c r="Q3" s="237"/>
      <c r="R3" s="237" t="s">
        <v>766</v>
      </c>
      <c r="S3" s="237" t="s">
        <v>796</v>
      </c>
      <c r="T3" s="237" t="s">
        <v>767</v>
      </c>
      <c r="U3" s="237"/>
      <c r="V3" s="237"/>
      <c r="W3" s="237"/>
    </row>
    <row r="4" spans="1:24">
      <c r="A4" s="136">
        <v>421</v>
      </c>
      <c r="B4" s="134" t="s">
        <v>31</v>
      </c>
      <c r="C4" s="134" t="s">
        <v>280</v>
      </c>
      <c r="D4" s="134" t="s">
        <v>65</v>
      </c>
      <c r="E4" s="134">
        <v>100</v>
      </c>
      <c r="F4" s="134">
        <v>50</v>
      </c>
      <c r="G4" s="134">
        <v>50</v>
      </c>
      <c r="H4" s="135" t="s">
        <v>257</v>
      </c>
      <c r="I4" s="135" t="s">
        <v>258</v>
      </c>
      <c r="J4" s="136">
        <v>7</v>
      </c>
      <c r="K4" s="136" t="s">
        <v>794</v>
      </c>
      <c r="L4" s="136" t="s">
        <v>197</v>
      </c>
      <c r="M4" s="136">
        <v>69</v>
      </c>
      <c r="N4" s="136" t="s">
        <v>198</v>
      </c>
      <c r="O4" s="231" t="s">
        <v>1135</v>
      </c>
      <c r="P4" s="231"/>
      <c r="Q4" s="237"/>
      <c r="R4" s="237"/>
      <c r="S4" s="237" t="s">
        <v>797</v>
      </c>
      <c r="T4" s="237"/>
      <c r="U4" s="237"/>
      <c r="V4" s="237"/>
      <c r="W4" s="237"/>
    </row>
    <row r="5" spans="1:24">
      <c r="A5" s="136">
        <v>422</v>
      </c>
      <c r="B5" s="134" t="s">
        <v>31</v>
      </c>
      <c r="C5" s="134" t="s">
        <v>280</v>
      </c>
      <c r="D5" s="134" t="s">
        <v>64</v>
      </c>
      <c r="E5" s="134">
        <v>500</v>
      </c>
      <c r="F5" s="134">
        <v>250</v>
      </c>
      <c r="G5" s="134">
        <v>250</v>
      </c>
      <c r="H5" s="135" t="s">
        <v>257</v>
      </c>
      <c r="I5" s="135" t="s">
        <v>258</v>
      </c>
      <c r="J5" s="136">
        <v>7</v>
      </c>
      <c r="K5" s="136" t="s">
        <v>794</v>
      </c>
      <c r="L5" s="136" t="s">
        <v>197</v>
      </c>
      <c r="M5" s="136">
        <v>68</v>
      </c>
      <c r="N5" s="136" t="s">
        <v>198</v>
      </c>
      <c r="O5" s="231" t="s">
        <v>1135</v>
      </c>
      <c r="P5" s="231"/>
      <c r="Q5" s="237"/>
      <c r="R5" s="237"/>
      <c r="S5" s="237" t="s">
        <v>797</v>
      </c>
      <c r="T5" s="237"/>
      <c r="U5" s="237"/>
      <c r="V5" s="237"/>
      <c r="W5" s="237"/>
    </row>
    <row r="6" spans="1:24">
      <c r="A6" s="136">
        <v>249</v>
      </c>
      <c r="B6" s="135" t="s">
        <v>406</v>
      </c>
      <c r="C6" s="134" t="s">
        <v>280</v>
      </c>
      <c r="D6" s="135" t="s">
        <v>416</v>
      </c>
      <c r="E6" s="135">
        <v>240</v>
      </c>
      <c r="F6" s="135">
        <v>2.4</v>
      </c>
      <c r="G6" s="134">
        <v>2.4</v>
      </c>
      <c r="H6" s="135" t="s">
        <v>257</v>
      </c>
      <c r="I6" s="135" t="s">
        <v>257</v>
      </c>
      <c r="J6" s="136">
        <v>3</v>
      </c>
      <c r="K6" s="136" t="s">
        <v>686</v>
      </c>
      <c r="L6" s="136" t="s">
        <v>193</v>
      </c>
      <c r="M6" s="136">
        <v>6</v>
      </c>
      <c r="N6" s="136" t="s">
        <v>199</v>
      </c>
      <c r="O6" s="231"/>
      <c r="P6" s="231"/>
      <c r="Q6" s="237"/>
      <c r="R6" s="237"/>
      <c r="S6" s="237"/>
      <c r="T6" s="237"/>
      <c r="U6" s="237"/>
      <c r="V6" s="237"/>
      <c r="W6" s="237"/>
    </row>
    <row r="7" spans="1:24">
      <c r="A7" s="136">
        <v>602</v>
      </c>
      <c r="B7" s="134" t="s">
        <v>323</v>
      </c>
      <c r="C7" s="134" t="s">
        <v>280</v>
      </c>
      <c r="D7" s="134" t="s">
        <v>324</v>
      </c>
      <c r="E7" s="134">
        <v>1500</v>
      </c>
      <c r="F7" s="134">
        <v>250</v>
      </c>
      <c r="G7" s="134">
        <v>375</v>
      </c>
      <c r="H7" s="135" t="s">
        <v>257</v>
      </c>
      <c r="I7" s="135" t="s">
        <v>258</v>
      </c>
      <c r="J7" s="136">
        <v>3</v>
      </c>
      <c r="K7" s="136" t="s">
        <v>399</v>
      </c>
      <c r="L7" s="136" t="s">
        <v>197</v>
      </c>
      <c r="M7" s="136">
        <v>55</v>
      </c>
      <c r="N7" s="136" t="s">
        <v>198</v>
      </c>
      <c r="O7" s="231" t="s">
        <v>1135</v>
      </c>
      <c r="P7" s="231"/>
      <c r="Q7" s="237" t="s">
        <v>765</v>
      </c>
      <c r="R7" s="237" t="s">
        <v>768</v>
      </c>
      <c r="S7" s="237" t="s">
        <v>769</v>
      </c>
      <c r="T7" s="237"/>
      <c r="U7" s="237" t="s">
        <v>770</v>
      </c>
      <c r="V7" s="237"/>
      <c r="W7" s="237"/>
    </row>
    <row r="8" spans="1:24">
      <c r="A8" s="136">
        <v>603</v>
      </c>
      <c r="B8" s="134" t="s">
        <v>323</v>
      </c>
      <c r="C8" s="134" t="s">
        <v>280</v>
      </c>
      <c r="D8" s="134" t="s">
        <v>324</v>
      </c>
      <c r="E8" s="134">
        <v>1500</v>
      </c>
      <c r="F8" s="134">
        <v>20</v>
      </c>
      <c r="G8" s="134">
        <v>30</v>
      </c>
      <c r="H8" s="135" t="s">
        <v>257</v>
      </c>
      <c r="I8" s="135" t="s">
        <v>257</v>
      </c>
      <c r="J8" s="136">
        <v>3</v>
      </c>
      <c r="K8" s="136" t="s">
        <v>399</v>
      </c>
      <c r="L8" s="136" t="s">
        <v>197</v>
      </c>
      <c r="M8" s="136">
        <v>55</v>
      </c>
      <c r="N8" s="136" t="s">
        <v>198</v>
      </c>
      <c r="O8" s="231" t="s">
        <v>1135</v>
      </c>
      <c r="P8" s="231"/>
      <c r="Q8" s="237"/>
      <c r="R8" s="237"/>
      <c r="S8" s="237"/>
      <c r="T8" s="237"/>
      <c r="U8" s="237"/>
      <c r="V8" s="237"/>
      <c r="W8" s="237"/>
    </row>
    <row r="9" spans="1:24">
      <c r="A9" s="136" t="s">
        <v>817</v>
      </c>
      <c r="B9" s="134" t="s">
        <v>811</v>
      </c>
      <c r="C9" s="134" t="s">
        <v>280</v>
      </c>
      <c r="D9" s="134" t="s">
        <v>324</v>
      </c>
      <c r="E9" s="134">
        <v>1500</v>
      </c>
      <c r="F9" s="134">
        <v>250</v>
      </c>
      <c r="G9" s="134">
        <v>375</v>
      </c>
      <c r="H9" s="135" t="s">
        <v>257</v>
      </c>
      <c r="I9" s="135" t="s">
        <v>258</v>
      </c>
      <c r="J9" s="136">
        <v>3</v>
      </c>
      <c r="K9" s="136" t="s">
        <v>399</v>
      </c>
      <c r="L9" s="136" t="s">
        <v>197</v>
      </c>
      <c r="M9" s="136">
        <v>55</v>
      </c>
      <c r="N9" s="136" t="s">
        <v>198</v>
      </c>
      <c r="O9" s="231" t="s">
        <v>1135</v>
      </c>
      <c r="P9" s="231"/>
      <c r="Q9" s="237" t="s">
        <v>765</v>
      </c>
      <c r="R9" s="237" t="s">
        <v>768</v>
      </c>
      <c r="S9" s="237" t="s">
        <v>769</v>
      </c>
      <c r="T9" s="237"/>
      <c r="U9" s="237" t="s">
        <v>770</v>
      </c>
      <c r="V9" s="237"/>
      <c r="W9" s="237"/>
    </row>
    <row r="10" spans="1:24">
      <c r="A10" s="136" t="s">
        <v>827</v>
      </c>
      <c r="B10" s="134" t="s">
        <v>811</v>
      </c>
      <c r="C10" s="134" t="s">
        <v>280</v>
      </c>
      <c r="D10" s="134" t="s">
        <v>324</v>
      </c>
      <c r="E10" s="134">
        <v>1500</v>
      </c>
      <c r="F10" s="134">
        <v>30</v>
      </c>
      <c r="G10" s="134">
        <v>375</v>
      </c>
      <c r="H10" s="135" t="s">
        <v>257</v>
      </c>
      <c r="I10" s="135" t="s">
        <v>258</v>
      </c>
      <c r="J10" s="136">
        <v>3</v>
      </c>
      <c r="K10" s="136" t="s">
        <v>399</v>
      </c>
      <c r="L10" s="136" t="s">
        <v>197</v>
      </c>
      <c r="M10" s="136">
        <v>55</v>
      </c>
      <c r="N10" s="136" t="s">
        <v>198</v>
      </c>
      <c r="O10" s="231" t="s">
        <v>1135</v>
      </c>
      <c r="P10" s="231"/>
      <c r="Q10" s="237" t="s">
        <v>765</v>
      </c>
      <c r="R10" s="237" t="s">
        <v>768</v>
      </c>
      <c r="S10" s="237" t="s">
        <v>769</v>
      </c>
      <c r="T10" s="237"/>
      <c r="U10" s="237" t="s">
        <v>770</v>
      </c>
      <c r="V10" s="237"/>
      <c r="W10" s="237"/>
    </row>
    <row r="11" spans="1:24">
      <c r="A11" s="136">
        <v>604</v>
      </c>
      <c r="B11" s="134" t="s">
        <v>655</v>
      </c>
      <c r="C11" s="134" t="s">
        <v>280</v>
      </c>
      <c r="D11" s="134" t="s">
        <v>68</v>
      </c>
      <c r="E11" s="134">
        <v>500</v>
      </c>
      <c r="F11" s="134">
        <v>250</v>
      </c>
      <c r="G11" s="134">
        <v>250</v>
      </c>
      <c r="H11" s="135" t="s">
        <v>257</v>
      </c>
      <c r="I11" s="135" t="s">
        <v>257</v>
      </c>
      <c r="J11" s="136">
        <v>2</v>
      </c>
      <c r="K11" s="136" t="s">
        <v>399</v>
      </c>
      <c r="L11" s="136" t="s">
        <v>197</v>
      </c>
      <c r="M11" s="136">
        <v>55</v>
      </c>
      <c r="N11" s="136" t="s">
        <v>198</v>
      </c>
      <c r="O11" s="231"/>
      <c r="P11" s="231"/>
      <c r="Q11" s="237">
        <v>48</v>
      </c>
      <c r="R11" s="237"/>
      <c r="S11" s="237"/>
      <c r="T11" s="237"/>
      <c r="U11" s="237"/>
      <c r="V11" s="237"/>
      <c r="W11" s="237"/>
    </row>
    <row r="12" spans="1:24">
      <c r="A12" s="136" t="s">
        <v>1372</v>
      </c>
      <c r="B12" s="134" t="s">
        <v>655</v>
      </c>
      <c r="C12" s="134" t="s">
        <v>280</v>
      </c>
      <c r="D12" s="134" t="s">
        <v>72</v>
      </c>
      <c r="E12" s="134">
        <v>1000</v>
      </c>
      <c r="F12" s="134">
        <v>250</v>
      </c>
      <c r="G12" s="134">
        <v>250</v>
      </c>
      <c r="H12" s="135" t="s">
        <v>257</v>
      </c>
      <c r="I12" s="135" t="s">
        <v>257</v>
      </c>
      <c r="J12" s="136">
        <v>2</v>
      </c>
      <c r="K12" s="136" t="s">
        <v>399</v>
      </c>
      <c r="L12" s="136" t="s">
        <v>197</v>
      </c>
      <c r="M12" s="136">
        <v>55</v>
      </c>
      <c r="N12" s="136" t="s">
        <v>198</v>
      </c>
      <c r="O12" s="231"/>
      <c r="P12" s="231"/>
      <c r="Q12" s="237">
        <v>48</v>
      </c>
      <c r="R12" s="237"/>
      <c r="S12" s="237"/>
      <c r="T12" s="237"/>
      <c r="U12" s="237"/>
      <c r="V12" s="237"/>
      <c r="W12" s="237"/>
    </row>
    <row r="13" spans="1:24">
      <c r="A13" s="136">
        <v>423</v>
      </c>
      <c r="B13" s="134" t="s">
        <v>34</v>
      </c>
      <c r="C13" s="134" t="s">
        <v>280</v>
      </c>
      <c r="D13" s="134" t="s">
        <v>76</v>
      </c>
      <c r="E13" s="134">
        <v>50</v>
      </c>
      <c r="F13" s="134">
        <v>5</v>
      </c>
      <c r="G13" s="134">
        <v>5</v>
      </c>
      <c r="H13" s="135" t="s">
        <v>257</v>
      </c>
      <c r="I13" s="135" t="s">
        <v>370</v>
      </c>
      <c r="J13" s="136">
        <v>7</v>
      </c>
      <c r="K13" s="136" t="s">
        <v>688</v>
      </c>
      <c r="L13" s="136" t="s">
        <v>193</v>
      </c>
      <c r="M13" s="136">
        <v>86</v>
      </c>
      <c r="N13" s="136" t="s">
        <v>198</v>
      </c>
      <c r="O13" s="231" t="s">
        <v>697</v>
      </c>
      <c r="P13" s="231"/>
      <c r="Q13" s="237"/>
      <c r="R13" s="237"/>
      <c r="S13" s="237" t="s">
        <v>798</v>
      </c>
      <c r="T13" s="237"/>
      <c r="U13" s="237"/>
      <c r="V13" s="237"/>
      <c r="W13" s="237"/>
    </row>
    <row r="14" spans="1:24">
      <c r="A14" s="185" t="s">
        <v>1373</v>
      </c>
      <c r="B14" s="134" t="s">
        <v>1374</v>
      </c>
      <c r="C14" s="134" t="s">
        <v>280</v>
      </c>
      <c r="D14" s="134" t="s">
        <v>76</v>
      </c>
      <c r="E14" s="134">
        <v>50</v>
      </c>
      <c r="F14" s="134">
        <v>4</v>
      </c>
      <c r="G14" s="134">
        <v>4</v>
      </c>
      <c r="H14" s="135" t="s">
        <v>257</v>
      </c>
      <c r="I14" s="135" t="s">
        <v>370</v>
      </c>
      <c r="J14" s="136">
        <v>3</v>
      </c>
      <c r="K14" s="136" t="s">
        <v>688</v>
      </c>
      <c r="L14" s="136" t="s">
        <v>193</v>
      </c>
      <c r="M14" s="136">
        <v>86</v>
      </c>
      <c r="N14" s="136" t="s">
        <v>198</v>
      </c>
      <c r="O14" s="232" t="s">
        <v>755</v>
      </c>
      <c r="P14" s="232"/>
      <c r="Q14" s="237" t="s">
        <v>765</v>
      </c>
      <c r="R14" s="237"/>
      <c r="S14" s="237" t="s">
        <v>1375</v>
      </c>
      <c r="T14" s="237" t="s">
        <v>1376</v>
      </c>
      <c r="U14" s="237"/>
      <c r="V14" s="237" t="s">
        <v>770</v>
      </c>
      <c r="W14" s="237"/>
    </row>
    <row r="15" spans="1:24">
      <c r="A15" s="185">
        <v>33229</v>
      </c>
      <c r="B15" s="134" t="s">
        <v>55</v>
      </c>
      <c r="C15" s="134" t="s">
        <v>280</v>
      </c>
      <c r="D15" s="134" t="s">
        <v>68</v>
      </c>
      <c r="E15" s="134">
        <v>500</v>
      </c>
      <c r="F15" s="134">
        <v>100</v>
      </c>
      <c r="G15" s="134">
        <v>100</v>
      </c>
      <c r="H15" s="135" t="s">
        <v>257</v>
      </c>
      <c r="I15" s="135" t="s">
        <v>258</v>
      </c>
      <c r="J15" s="136">
        <v>7</v>
      </c>
      <c r="K15" s="136" t="s">
        <v>399</v>
      </c>
      <c r="L15" s="136" t="s">
        <v>197</v>
      </c>
      <c r="M15" s="136">
        <v>79</v>
      </c>
      <c r="N15" s="136" t="s">
        <v>198</v>
      </c>
      <c r="O15" s="282" t="s">
        <v>693</v>
      </c>
      <c r="P15" s="282"/>
      <c r="Q15" s="237"/>
      <c r="R15" s="237"/>
      <c r="S15" s="237"/>
      <c r="T15" s="237"/>
      <c r="U15" s="237"/>
      <c r="V15" s="237"/>
      <c r="W15" s="237"/>
    </row>
    <row r="16" spans="1:24">
      <c r="A16" s="136">
        <v>424</v>
      </c>
      <c r="B16" s="135" t="s">
        <v>56</v>
      </c>
      <c r="C16" s="134" t="s">
        <v>280</v>
      </c>
      <c r="D16" s="135" t="s">
        <v>72</v>
      </c>
      <c r="E16" s="135">
        <v>1000</v>
      </c>
      <c r="F16" s="135">
        <v>100</v>
      </c>
      <c r="G16" s="134">
        <v>100</v>
      </c>
      <c r="H16" s="135" t="s">
        <v>257</v>
      </c>
      <c r="I16" s="135" t="s">
        <v>258</v>
      </c>
      <c r="J16" s="136">
        <v>7</v>
      </c>
      <c r="K16" s="136" t="s">
        <v>688</v>
      </c>
      <c r="L16" s="136" t="s">
        <v>193</v>
      </c>
      <c r="M16" s="136">
        <v>67</v>
      </c>
      <c r="N16" s="136" t="s">
        <v>198</v>
      </c>
      <c r="O16" s="231" t="s">
        <v>693</v>
      </c>
      <c r="P16" s="231"/>
      <c r="Q16" s="237"/>
      <c r="R16" s="237"/>
      <c r="S16" s="237"/>
      <c r="T16" s="237"/>
      <c r="U16" s="237"/>
      <c r="V16" s="237"/>
      <c r="W16" s="237"/>
    </row>
    <row r="17" spans="1:23">
      <c r="A17" s="136">
        <v>163</v>
      </c>
      <c r="B17" s="135" t="s">
        <v>374</v>
      </c>
      <c r="C17" s="134" t="s">
        <v>280</v>
      </c>
      <c r="D17" s="135" t="s">
        <v>375</v>
      </c>
      <c r="E17" s="135">
        <v>4</v>
      </c>
      <c r="F17" s="135">
        <v>4</v>
      </c>
      <c r="G17" s="134">
        <v>4</v>
      </c>
      <c r="H17" s="135" t="s">
        <v>257</v>
      </c>
      <c r="I17" s="135" t="s">
        <v>257</v>
      </c>
      <c r="J17" s="136">
        <v>1</v>
      </c>
      <c r="K17" s="136" t="s">
        <v>689</v>
      </c>
      <c r="L17" s="136" t="s">
        <v>193</v>
      </c>
      <c r="M17" s="136">
        <v>31</v>
      </c>
      <c r="N17" s="136" t="s">
        <v>199</v>
      </c>
      <c r="O17" s="231" t="s">
        <v>701</v>
      </c>
      <c r="P17" s="231"/>
      <c r="Q17" s="237"/>
      <c r="R17" s="237"/>
      <c r="S17" s="237"/>
      <c r="T17" s="237"/>
      <c r="U17" s="237"/>
      <c r="V17" s="237"/>
      <c r="W17" s="237"/>
    </row>
    <row r="18" spans="1:23">
      <c r="A18" s="136">
        <v>484</v>
      </c>
      <c r="B18" s="135" t="s">
        <v>376</v>
      </c>
      <c r="C18" s="134" t="s">
        <v>280</v>
      </c>
      <c r="D18" s="135" t="s">
        <v>377</v>
      </c>
      <c r="E18" s="135">
        <v>84</v>
      </c>
      <c r="F18" s="135">
        <v>84</v>
      </c>
      <c r="G18" s="134">
        <v>84</v>
      </c>
      <c r="H18" s="135" t="s">
        <v>257</v>
      </c>
      <c r="I18" s="135" t="s">
        <v>257</v>
      </c>
      <c r="J18" s="136">
        <v>7</v>
      </c>
      <c r="K18" s="136" t="s">
        <v>687</v>
      </c>
      <c r="L18" s="136" t="s">
        <v>197</v>
      </c>
      <c r="M18" s="136">
        <v>2</v>
      </c>
      <c r="N18" s="136" t="s">
        <v>199</v>
      </c>
      <c r="O18" s="231"/>
      <c r="P18" s="231"/>
      <c r="Q18" s="237"/>
      <c r="R18" s="237"/>
      <c r="S18" s="237"/>
      <c r="T18" s="237"/>
      <c r="U18" s="237"/>
      <c r="V18" s="237"/>
      <c r="W18" s="237"/>
    </row>
    <row r="19" spans="1:23">
      <c r="A19" s="136">
        <v>394</v>
      </c>
      <c r="B19" s="135" t="s">
        <v>181</v>
      </c>
      <c r="C19" s="134" t="s">
        <v>280</v>
      </c>
      <c r="D19" s="135" t="s">
        <v>190</v>
      </c>
      <c r="E19" s="135">
        <v>100</v>
      </c>
      <c r="F19" s="135">
        <v>5</v>
      </c>
      <c r="G19" s="134">
        <v>5</v>
      </c>
      <c r="H19" s="135" t="s">
        <v>257</v>
      </c>
      <c r="I19" s="135" t="s">
        <v>257</v>
      </c>
      <c r="J19" s="136">
        <v>30</v>
      </c>
      <c r="K19" s="136" t="s">
        <v>690</v>
      </c>
      <c r="L19" s="136" t="s">
        <v>197</v>
      </c>
      <c r="M19" s="136">
        <v>25</v>
      </c>
      <c r="N19" s="136" t="s">
        <v>199</v>
      </c>
      <c r="O19" s="231"/>
      <c r="P19" s="231"/>
      <c r="Q19" s="237"/>
      <c r="R19" s="237"/>
      <c r="S19" s="237"/>
      <c r="T19" s="237"/>
      <c r="U19" s="237"/>
      <c r="V19" s="237"/>
      <c r="W19" s="237"/>
    </row>
    <row r="20" spans="1:23">
      <c r="A20" s="136">
        <v>36226</v>
      </c>
      <c r="B20" s="135" t="s">
        <v>407</v>
      </c>
      <c r="C20" s="134" t="s">
        <v>280</v>
      </c>
      <c r="D20" s="135" t="s">
        <v>421</v>
      </c>
      <c r="E20" s="135">
        <v>60</v>
      </c>
      <c r="F20" s="135">
        <v>20</v>
      </c>
      <c r="G20" s="134">
        <v>20</v>
      </c>
      <c r="H20" s="135" t="s">
        <v>257</v>
      </c>
      <c r="I20" s="135" t="s">
        <v>257</v>
      </c>
      <c r="J20" s="136">
        <v>2</v>
      </c>
      <c r="K20" s="136" t="s">
        <v>687</v>
      </c>
      <c r="L20" s="136" t="s">
        <v>197</v>
      </c>
      <c r="M20" s="136">
        <v>7</v>
      </c>
      <c r="N20" s="136" t="s">
        <v>199</v>
      </c>
      <c r="O20" s="231"/>
      <c r="P20" s="231"/>
      <c r="Q20" s="237"/>
      <c r="R20" s="237"/>
      <c r="S20" s="237"/>
      <c r="T20" s="237"/>
      <c r="U20" s="237"/>
      <c r="V20" s="237"/>
      <c r="W20" s="237"/>
    </row>
    <row r="21" spans="1:23">
      <c r="A21" s="136" t="s">
        <v>607</v>
      </c>
      <c r="B21" s="134" t="s">
        <v>407</v>
      </c>
      <c r="C21" s="134" t="s">
        <v>280</v>
      </c>
      <c r="D21" s="134" t="s">
        <v>608</v>
      </c>
      <c r="E21" s="134">
        <v>20</v>
      </c>
      <c r="F21" s="134">
        <v>20</v>
      </c>
      <c r="G21" s="134">
        <v>20</v>
      </c>
      <c r="H21" s="135" t="s">
        <v>257</v>
      </c>
      <c r="I21" s="135" t="s">
        <v>257</v>
      </c>
      <c r="J21" s="136">
        <v>2</v>
      </c>
      <c r="K21" s="136" t="s">
        <v>687</v>
      </c>
      <c r="L21" s="136" t="s">
        <v>197</v>
      </c>
      <c r="M21" s="136">
        <v>7</v>
      </c>
      <c r="N21" s="136" t="s">
        <v>199</v>
      </c>
      <c r="O21" s="231"/>
      <c r="P21" s="231"/>
      <c r="Q21" s="237"/>
      <c r="R21" s="237"/>
      <c r="S21" s="237"/>
      <c r="T21" s="237"/>
      <c r="U21" s="237"/>
      <c r="V21" s="237"/>
      <c r="W21" s="237"/>
    </row>
    <row r="22" spans="1:23">
      <c r="A22" s="136">
        <v>4067</v>
      </c>
      <c r="B22" s="134" t="s">
        <v>49</v>
      </c>
      <c r="C22" s="134" t="s">
        <v>280</v>
      </c>
      <c r="D22" s="134" t="s">
        <v>76</v>
      </c>
      <c r="E22" s="134">
        <v>50</v>
      </c>
      <c r="F22" s="134">
        <v>5</v>
      </c>
      <c r="G22" s="134">
        <v>5</v>
      </c>
      <c r="H22" s="135" t="s">
        <v>257</v>
      </c>
      <c r="I22" s="135" t="s">
        <v>258</v>
      </c>
      <c r="J22" s="136">
        <v>2</v>
      </c>
      <c r="K22" s="136" t="s">
        <v>688</v>
      </c>
      <c r="L22" s="136" t="s">
        <v>193</v>
      </c>
      <c r="M22" s="136">
        <v>87</v>
      </c>
      <c r="N22" s="136" t="s">
        <v>198</v>
      </c>
      <c r="O22" s="231" t="s">
        <v>697</v>
      </c>
      <c r="P22" s="231"/>
      <c r="Q22" s="237"/>
      <c r="R22" s="237"/>
      <c r="S22" s="237"/>
      <c r="T22" s="237"/>
      <c r="U22" s="237"/>
      <c r="V22" s="237"/>
      <c r="W22" s="237"/>
    </row>
    <row r="23" spans="1:23">
      <c r="A23" s="136">
        <v>4068</v>
      </c>
      <c r="B23" s="134" t="s">
        <v>49</v>
      </c>
      <c r="C23" s="134" t="s">
        <v>280</v>
      </c>
      <c r="D23" s="134" t="s">
        <v>86</v>
      </c>
      <c r="E23" s="134">
        <v>70</v>
      </c>
      <c r="F23" s="134">
        <v>7</v>
      </c>
      <c r="G23" s="134">
        <v>7</v>
      </c>
      <c r="H23" s="135" t="s">
        <v>257</v>
      </c>
      <c r="I23" s="135" t="s">
        <v>258</v>
      </c>
      <c r="J23" s="136">
        <v>2</v>
      </c>
      <c r="K23" s="136" t="s">
        <v>688</v>
      </c>
      <c r="L23" s="136" t="s">
        <v>193</v>
      </c>
      <c r="M23" s="136">
        <v>88</v>
      </c>
      <c r="N23" s="136" t="s">
        <v>198</v>
      </c>
      <c r="O23" s="231" t="s">
        <v>697</v>
      </c>
      <c r="P23" s="231"/>
      <c r="Q23" s="237"/>
      <c r="R23" s="237"/>
      <c r="S23" s="237"/>
      <c r="T23" s="237"/>
      <c r="U23" s="237"/>
      <c r="V23" s="237"/>
      <c r="W23" s="237"/>
    </row>
    <row r="24" spans="1:23">
      <c r="A24" s="136">
        <v>27</v>
      </c>
      <c r="B24" s="134" t="s">
        <v>24</v>
      </c>
      <c r="C24" s="134" t="s">
        <v>280</v>
      </c>
      <c r="D24" s="134" t="s">
        <v>72</v>
      </c>
      <c r="E24" s="134">
        <v>1000</v>
      </c>
      <c r="F24" s="134">
        <v>100</v>
      </c>
      <c r="G24" s="134">
        <v>100</v>
      </c>
      <c r="H24" s="135" t="s">
        <v>257</v>
      </c>
      <c r="I24" s="135" t="s">
        <v>258</v>
      </c>
      <c r="J24" s="136">
        <v>2</v>
      </c>
      <c r="K24" s="136" t="s">
        <v>399</v>
      </c>
      <c r="L24" s="136" t="s">
        <v>197</v>
      </c>
      <c r="M24" s="136">
        <v>57</v>
      </c>
      <c r="N24" s="136" t="s">
        <v>198</v>
      </c>
      <c r="O24" s="231" t="s">
        <v>753</v>
      </c>
      <c r="P24" s="231"/>
      <c r="Q24" s="237" t="s">
        <v>771</v>
      </c>
      <c r="R24" s="237" t="s">
        <v>772</v>
      </c>
      <c r="S24" s="237" t="s">
        <v>769</v>
      </c>
      <c r="T24" s="237"/>
      <c r="U24" s="237"/>
      <c r="V24" s="237" t="s">
        <v>773</v>
      </c>
      <c r="W24" s="237" t="s">
        <v>773</v>
      </c>
    </row>
    <row r="25" spans="1:23">
      <c r="A25" s="136">
        <v>28</v>
      </c>
      <c r="B25" s="135" t="s">
        <v>179</v>
      </c>
      <c r="C25" s="134" t="s">
        <v>280</v>
      </c>
      <c r="D25" s="135" t="s">
        <v>72</v>
      </c>
      <c r="E25" s="135">
        <v>1000</v>
      </c>
      <c r="F25" s="135">
        <v>100</v>
      </c>
      <c r="G25" s="134">
        <v>100</v>
      </c>
      <c r="H25" s="135" t="s">
        <v>257</v>
      </c>
      <c r="I25" s="135" t="s">
        <v>258</v>
      </c>
      <c r="J25" s="136">
        <v>3</v>
      </c>
      <c r="K25" s="136" t="s">
        <v>399</v>
      </c>
      <c r="L25" s="136" t="s">
        <v>197</v>
      </c>
      <c r="M25" s="136">
        <v>56</v>
      </c>
      <c r="N25" s="136" t="s">
        <v>198</v>
      </c>
      <c r="O25" s="231" t="s">
        <v>1135</v>
      </c>
      <c r="P25" s="231"/>
      <c r="Q25" s="237" t="s">
        <v>774</v>
      </c>
      <c r="R25" s="237" t="s">
        <v>765</v>
      </c>
      <c r="S25" s="237" t="s">
        <v>769</v>
      </c>
      <c r="T25" s="237"/>
      <c r="U25" s="237" t="s">
        <v>770</v>
      </c>
      <c r="V25" s="237" t="s">
        <v>770</v>
      </c>
      <c r="W25" s="237" t="s">
        <v>770</v>
      </c>
    </row>
    <row r="26" spans="1:23">
      <c r="A26" s="136">
        <v>3135</v>
      </c>
      <c r="B26" s="134" t="s">
        <v>180</v>
      </c>
      <c r="C26" s="134" t="s">
        <v>280</v>
      </c>
      <c r="D26" s="134" t="s">
        <v>72</v>
      </c>
      <c r="E26" s="134">
        <v>1000</v>
      </c>
      <c r="F26" s="134">
        <v>100</v>
      </c>
      <c r="G26" s="134">
        <v>100</v>
      </c>
      <c r="H26" s="135" t="s">
        <v>257</v>
      </c>
      <c r="I26" s="135" t="s">
        <v>258</v>
      </c>
      <c r="J26" s="136">
        <v>7</v>
      </c>
      <c r="K26" s="136" t="s">
        <v>688</v>
      </c>
      <c r="L26" s="136" t="s">
        <v>193</v>
      </c>
      <c r="M26" s="136">
        <v>64</v>
      </c>
      <c r="N26" s="136" t="s">
        <v>198</v>
      </c>
      <c r="O26" s="231" t="s">
        <v>1135</v>
      </c>
      <c r="P26" s="231"/>
      <c r="Q26" s="237"/>
      <c r="R26" s="237"/>
      <c r="S26" s="237" t="s">
        <v>769</v>
      </c>
      <c r="T26" s="237"/>
      <c r="U26" s="237" t="s">
        <v>770</v>
      </c>
      <c r="V26" s="237" t="s">
        <v>770</v>
      </c>
      <c r="W26" s="237" t="s">
        <v>770</v>
      </c>
    </row>
    <row r="27" spans="1:23">
      <c r="A27" s="136">
        <v>3801</v>
      </c>
      <c r="B27" s="134" t="s">
        <v>54</v>
      </c>
      <c r="C27" s="134" t="s">
        <v>280</v>
      </c>
      <c r="D27" s="134" t="s">
        <v>71</v>
      </c>
      <c r="E27" s="134">
        <v>1500</v>
      </c>
      <c r="F27" s="134">
        <v>375</v>
      </c>
      <c r="G27" s="134">
        <v>375</v>
      </c>
      <c r="H27" s="135" t="s">
        <v>257</v>
      </c>
      <c r="I27" s="135" t="s">
        <v>258</v>
      </c>
      <c r="J27" s="136">
        <v>5</v>
      </c>
      <c r="K27" s="136" t="s">
        <v>399</v>
      </c>
      <c r="L27" s="136" t="s">
        <v>197</v>
      </c>
      <c r="M27" s="136">
        <v>63</v>
      </c>
      <c r="N27" s="136" t="s">
        <v>198</v>
      </c>
      <c r="O27" s="231" t="s">
        <v>1135</v>
      </c>
      <c r="P27" s="231"/>
      <c r="Q27" s="237"/>
      <c r="R27" s="237"/>
      <c r="S27" s="237"/>
      <c r="T27" s="237"/>
      <c r="U27" s="237"/>
      <c r="V27" s="237"/>
      <c r="W27" s="237"/>
    </row>
    <row r="28" spans="1:23">
      <c r="A28" s="136">
        <v>4173</v>
      </c>
      <c r="B28" s="134" t="s">
        <v>51</v>
      </c>
      <c r="C28" s="134" t="s">
        <v>280</v>
      </c>
      <c r="D28" s="134" t="s">
        <v>68</v>
      </c>
      <c r="E28" s="134">
        <v>500</v>
      </c>
      <c r="F28" s="134">
        <v>50</v>
      </c>
      <c r="G28" s="134">
        <v>50</v>
      </c>
      <c r="H28" s="135" t="s">
        <v>257</v>
      </c>
      <c r="I28" s="135" t="s">
        <v>258</v>
      </c>
      <c r="J28" s="136">
        <v>1</v>
      </c>
      <c r="K28" s="136" t="s">
        <v>688</v>
      </c>
      <c r="L28" s="136" t="s">
        <v>193</v>
      </c>
      <c r="M28" s="136">
        <v>61</v>
      </c>
      <c r="N28" s="136" t="s">
        <v>198</v>
      </c>
      <c r="O28" s="231" t="s">
        <v>693</v>
      </c>
      <c r="P28" s="231"/>
      <c r="Q28" s="237" t="s">
        <v>765</v>
      </c>
      <c r="R28" s="237" t="s">
        <v>765</v>
      </c>
      <c r="S28" s="237" t="s">
        <v>769</v>
      </c>
      <c r="T28" s="237"/>
      <c r="U28" s="237"/>
      <c r="V28" s="237"/>
      <c r="W28" s="237"/>
    </row>
    <row r="29" spans="1:23">
      <c r="A29" s="136">
        <v>30173</v>
      </c>
      <c r="B29" s="134" t="s">
        <v>52</v>
      </c>
      <c r="C29" s="134" t="s">
        <v>280</v>
      </c>
      <c r="D29" s="134" t="s">
        <v>72</v>
      </c>
      <c r="E29" s="134">
        <v>1000</v>
      </c>
      <c r="F29" s="134">
        <v>100</v>
      </c>
      <c r="G29" s="134">
        <v>100</v>
      </c>
      <c r="H29" s="135" t="s">
        <v>257</v>
      </c>
      <c r="I29" s="135" t="s">
        <v>258</v>
      </c>
      <c r="J29" s="136">
        <v>7</v>
      </c>
      <c r="K29" s="136" t="s">
        <v>688</v>
      </c>
      <c r="L29" s="136" t="s">
        <v>193</v>
      </c>
      <c r="M29" s="136">
        <v>59</v>
      </c>
      <c r="N29" s="136" t="s">
        <v>198</v>
      </c>
      <c r="O29" s="231" t="s">
        <v>693</v>
      </c>
      <c r="P29" s="231"/>
      <c r="Q29" s="237"/>
      <c r="R29" s="237"/>
      <c r="S29" s="237"/>
      <c r="T29" s="237"/>
      <c r="U29" s="237"/>
      <c r="V29" s="237"/>
      <c r="W29" s="237"/>
    </row>
    <row r="30" spans="1:23">
      <c r="A30" s="136">
        <v>29</v>
      </c>
      <c r="B30" s="134" t="s">
        <v>252</v>
      </c>
      <c r="C30" s="134" t="s">
        <v>280</v>
      </c>
      <c r="D30" s="134" t="s">
        <v>72</v>
      </c>
      <c r="E30" s="134">
        <v>1000</v>
      </c>
      <c r="F30" s="134">
        <v>100</v>
      </c>
      <c r="G30" s="134">
        <v>100</v>
      </c>
      <c r="H30" s="135" t="s">
        <v>257</v>
      </c>
      <c r="I30" s="135" t="s">
        <v>258</v>
      </c>
      <c r="J30" s="136">
        <v>3</v>
      </c>
      <c r="K30" s="136" t="s">
        <v>754</v>
      </c>
      <c r="L30" s="136" t="s">
        <v>193</v>
      </c>
      <c r="M30" s="136">
        <v>66</v>
      </c>
      <c r="N30" s="136" t="s">
        <v>198</v>
      </c>
      <c r="O30" s="231" t="s">
        <v>1135</v>
      </c>
      <c r="P30" s="231"/>
      <c r="Q30" s="237" t="s">
        <v>774</v>
      </c>
      <c r="R30" s="237" t="s">
        <v>765</v>
      </c>
      <c r="S30" s="237" t="s">
        <v>769</v>
      </c>
      <c r="T30" s="237"/>
      <c r="U30" s="237"/>
      <c r="V30" s="237"/>
      <c r="W30" s="237"/>
    </row>
    <row r="31" spans="1:23">
      <c r="A31" s="136">
        <v>5162</v>
      </c>
      <c r="B31" s="134" t="s">
        <v>53</v>
      </c>
      <c r="C31" s="134" t="s">
        <v>280</v>
      </c>
      <c r="D31" s="134" t="s">
        <v>72</v>
      </c>
      <c r="E31" s="134">
        <v>1000</v>
      </c>
      <c r="F31" s="134">
        <v>100</v>
      </c>
      <c r="G31" s="134">
        <v>100</v>
      </c>
      <c r="H31" s="135" t="s">
        <v>257</v>
      </c>
      <c r="I31" s="135" t="s">
        <v>258</v>
      </c>
      <c r="J31" s="136">
        <v>7</v>
      </c>
      <c r="K31" s="136" t="s">
        <v>688</v>
      </c>
      <c r="L31" s="136" t="s">
        <v>193</v>
      </c>
      <c r="M31" s="136">
        <v>62</v>
      </c>
      <c r="N31" s="136" t="s">
        <v>198</v>
      </c>
      <c r="O31" s="231" t="s">
        <v>1135</v>
      </c>
      <c r="P31" s="231"/>
      <c r="Q31" s="237"/>
      <c r="R31" s="237"/>
      <c r="S31" s="237"/>
      <c r="T31" s="237"/>
      <c r="U31" s="237"/>
      <c r="V31" s="237"/>
      <c r="W31" s="237"/>
    </row>
    <row r="32" spans="1:23">
      <c r="A32" s="136">
        <v>426</v>
      </c>
      <c r="B32" s="134" t="s">
        <v>29</v>
      </c>
      <c r="C32" s="134" t="s">
        <v>280</v>
      </c>
      <c r="D32" s="134" t="s">
        <v>72</v>
      </c>
      <c r="E32" s="134">
        <v>1000</v>
      </c>
      <c r="F32" s="134">
        <v>100</v>
      </c>
      <c r="G32" s="134">
        <v>100</v>
      </c>
      <c r="H32" s="135" t="s">
        <v>257</v>
      </c>
      <c r="I32" s="135" t="s">
        <v>258</v>
      </c>
      <c r="J32" s="136">
        <v>10</v>
      </c>
      <c r="K32" s="136" t="s">
        <v>688</v>
      </c>
      <c r="L32" s="136" t="s">
        <v>193</v>
      </c>
      <c r="M32" s="136">
        <v>60</v>
      </c>
      <c r="N32" s="136" t="s">
        <v>198</v>
      </c>
      <c r="O32" s="231" t="s">
        <v>1135</v>
      </c>
      <c r="P32" s="231"/>
      <c r="Q32" s="237"/>
      <c r="R32" s="237"/>
      <c r="S32" s="237" t="s">
        <v>798</v>
      </c>
      <c r="T32" s="237"/>
      <c r="U32" s="237"/>
      <c r="V32" s="237"/>
      <c r="W32" s="237"/>
    </row>
    <row r="33" spans="1:23">
      <c r="A33" s="136" t="s">
        <v>825</v>
      </c>
      <c r="B33" s="134" t="s">
        <v>826</v>
      </c>
      <c r="C33" s="134" t="s">
        <v>280</v>
      </c>
      <c r="D33" s="134" t="s">
        <v>72</v>
      </c>
      <c r="E33" s="134">
        <v>1000</v>
      </c>
      <c r="F33" s="134">
        <v>100</v>
      </c>
      <c r="G33" s="134">
        <v>100</v>
      </c>
      <c r="H33" s="135" t="s">
        <v>257</v>
      </c>
      <c r="I33" s="135" t="s">
        <v>258</v>
      </c>
      <c r="J33" s="136">
        <v>10</v>
      </c>
      <c r="K33" s="136" t="s">
        <v>688</v>
      </c>
      <c r="L33" s="136" t="s">
        <v>193</v>
      </c>
      <c r="M33" s="136">
        <v>60</v>
      </c>
      <c r="N33" s="136" t="s">
        <v>198</v>
      </c>
      <c r="O33" s="231" t="s">
        <v>1135</v>
      </c>
      <c r="P33" s="231"/>
      <c r="Q33" s="237"/>
      <c r="R33" s="237"/>
      <c r="S33" s="237" t="s">
        <v>798</v>
      </c>
      <c r="T33" s="237"/>
      <c r="U33" s="237"/>
      <c r="V33" s="237"/>
      <c r="W33" s="237"/>
    </row>
    <row r="34" spans="1:23">
      <c r="A34" s="136">
        <v>3806</v>
      </c>
      <c r="B34" s="134" t="s">
        <v>286</v>
      </c>
      <c r="C34" s="134" t="s">
        <v>280</v>
      </c>
      <c r="D34" s="134" t="s">
        <v>69</v>
      </c>
      <c r="E34" s="134">
        <v>750</v>
      </c>
      <c r="F34" s="134">
        <v>93.75</v>
      </c>
      <c r="G34" s="134">
        <v>93.75</v>
      </c>
      <c r="H34" s="135" t="s">
        <v>257</v>
      </c>
      <c r="I34" s="135" t="s">
        <v>258</v>
      </c>
      <c r="J34" s="136">
        <v>2</v>
      </c>
      <c r="K34" s="136" t="s">
        <v>688</v>
      </c>
      <c r="L34" s="136" t="s">
        <v>193</v>
      </c>
      <c r="M34" s="136">
        <v>58</v>
      </c>
      <c r="N34" s="136" t="s">
        <v>198</v>
      </c>
      <c r="O34" s="231" t="s">
        <v>1135</v>
      </c>
      <c r="P34" s="231"/>
      <c r="Q34" s="237"/>
      <c r="R34" s="237"/>
      <c r="S34" s="237"/>
      <c r="T34" s="237"/>
      <c r="U34" s="237"/>
      <c r="V34" s="237"/>
      <c r="W34" s="237"/>
    </row>
    <row r="35" spans="1:23">
      <c r="A35" s="136">
        <v>428</v>
      </c>
      <c r="B35" s="134" t="s">
        <v>228</v>
      </c>
      <c r="C35" s="134" t="s">
        <v>280</v>
      </c>
      <c r="D35" s="134" t="s">
        <v>73</v>
      </c>
      <c r="E35" s="134">
        <v>100</v>
      </c>
      <c r="F35" s="134">
        <v>10</v>
      </c>
      <c r="G35" s="134">
        <v>10</v>
      </c>
      <c r="H35" s="135" t="s">
        <v>257</v>
      </c>
      <c r="I35" s="135" t="s">
        <v>260</v>
      </c>
      <c r="J35" s="136">
        <v>7</v>
      </c>
      <c r="K35" s="136" t="s">
        <v>688</v>
      </c>
      <c r="L35" s="136" t="s">
        <v>193</v>
      </c>
      <c r="M35" s="136">
        <v>81</v>
      </c>
      <c r="N35" s="136" t="s">
        <v>198</v>
      </c>
      <c r="O35" s="282" t="s">
        <v>693</v>
      </c>
      <c r="P35" s="282"/>
      <c r="Q35" s="237"/>
      <c r="R35" s="237" t="s">
        <v>775</v>
      </c>
      <c r="S35" s="237" t="s">
        <v>776</v>
      </c>
      <c r="T35" s="237"/>
      <c r="U35" s="237" t="s">
        <v>770</v>
      </c>
      <c r="V35" s="237" t="s">
        <v>770</v>
      </c>
      <c r="W35" s="237"/>
    </row>
    <row r="36" spans="1:23">
      <c r="A36" s="136">
        <v>4138</v>
      </c>
      <c r="B36" s="135" t="s">
        <v>37</v>
      </c>
      <c r="C36" s="134" t="s">
        <v>280</v>
      </c>
      <c r="D36" s="135" t="s">
        <v>68</v>
      </c>
      <c r="E36" s="135">
        <v>500</v>
      </c>
      <c r="F36" s="135">
        <v>50</v>
      </c>
      <c r="G36" s="134">
        <v>50</v>
      </c>
      <c r="H36" s="135" t="s">
        <v>257</v>
      </c>
      <c r="I36" s="135" t="s">
        <v>260</v>
      </c>
      <c r="J36" s="136">
        <v>2</v>
      </c>
      <c r="K36" s="136" t="s">
        <v>688</v>
      </c>
      <c r="L36" s="136" t="s">
        <v>193</v>
      </c>
      <c r="M36" s="136">
        <v>78</v>
      </c>
      <c r="N36" s="136" t="s">
        <v>198</v>
      </c>
      <c r="O36" s="231" t="s">
        <v>694</v>
      </c>
      <c r="P36" s="231"/>
      <c r="Q36" s="237">
        <v>2</v>
      </c>
      <c r="R36" s="237" t="s">
        <v>772</v>
      </c>
      <c r="S36" s="237" t="s">
        <v>777</v>
      </c>
      <c r="T36" s="237"/>
      <c r="U36" s="237" t="s">
        <v>770</v>
      </c>
      <c r="V36" s="237" t="s">
        <v>770</v>
      </c>
      <c r="W36" s="237" t="s">
        <v>770</v>
      </c>
    </row>
    <row r="37" spans="1:23">
      <c r="A37" s="136">
        <v>427</v>
      </c>
      <c r="B37" s="135" t="s">
        <v>33</v>
      </c>
      <c r="C37" s="134" t="s">
        <v>280</v>
      </c>
      <c r="D37" s="135" t="s">
        <v>70</v>
      </c>
      <c r="E37" s="135">
        <v>600</v>
      </c>
      <c r="F37" s="135">
        <v>150</v>
      </c>
      <c r="G37" s="134">
        <v>150</v>
      </c>
      <c r="H37" s="135" t="s">
        <v>257</v>
      </c>
      <c r="I37" s="135" t="s">
        <v>258</v>
      </c>
      <c r="J37" s="136">
        <v>7</v>
      </c>
      <c r="K37" s="136" t="s">
        <v>399</v>
      </c>
      <c r="L37" s="136" t="s">
        <v>197</v>
      </c>
      <c r="M37" s="136">
        <v>72</v>
      </c>
      <c r="N37" s="136" t="s">
        <v>198</v>
      </c>
      <c r="O37" s="231" t="s">
        <v>1135</v>
      </c>
      <c r="P37" s="231"/>
      <c r="Q37" s="237"/>
      <c r="R37" s="237"/>
      <c r="S37" s="237" t="s">
        <v>778</v>
      </c>
      <c r="T37" s="237"/>
      <c r="U37" s="237"/>
      <c r="V37" s="237"/>
      <c r="W37" s="237"/>
    </row>
    <row r="38" spans="1:23">
      <c r="A38" s="136">
        <v>30692</v>
      </c>
      <c r="B38" s="135" t="s">
        <v>502</v>
      </c>
      <c r="C38" s="134" t="s">
        <v>280</v>
      </c>
      <c r="D38" s="135" t="s">
        <v>814</v>
      </c>
      <c r="E38" s="135">
        <v>100</v>
      </c>
      <c r="F38" s="135">
        <v>10</v>
      </c>
      <c r="G38" s="134">
        <v>10</v>
      </c>
      <c r="H38" s="135" t="s">
        <v>257</v>
      </c>
      <c r="I38" s="135" t="s">
        <v>257</v>
      </c>
      <c r="J38" s="136">
        <v>1</v>
      </c>
      <c r="K38" s="136" t="s">
        <v>689</v>
      </c>
      <c r="L38" s="136" t="s">
        <v>193</v>
      </c>
      <c r="M38" s="136">
        <v>48</v>
      </c>
      <c r="N38" s="136" t="s">
        <v>198</v>
      </c>
      <c r="O38" s="282" t="s">
        <v>696</v>
      </c>
      <c r="P38" s="282"/>
      <c r="Q38" s="237"/>
      <c r="R38" s="237"/>
      <c r="S38" s="237"/>
      <c r="T38" s="237"/>
      <c r="U38" s="237"/>
      <c r="V38" s="237"/>
      <c r="W38" s="237"/>
    </row>
    <row r="39" spans="1:23">
      <c r="A39" s="136" t="s">
        <v>815</v>
      </c>
      <c r="B39" s="135" t="s">
        <v>502</v>
      </c>
      <c r="C39" s="134" t="s">
        <v>280</v>
      </c>
      <c r="D39" s="135" t="s">
        <v>816</v>
      </c>
      <c r="E39" s="135">
        <v>100</v>
      </c>
      <c r="F39" s="135">
        <v>10</v>
      </c>
      <c r="G39" s="134">
        <v>10</v>
      </c>
      <c r="H39" s="135" t="s">
        <v>257</v>
      </c>
      <c r="I39" s="135" t="s">
        <v>257</v>
      </c>
      <c r="J39" s="136">
        <v>1</v>
      </c>
      <c r="K39" s="136" t="s">
        <v>689</v>
      </c>
      <c r="L39" s="136" t="s">
        <v>193</v>
      </c>
      <c r="M39" s="136">
        <v>48</v>
      </c>
      <c r="N39" s="136" t="s">
        <v>198</v>
      </c>
      <c r="O39" s="231" t="s">
        <v>696</v>
      </c>
      <c r="P39" s="231"/>
      <c r="Q39" s="237"/>
      <c r="R39" s="237"/>
      <c r="S39" s="237"/>
      <c r="T39" s="237"/>
      <c r="U39" s="237"/>
      <c r="V39" s="237"/>
      <c r="W39" s="237"/>
    </row>
    <row r="40" spans="1:23">
      <c r="A40" s="136">
        <v>36489</v>
      </c>
      <c r="B40" s="135" t="s">
        <v>408</v>
      </c>
      <c r="C40" s="134" t="s">
        <v>280</v>
      </c>
      <c r="D40" s="135" t="s">
        <v>422</v>
      </c>
      <c r="E40" s="135">
        <v>500</v>
      </c>
      <c r="F40" s="135">
        <v>50</v>
      </c>
      <c r="G40" s="134">
        <v>50</v>
      </c>
      <c r="H40" s="135" t="s">
        <v>257</v>
      </c>
      <c r="I40" s="135" t="s">
        <v>257</v>
      </c>
      <c r="J40" s="136">
        <v>2</v>
      </c>
      <c r="K40" s="136" t="s">
        <v>463</v>
      </c>
      <c r="L40" s="136" t="s">
        <v>197</v>
      </c>
      <c r="M40" s="136">
        <v>71</v>
      </c>
      <c r="N40" s="136" t="s">
        <v>198</v>
      </c>
      <c r="O40" s="282" t="s">
        <v>693</v>
      </c>
      <c r="P40" s="282"/>
      <c r="Q40" s="237" t="s">
        <v>779</v>
      </c>
      <c r="R40" s="237" t="s">
        <v>780</v>
      </c>
      <c r="S40" s="237" t="s">
        <v>781</v>
      </c>
      <c r="T40" s="237" t="s">
        <v>782</v>
      </c>
      <c r="U40" s="237" t="s">
        <v>770</v>
      </c>
      <c r="V40" s="237"/>
      <c r="W40" s="237"/>
    </row>
    <row r="41" spans="1:23">
      <c r="A41" s="136">
        <v>165</v>
      </c>
      <c r="B41" s="135" t="s">
        <v>43</v>
      </c>
      <c r="C41" s="134" t="s">
        <v>280</v>
      </c>
      <c r="D41" s="135" t="s">
        <v>81</v>
      </c>
      <c r="E41" s="135">
        <v>4</v>
      </c>
      <c r="F41" s="135">
        <v>4</v>
      </c>
      <c r="G41" s="134">
        <v>4</v>
      </c>
      <c r="H41" s="135" t="s">
        <v>257</v>
      </c>
      <c r="I41" s="135" t="s">
        <v>257</v>
      </c>
      <c r="J41" s="136">
        <v>7</v>
      </c>
      <c r="K41" s="136" t="s">
        <v>685</v>
      </c>
      <c r="L41" s="136" t="s">
        <v>193</v>
      </c>
      <c r="M41" s="136">
        <v>27</v>
      </c>
      <c r="N41" s="136" t="s">
        <v>199</v>
      </c>
      <c r="O41" s="282" t="s">
        <v>698</v>
      </c>
      <c r="P41" s="282"/>
      <c r="Q41" s="237"/>
      <c r="R41" s="237"/>
      <c r="S41" s="237" t="s">
        <v>798</v>
      </c>
      <c r="T41" s="237"/>
      <c r="U41" s="237"/>
      <c r="V41" s="237"/>
      <c r="W41" s="237"/>
    </row>
    <row r="42" spans="1:23">
      <c r="A42" s="136">
        <v>166</v>
      </c>
      <c r="B42" s="135" t="s">
        <v>43</v>
      </c>
      <c r="C42" s="134" t="s">
        <v>280</v>
      </c>
      <c r="D42" s="135" t="s">
        <v>90</v>
      </c>
      <c r="E42" s="135">
        <v>8</v>
      </c>
      <c r="F42" s="135">
        <v>4</v>
      </c>
      <c r="G42" s="134">
        <v>4</v>
      </c>
      <c r="H42" s="135" t="s">
        <v>257</v>
      </c>
      <c r="I42" s="135" t="s">
        <v>257</v>
      </c>
      <c r="J42" s="136">
        <v>7</v>
      </c>
      <c r="K42" s="136" t="s">
        <v>685</v>
      </c>
      <c r="L42" s="136" t="s">
        <v>193</v>
      </c>
      <c r="M42" s="136">
        <v>27.1</v>
      </c>
      <c r="N42" s="136" t="s">
        <v>199</v>
      </c>
      <c r="O42" s="282" t="s">
        <v>698</v>
      </c>
      <c r="P42" s="282"/>
      <c r="Q42" s="237"/>
      <c r="R42" s="237"/>
      <c r="S42" s="237" t="s">
        <v>798</v>
      </c>
      <c r="T42" s="237"/>
      <c r="U42" s="237"/>
      <c r="V42" s="237"/>
      <c r="W42" s="237"/>
    </row>
    <row r="43" spans="1:23">
      <c r="A43" s="185" t="s">
        <v>372</v>
      </c>
      <c r="B43" s="135" t="s">
        <v>43</v>
      </c>
      <c r="C43" s="134" t="s">
        <v>281</v>
      </c>
      <c r="D43" s="135" t="s">
        <v>362</v>
      </c>
      <c r="E43" s="135">
        <v>4</v>
      </c>
      <c r="F43" s="135">
        <v>4</v>
      </c>
      <c r="G43" s="134">
        <v>4</v>
      </c>
      <c r="H43" s="135" t="s">
        <v>145</v>
      </c>
      <c r="I43" s="135" t="s">
        <v>145</v>
      </c>
      <c r="J43" s="136">
        <v>7</v>
      </c>
      <c r="K43" s="136" t="s">
        <v>685</v>
      </c>
      <c r="L43" s="136" t="s">
        <v>193</v>
      </c>
      <c r="M43" s="136">
        <v>28</v>
      </c>
      <c r="N43" s="136" t="s">
        <v>199</v>
      </c>
      <c r="O43" s="282" t="s">
        <v>698</v>
      </c>
      <c r="P43" s="282"/>
      <c r="Q43" s="237"/>
      <c r="R43" s="237"/>
      <c r="S43" s="237" t="s">
        <v>798</v>
      </c>
      <c r="T43" s="237"/>
      <c r="U43" s="237"/>
      <c r="V43" s="237"/>
      <c r="W43" s="237"/>
    </row>
    <row r="44" spans="1:23">
      <c r="A44" s="136" t="s">
        <v>373</v>
      </c>
      <c r="B44" s="135" t="s">
        <v>43</v>
      </c>
      <c r="C44" s="134" t="s">
        <v>281</v>
      </c>
      <c r="D44" s="135" t="s">
        <v>363</v>
      </c>
      <c r="E44" s="135">
        <v>8</v>
      </c>
      <c r="F44" s="135">
        <v>4</v>
      </c>
      <c r="G44" s="134">
        <v>4</v>
      </c>
      <c r="H44" s="135" t="s">
        <v>145</v>
      </c>
      <c r="I44" s="135" t="s">
        <v>145</v>
      </c>
      <c r="J44" s="136">
        <v>7</v>
      </c>
      <c r="K44" s="136" t="s">
        <v>685</v>
      </c>
      <c r="L44" s="136" t="s">
        <v>193</v>
      </c>
      <c r="M44" s="136">
        <v>29</v>
      </c>
      <c r="N44" s="136" t="s">
        <v>199</v>
      </c>
      <c r="O44" s="231" t="s">
        <v>698</v>
      </c>
      <c r="P44" s="231"/>
      <c r="Q44" s="237"/>
      <c r="R44" s="237"/>
      <c r="S44" s="237" t="s">
        <v>798</v>
      </c>
      <c r="T44" s="237"/>
      <c r="U44" s="237"/>
      <c r="V44" s="237"/>
      <c r="W44" s="237"/>
    </row>
    <row r="45" spans="1:23">
      <c r="A45" s="136">
        <v>404</v>
      </c>
      <c r="B45" s="135" t="s">
        <v>378</v>
      </c>
      <c r="C45" s="134" t="s">
        <v>280</v>
      </c>
      <c r="D45" s="135" t="s">
        <v>379</v>
      </c>
      <c r="E45" s="135">
        <v>10</v>
      </c>
      <c r="F45" s="135">
        <v>5</v>
      </c>
      <c r="G45" s="134">
        <v>5</v>
      </c>
      <c r="H45" s="135" t="s">
        <v>257</v>
      </c>
      <c r="I45" s="135" t="s">
        <v>257</v>
      </c>
      <c r="J45" s="136">
        <v>7</v>
      </c>
      <c r="K45" s="136" t="s">
        <v>687</v>
      </c>
      <c r="L45" s="136" t="s">
        <v>197</v>
      </c>
      <c r="M45" s="136">
        <v>47</v>
      </c>
      <c r="N45" s="136" t="s">
        <v>199</v>
      </c>
      <c r="O45" s="231" t="s">
        <v>1135</v>
      </c>
      <c r="P45" s="231"/>
      <c r="Q45" s="237"/>
      <c r="R45" s="237"/>
      <c r="S45" s="237"/>
      <c r="T45" s="237"/>
      <c r="U45" s="237"/>
      <c r="V45" s="237"/>
      <c r="W45" s="237"/>
    </row>
    <row r="46" spans="1:23">
      <c r="A46" s="136">
        <v>440</v>
      </c>
      <c r="B46" s="135" t="s">
        <v>46</v>
      </c>
      <c r="C46" s="134" t="s">
        <v>280</v>
      </c>
      <c r="D46" s="135" t="s">
        <v>87</v>
      </c>
      <c r="E46" s="135">
        <v>200</v>
      </c>
      <c r="F46" s="135">
        <v>50</v>
      </c>
      <c r="G46" s="134">
        <v>50</v>
      </c>
      <c r="H46" s="135" t="s">
        <v>257</v>
      </c>
      <c r="I46" s="135" t="s">
        <v>257</v>
      </c>
      <c r="J46" s="136">
        <v>2</v>
      </c>
      <c r="K46" s="136" t="s">
        <v>688</v>
      </c>
      <c r="L46" s="136" t="s">
        <v>193</v>
      </c>
      <c r="M46" s="136">
        <v>22</v>
      </c>
      <c r="N46" s="136" t="s">
        <v>199</v>
      </c>
      <c r="O46" s="282" t="s">
        <v>693</v>
      </c>
      <c r="P46" s="282"/>
      <c r="Q46" s="237"/>
      <c r="R46" s="237"/>
      <c r="S46" s="237"/>
      <c r="T46" s="237"/>
      <c r="U46" s="237"/>
      <c r="V46" s="237"/>
      <c r="W46" s="237"/>
    </row>
    <row r="47" spans="1:23">
      <c r="A47" s="185">
        <v>5233</v>
      </c>
      <c r="B47" s="135" t="s">
        <v>48</v>
      </c>
      <c r="C47" s="134" t="s">
        <v>280</v>
      </c>
      <c r="D47" s="135" t="s">
        <v>72</v>
      </c>
      <c r="E47" s="135">
        <v>1000</v>
      </c>
      <c r="F47" s="135">
        <v>100</v>
      </c>
      <c r="G47" s="134">
        <v>100</v>
      </c>
      <c r="H47" s="135" t="s">
        <v>257</v>
      </c>
      <c r="I47" s="135" t="s">
        <v>258</v>
      </c>
      <c r="J47" s="136">
        <v>1</v>
      </c>
      <c r="K47" s="136" t="s">
        <v>688</v>
      </c>
      <c r="L47" s="136" t="s">
        <v>193</v>
      </c>
      <c r="M47" s="136">
        <v>75</v>
      </c>
      <c r="N47" s="136" t="s">
        <v>198</v>
      </c>
      <c r="O47" s="231" t="s">
        <v>695</v>
      </c>
      <c r="P47" s="231"/>
      <c r="Q47" s="237"/>
      <c r="R47" s="237"/>
      <c r="S47" s="237"/>
      <c r="T47" s="237"/>
      <c r="U47" s="237"/>
      <c r="V47" s="237"/>
      <c r="W47" s="237"/>
    </row>
    <row r="48" spans="1:23">
      <c r="A48" s="185">
        <v>405</v>
      </c>
      <c r="B48" s="135" t="s">
        <v>409</v>
      </c>
      <c r="C48" s="134" t="s">
        <v>280</v>
      </c>
      <c r="D48" s="135" t="s">
        <v>420</v>
      </c>
      <c r="E48" s="135">
        <v>250</v>
      </c>
      <c r="F48" s="135">
        <v>5</v>
      </c>
      <c r="G48" s="134">
        <v>50</v>
      </c>
      <c r="H48" s="135" t="s">
        <v>257</v>
      </c>
      <c r="I48" s="135" t="s">
        <v>257</v>
      </c>
      <c r="J48" s="136">
        <v>1</v>
      </c>
      <c r="K48" s="136" t="s">
        <v>689</v>
      </c>
      <c r="L48" s="136" t="s">
        <v>193</v>
      </c>
      <c r="M48" s="136">
        <v>23</v>
      </c>
      <c r="N48" s="136" t="s">
        <v>199</v>
      </c>
      <c r="O48" s="232" t="s">
        <v>1135</v>
      </c>
      <c r="P48" s="232"/>
      <c r="Q48" s="237"/>
      <c r="R48" s="237"/>
      <c r="S48" s="237"/>
      <c r="T48" s="237"/>
      <c r="U48" s="237"/>
      <c r="V48" s="237"/>
      <c r="W48" s="237"/>
    </row>
    <row r="49" spans="1:23">
      <c r="A49" s="185">
        <v>406</v>
      </c>
      <c r="B49" s="135" t="s">
        <v>380</v>
      </c>
      <c r="C49" s="134" t="s">
        <v>280</v>
      </c>
      <c r="D49" s="135" t="s">
        <v>382</v>
      </c>
      <c r="E49" s="135">
        <v>40</v>
      </c>
      <c r="F49" s="135">
        <v>40</v>
      </c>
      <c r="G49" s="134">
        <v>40</v>
      </c>
      <c r="H49" s="135" t="s">
        <v>257</v>
      </c>
      <c r="I49" s="135" t="s">
        <v>257</v>
      </c>
      <c r="J49" s="136">
        <v>15</v>
      </c>
      <c r="K49" s="136" t="s">
        <v>687</v>
      </c>
      <c r="L49" s="136" t="s">
        <v>197</v>
      </c>
      <c r="M49" s="136">
        <v>46</v>
      </c>
      <c r="N49" s="136" t="s">
        <v>199</v>
      </c>
      <c r="O49" s="232"/>
      <c r="P49" s="232"/>
      <c r="Q49" s="237"/>
      <c r="R49" s="237"/>
      <c r="S49" s="237"/>
      <c r="T49" s="237"/>
      <c r="U49" s="237"/>
      <c r="V49" s="237"/>
      <c r="W49" s="237"/>
    </row>
    <row r="50" spans="1:23">
      <c r="A50" s="136">
        <v>407</v>
      </c>
      <c r="B50" s="135" t="s">
        <v>380</v>
      </c>
      <c r="C50" s="134" t="s">
        <v>280</v>
      </c>
      <c r="D50" s="135" t="s">
        <v>381</v>
      </c>
      <c r="E50" s="135">
        <v>200</v>
      </c>
      <c r="F50" s="135">
        <v>200</v>
      </c>
      <c r="G50" s="134">
        <v>200</v>
      </c>
      <c r="H50" s="135" t="s">
        <v>257</v>
      </c>
      <c r="I50" s="135" t="s">
        <v>257</v>
      </c>
      <c r="J50" s="136">
        <v>15</v>
      </c>
      <c r="K50" s="136" t="s">
        <v>687</v>
      </c>
      <c r="L50" s="136" t="s">
        <v>197</v>
      </c>
      <c r="M50" s="136">
        <v>45</v>
      </c>
      <c r="N50" s="136" t="s">
        <v>199</v>
      </c>
      <c r="O50" s="231"/>
      <c r="P50" s="231"/>
      <c r="Q50" s="237"/>
      <c r="R50" s="237"/>
      <c r="S50" s="237"/>
      <c r="T50" s="237"/>
      <c r="U50" s="237"/>
      <c r="V50" s="237"/>
      <c r="W50" s="237"/>
    </row>
    <row r="51" spans="1:23">
      <c r="A51" s="136">
        <v>4172</v>
      </c>
      <c r="B51" s="135" t="s">
        <v>383</v>
      </c>
      <c r="C51" s="134" t="s">
        <v>280</v>
      </c>
      <c r="D51" s="135" t="s">
        <v>384</v>
      </c>
      <c r="E51" s="135">
        <v>0.25</v>
      </c>
      <c r="F51" s="135">
        <v>0.05</v>
      </c>
      <c r="G51" s="134">
        <v>0.05</v>
      </c>
      <c r="H51" s="135" t="s">
        <v>257</v>
      </c>
      <c r="I51" s="135" t="s">
        <v>257</v>
      </c>
      <c r="J51" s="136">
        <v>30</v>
      </c>
      <c r="K51" s="136" t="s">
        <v>689</v>
      </c>
      <c r="L51" s="136" t="s">
        <v>193</v>
      </c>
      <c r="M51" s="136">
        <v>38</v>
      </c>
      <c r="N51" s="136" t="s">
        <v>199</v>
      </c>
      <c r="O51" s="231" t="s">
        <v>755</v>
      </c>
      <c r="P51" s="231" t="s">
        <v>749</v>
      </c>
      <c r="Q51" s="237"/>
      <c r="R51" s="237"/>
      <c r="S51" s="237" t="s">
        <v>778</v>
      </c>
      <c r="T51" s="237"/>
      <c r="U51" s="237"/>
      <c r="V51" s="237"/>
      <c r="W51" s="237"/>
    </row>
    <row r="52" spans="1:23">
      <c r="A52" s="136">
        <v>1</v>
      </c>
      <c r="B52" s="135" t="s">
        <v>503</v>
      </c>
      <c r="C52" s="134" t="s">
        <v>280</v>
      </c>
      <c r="D52" s="135" t="s">
        <v>504</v>
      </c>
      <c r="E52" s="135">
        <v>200</v>
      </c>
      <c r="F52" s="135">
        <v>2</v>
      </c>
      <c r="G52" s="134">
        <v>2</v>
      </c>
      <c r="H52" s="135" t="s">
        <v>257</v>
      </c>
      <c r="I52" s="135" t="s">
        <v>257</v>
      </c>
      <c r="J52" s="136">
        <v>2</v>
      </c>
      <c r="K52" s="136" t="s">
        <v>685</v>
      </c>
      <c r="L52" s="136" t="s">
        <v>193</v>
      </c>
      <c r="M52" s="136">
        <v>50.1</v>
      </c>
      <c r="N52" s="136" t="s">
        <v>198</v>
      </c>
      <c r="O52" s="231" t="s">
        <v>693</v>
      </c>
      <c r="P52" s="231"/>
      <c r="Q52" s="237"/>
      <c r="R52" s="237"/>
      <c r="S52" s="237"/>
      <c r="T52" s="237"/>
      <c r="U52" s="237"/>
      <c r="V52" s="237"/>
      <c r="W52" s="237"/>
    </row>
    <row r="53" spans="1:23">
      <c r="A53" s="136">
        <v>119</v>
      </c>
      <c r="B53" s="135" t="s">
        <v>42</v>
      </c>
      <c r="C53" s="134" t="s">
        <v>280</v>
      </c>
      <c r="D53" s="135" t="s">
        <v>82</v>
      </c>
      <c r="E53" s="135">
        <v>20</v>
      </c>
      <c r="F53" s="135">
        <v>10</v>
      </c>
      <c r="G53" s="134">
        <v>10</v>
      </c>
      <c r="H53" s="135" t="s">
        <v>257</v>
      </c>
      <c r="I53" s="135" t="s">
        <v>257</v>
      </c>
      <c r="J53" s="136">
        <v>7</v>
      </c>
      <c r="K53" s="136" t="s">
        <v>685</v>
      </c>
      <c r="L53" s="136" t="s">
        <v>193</v>
      </c>
      <c r="M53" s="136">
        <v>14</v>
      </c>
      <c r="N53" s="136" t="s">
        <v>199</v>
      </c>
      <c r="O53" s="231" t="s">
        <v>1135</v>
      </c>
      <c r="P53" s="231"/>
      <c r="Q53" s="237"/>
      <c r="R53" s="237"/>
      <c r="S53" s="237"/>
      <c r="T53" s="237"/>
      <c r="U53" s="237"/>
      <c r="V53" s="237"/>
      <c r="W53" s="237"/>
    </row>
    <row r="54" spans="1:23">
      <c r="A54" s="189" t="s">
        <v>492</v>
      </c>
      <c r="B54" s="135" t="s">
        <v>42</v>
      </c>
      <c r="C54" s="134" t="s">
        <v>281</v>
      </c>
      <c r="D54" s="135" t="s">
        <v>493</v>
      </c>
      <c r="E54" s="135">
        <v>10</v>
      </c>
      <c r="F54" s="135">
        <v>10</v>
      </c>
      <c r="G54" s="134">
        <v>10</v>
      </c>
      <c r="H54" s="135" t="s">
        <v>145</v>
      </c>
      <c r="I54" s="135" t="s">
        <v>145</v>
      </c>
      <c r="J54" s="136" t="s">
        <v>151</v>
      </c>
      <c r="K54" s="136" t="s">
        <v>685</v>
      </c>
      <c r="L54" s="136" t="s">
        <v>193</v>
      </c>
      <c r="M54" s="136">
        <v>15.1</v>
      </c>
      <c r="N54" s="136" t="s">
        <v>199</v>
      </c>
      <c r="O54" s="233" t="s">
        <v>1135</v>
      </c>
      <c r="P54" s="233"/>
      <c r="Q54" s="237"/>
      <c r="R54" s="237"/>
      <c r="S54" s="237"/>
      <c r="T54" s="237"/>
      <c r="U54" s="237"/>
      <c r="V54" s="237"/>
      <c r="W54" s="237"/>
    </row>
    <row r="55" spans="1:23">
      <c r="A55" s="136" t="s">
        <v>277</v>
      </c>
      <c r="B55" s="134" t="s">
        <v>42</v>
      </c>
      <c r="C55" s="134" t="s">
        <v>281</v>
      </c>
      <c r="D55" s="134" t="s">
        <v>364</v>
      </c>
      <c r="E55" s="134">
        <v>20</v>
      </c>
      <c r="F55" s="134">
        <v>10</v>
      </c>
      <c r="G55" s="134">
        <v>10</v>
      </c>
      <c r="H55" s="135" t="s">
        <v>145</v>
      </c>
      <c r="I55" s="135" t="s">
        <v>145</v>
      </c>
      <c r="J55" s="136" t="s">
        <v>151</v>
      </c>
      <c r="K55" s="136" t="s">
        <v>685</v>
      </c>
      <c r="L55" s="136" t="s">
        <v>193</v>
      </c>
      <c r="M55" s="136">
        <v>15.2</v>
      </c>
      <c r="N55" s="136" t="s">
        <v>199</v>
      </c>
      <c r="O55" s="231" t="s">
        <v>1135</v>
      </c>
      <c r="P55" s="231"/>
      <c r="Q55" s="237"/>
      <c r="R55" s="237"/>
      <c r="S55" s="237"/>
      <c r="T55" s="237"/>
      <c r="U55" s="237"/>
      <c r="V55" s="237"/>
      <c r="W55" s="237"/>
    </row>
    <row r="56" spans="1:23">
      <c r="A56" s="136" t="s">
        <v>385</v>
      </c>
      <c r="B56" s="134" t="s">
        <v>386</v>
      </c>
      <c r="C56" s="134" t="s">
        <v>280</v>
      </c>
      <c r="D56" s="134" t="s">
        <v>68</v>
      </c>
      <c r="E56" s="134">
        <v>500</v>
      </c>
      <c r="F56" s="134">
        <v>50</v>
      </c>
      <c r="G56" s="134">
        <v>50</v>
      </c>
      <c r="H56" s="135" t="s">
        <v>257</v>
      </c>
      <c r="I56" s="135" t="s">
        <v>258</v>
      </c>
      <c r="J56" s="136">
        <v>1</v>
      </c>
      <c r="K56" s="136" t="s">
        <v>1377</v>
      </c>
      <c r="L56" s="136" t="s">
        <v>193</v>
      </c>
      <c r="M56" s="136">
        <v>85</v>
      </c>
      <c r="N56" s="136" t="s">
        <v>198</v>
      </c>
      <c r="O56" s="231" t="s">
        <v>693</v>
      </c>
      <c r="P56" s="231"/>
      <c r="Q56" s="237"/>
      <c r="R56" s="237"/>
      <c r="S56" s="237"/>
      <c r="T56" s="237"/>
      <c r="U56" s="237"/>
      <c r="V56" s="237"/>
      <c r="W56" s="237"/>
    </row>
    <row r="57" spans="1:23">
      <c r="A57" s="136">
        <v>5994</v>
      </c>
      <c r="B57" s="134" t="s">
        <v>57</v>
      </c>
      <c r="C57" s="134" t="s">
        <v>280</v>
      </c>
      <c r="D57" s="134" t="s">
        <v>77</v>
      </c>
      <c r="E57" s="134">
        <v>400</v>
      </c>
      <c r="F57" s="134">
        <v>10</v>
      </c>
      <c r="G57" s="134">
        <v>10</v>
      </c>
      <c r="H57" s="135" t="s">
        <v>257</v>
      </c>
      <c r="I57" s="135" t="s">
        <v>258</v>
      </c>
      <c r="J57" s="136">
        <v>14</v>
      </c>
      <c r="K57" s="136" t="s">
        <v>688</v>
      </c>
      <c r="L57" s="136" t="s">
        <v>193</v>
      </c>
      <c r="M57" s="136">
        <v>82</v>
      </c>
      <c r="N57" s="136" t="s">
        <v>198</v>
      </c>
      <c r="O57" s="231"/>
      <c r="P57" s="231"/>
      <c r="Q57" s="237"/>
      <c r="R57" s="237"/>
      <c r="S57" s="237"/>
      <c r="T57" s="237"/>
      <c r="U57" s="237"/>
      <c r="V57" s="237"/>
      <c r="W57" s="237"/>
    </row>
    <row r="58" spans="1:23">
      <c r="A58" s="189">
        <v>42</v>
      </c>
      <c r="B58" s="134" t="s">
        <v>32</v>
      </c>
      <c r="C58" s="186" t="s">
        <v>280</v>
      </c>
      <c r="D58" s="186" t="s">
        <v>656</v>
      </c>
      <c r="E58" s="186">
        <v>20</v>
      </c>
      <c r="F58" s="186">
        <v>10</v>
      </c>
      <c r="G58" s="186">
        <v>10</v>
      </c>
      <c r="H58" s="187" t="s">
        <v>257</v>
      </c>
      <c r="I58" s="187" t="s">
        <v>258</v>
      </c>
      <c r="J58" s="188">
        <v>7</v>
      </c>
      <c r="K58" s="188" t="s">
        <v>399</v>
      </c>
      <c r="L58" s="188" t="s">
        <v>197</v>
      </c>
      <c r="M58" s="136">
        <v>70</v>
      </c>
      <c r="N58" s="136" t="s">
        <v>198</v>
      </c>
      <c r="O58" s="233" t="s">
        <v>1135</v>
      </c>
      <c r="P58" s="233"/>
      <c r="Q58" s="237"/>
      <c r="R58" s="237"/>
      <c r="S58" s="237"/>
      <c r="T58" s="237"/>
      <c r="U58" s="237"/>
      <c r="V58" s="237"/>
      <c r="W58" s="237"/>
    </row>
    <row r="59" spans="1:23">
      <c r="A59" s="136">
        <v>43</v>
      </c>
      <c r="B59" s="137" t="s">
        <v>32</v>
      </c>
      <c r="C59" s="134" t="s">
        <v>280</v>
      </c>
      <c r="D59" s="137" t="s">
        <v>78</v>
      </c>
      <c r="E59" s="137">
        <v>80</v>
      </c>
      <c r="F59" s="135">
        <v>40</v>
      </c>
      <c r="G59" s="134">
        <v>40</v>
      </c>
      <c r="H59" s="135" t="s">
        <v>257</v>
      </c>
      <c r="I59" s="135" t="s">
        <v>258</v>
      </c>
      <c r="J59" s="136">
        <v>7</v>
      </c>
      <c r="K59" s="136" t="s">
        <v>756</v>
      </c>
      <c r="L59" s="136" t="s">
        <v>193</v>
      </c>
      <c r="M59" s="136">
        <v>70</v>
      </c>
      <c r="N59" s="136" t="s">
        <v>198</v>
      </c>
      <c r="O59" s="231" t="s">
        <v>1135</v>
      </c>
      <c r="P59" s="231"/>
      <c r="Q59" s="237"/>
      <c r="R59" s="237"/>
      <c r="S59" s="237"/>
      <c r="T59" s="237"/>
      <c r="U59" s="237"/>
      <c r="V59" s="237"/>
      <c r="W59" s="237"/>
    </row>
    <row r="60" spans="1:23">
      <c r="A60" s="136" t="s">
        <v>532</v>
      </c>
      <c r="B60" s="135" t="s">
        <v>32</v>
      </c>
      <c r="C60" s="134" t="s">
        <v>280</v>
      </c>
      <c r="D60" s="136" t="s">
        <v>533</v>
      </c>
      <c r="E60" s="136">
        <v>160</v>
      </c>
      <c r="F60" s="136">
        <v>80</v>
      </c>
      <c r="G60" s="134">
        <v>80</v>
      </c>
      <c r="H60" s="135" t="s">
        <v>257</v>
      </c>
      <c r="I60" s="135" t="s">
        <v>258</v>
      </c>
      <c r="J60" s="136">
        <v>7</v>
      </c>
      <c r="K60" s="136"/>
      <c r="L60" s="136" t="s">
        <v>197</v>
      </c>
      <c r="M60" s="136">
        <v>70</v>
      </c>
      <c r="N60" s="136" t="s">
        <v>198</v>
      </c>
      <c r="O60" s="231" t="s">
        <v>1135</v>
      </c>
      <c r="P60" s="231"/>
      <c r="Q60" s="237"/>
      <c r="R60" s="237"/>
      <c r="S60" s="237"/>
      <c r="T60" s="237"/>
      <c r="U60" s="237"/>
      <c r="V60" s="237"/>
      <c r="W60" s="237"/>
    </row>
    <row r="61" spans="1:23">
      <c r="A61" s="136" t="s">
        <v>385</v>
      </c>
      <c r="B61" s="135" t="s">
        <v>387</v>
      </c>
      <c r="C61" s="134" t="s">
        <v>280</v>
      </c>
      <c r="D61" s="135" t="s">
        <v>400</v>
      </c>
      <c r="E61" s="135">
        <v>5000</v>
      </c>
      <c r="F61" s="135"/>
      <c r="G61" s="134"/>
      <c r="H61" s="135" t="s">
        <v>257</v>
      </c>
      <c r="I61" s="135" t="s">
        <v>257</v>
      </c>
      <c r="J61" s="136">
        <v>90</v>
      </c>
      <c r="K61" s="136"/>
      <c r="L61" s="136"/>
      <c r="M61" s="136">
        <v>19</v>
      </c>
      <c r="N61" s="136" t="s">
        <v>199</v>
      </c>
      <c r="O61" s="231"/>
      <c r="P61" s="231"/>
      <c r="Q61" s="237"/>
      <c r="R61" s="237"/>
      <c r="S61" s="237"/>
      <c r="T61" s="237"/>
      <c r="U61" s="237"/>
      <c r="V61" s="237"/>
      <c r="W61" s="237"/>
    </row>
    <row r="62" spans="1:23">
      <c r="A62" s="136">
        <v>344</v>
      </c>
      <c r="B62" s="135" t="s">
        <v>60</v>
      </c>
      <c r="C62" s="134" t="s">
        <v>280</v>
      </c>
      <c r="D62" s="135" t="s">
        <v>89</v>
      </c>
      <c r="E62" s="135">
        <v>5</v>
      </c>
      <c r="F62" s="135">
        <v>5</v>
      </c>
      <c r="G62" s="134">
        <v>5</v>
      </c>
      <c r="H62" s="135" t="s">
        <v>257</v>
      </c>
      <c r="I62" s="135" t="s">
        <v>257</v>
      </c>
      <c r="J62" s="136">
        <v>10</v>
      </c>
      <c r="K62" s="136" t="s">
        <v>685</v>
      </c>
      <c r="L62" s="136" t="s">
        <v>193</v>
      </c>
      <c r="M62" s="136">
        <v>35</v>
      </c>
      <c r="N62" s="136" t="s">
        <v>199</v>
      </c>
      <c r="O62" s="231" t="s">
        <v>757</v>
      </c>
      <c r="P62" s="231"/>
      <c r="Q62" s="237"/>
      <c r="R62" s="237"/>
      <c r="S62" s="237" t="s">
        <v>783</v>
      </c>
      <c r="T62" s="237" t="s">
        <v>784</v>
      </c>
      <c r="U62" s="237"/>
      <c r="V62" s="237"/>
      <c r="W62" s="237"/>
    </row>
    <row r="63" spans="1:23">
      <c r="A63" s="136">
        <v>4</v>
      </c>
      <c r="B63" s="135" t="s">
        <v>40</v>
      </c>
      <c r="C63" s="134" t="s">
        <v>281</v>
      </c>
      <c r="D63" s="135" t="s">
        <v>365</v>
      </c>
      <c r="E63" s="135">
        <v>25</v>
      </c>
      <c r="F63" s="135">
        <v>5</v>
      </c>
      <c r="G63" s="134">
        <v>5</v>
      </c>
      <c r="H63" s="135" t="s">
        <v>145</v>
      </c>
      <c r="I63" s="135" t="s">
        <v>145</v>
      </c>
      <c r="J63" s="136" t="s">
        <v>151</v>
      </c>
      <c r="K63" s="136" t="s">
        <v>687</v>
      </c>
      <c r="L63" s="136" t="s">
        <v>197</v>
      </c>
      <c r="M63" s="136">
        <v>89</v>
      </c>
      <c r="N63" s="136" t="s">
        <v>199</v>
      </c>
      <c r="O63" s="231" t="s">
        <v>693</v>
      </c>
      <c r="P63" s="231"/>
      <c r="Q63" s="237"/>
      <c r="R63" s="237"/>
      <c r="S63" s="237"/>
      <c r="T63" s="237"/>
      <c r="U63" s="237"/>
      <c r="V63" s="237"/>
      <c r="W63" s="237"/>
    </row>
    <row r="64" spans="1:23">
      <c r="A64" s="136">
        <v>4374</v>
      </c>
      <c r="B64" s="135" t="s">
        <v>40</v>
      </c>
      <c r="C64" s="134" t="s">
        <v>280</v>
      </c>
      <c r="D64" s="135" t="s">
        <v>83</v>
      </c>
      <c r="E64" s="135">
        <v>25000</v>
      </c>
      <c r="F64" s="135">
        <v>5000</v>
      </c>
      <c r="G64" s="134">
        <v>5000</v>
      </c>
      <c r="H64" s="135" t="s">
        <v>257</v>
      </c>
      <c r="I64" s="135" t="s">
        <v>257</v>
      </c>
      <c r="J64" s="136">
        <v>30</v>
      </c>
      <c r="K64" s="136" t="s">
        <v>687</v>
      </c>
      <c r="L64" s="136" t="s">
        <v>197</v>
      </c>
      <c r="M64" s="136">
        <v>17</v>
      </c>
      <c r="N64" s="136" t="s">
        <v>199</v>
      </c>
      <c r="O64" s="282" t="s">
        <v>693</v>
      </c>
      <c r="P64" s="282"/>
      <c r="Q64" s="237"/>
      <c r="R64" s="237"/>
      <c r="S64" s="237"/>
      <c r="T64" s="237"/>
      <c r="U64" s="237"/>
      <c r="V64" s="237"/>
      <c r="W64" s="237"/>
    </row>
    <row r="65" spans="1:24">
      <c r="A65" s="136">
        <v>413</v>
      </c>
      <c r="B65" s="135" t="s">
        <v>44</v>
      </c>
      <c r="C65" s="134" t="s">
        <v>280</v>
      </c>
      <c r="D65" s="135" t="s">
        <v>73</v>
      </c>
      <c r="E65" s="135">
        <v>100</v>
      </c>
      <c r="F65" s="135">
        <v>20</v>
      </c>
      <c r="G65" s="134">
        <v>20</v>
      </c>
      <c r="H65" s="135" t="s">
        <v>257</v>
      </c>
      <c r="I65" s="135" t="s">
        <v>257</v>
      </c>
      <c r="J65" s="136">
        <v>41</v>
      </c>
      <c r="K65" s="136" t="s">
        <v>399</v>
      </c>
      <c r="L65" s="136" t="s">
        <v>197</v>
      </c>
      <c r="M65" s="136">
        <v>30</v>
      </c>
      <c r="N65" s="136" t="s">
        <v>199</v>
      </c>
      <c r="O65" s="231" t="s">
        <v>699</v>
      </c>
      <c r="P65" s="231"/>
      <c r="Q65" s="237"/>
      <c r="R65" s="237"/>
      <c r="S65" s="237"/>
      <c r="T65" s="237"/>
      <c r="U65" s="237"/>
      <c r="V65" s="237"/>
      <c r="W65" s="237"/>
    </row>
    <row r="66" spans="1:24">
      <c r="A66" s="136">
        <v>3913</v>
      </c>
      <c r="B66" s="135" t="s">
        <v>248</v>
      </c>
      <c r="C66" s="134" t="s">
        <v>280</v>
      </c>
      <c r="D66" s="135" t="s">
        <v>249</v>
      </c>
      <c r="E66" s="135">
        <v>2</v>
      </c>
      <c r="F66" s="135">
        <v>2</v>
      </c>
      <c r="G66" s="134">
        <v>2</v>
      </c>
      <c r="H66" s="135" t="s">
        <v>257</v>
      </c>
      <c r="I66" s="135" t="s">
        <v>257</v>
      </c>
      <c r="J66" s="136">
        <v>30</v>
      </c>
      <c r="K66" s="136" t="s">
        <v>689</v>
      </c>
      <c r="L66" s="136" t="s">
        <v>193</v>
      </c>
      <c r="M66" s="136">
        <v>39</v>
      </c>
      <c r="N66" s="136" t="s">
        <v>199</v>
      </c>
      <c r="O66" s="231"/>
      <c r="P66" s="231" t="s">
        <v>749</v>
      </c>
      <c r="Q66" s="237"/>
      <c r="R66" s="237"/>
      <c r="S66" s="237"/>
      <c r="T66" s="237"/>
      <c r="U66" s="237"/>
      <c r="V66" s="237"/>
      <c r="W66" s="237"/>
    </row>
    <row r="67" spans="1:24">
      <c r="A67" s="136">
        <v>1000</v>
      </c>
      <c r="B67" s="135" t="s">
        <v>250</v>
      </c>
      <c r="C67" s="134" t="s">
        <v>280</v>
      </c>
      <c r="D67" s="135" t="s">
        <v>68</v>
      </c>
      <c r="E67" s="135">
        <v>500</v>
      </c>
      <c r="F67" s="135">
        <v>25</v>
      </c>
      <c r="G67" s="134">
        <v>25</v>
      </c>
      <c r="H67" s="135" t="s">
        <v>257</v>
      </c>
      <c r="I67" s="135" t="s">
        <v>258</v>
      </c>
      <c r="J67" s="136">
        <v>1</v>
      </c>
      <c r="K67" s="136" t="s">
        <v>689</v>
      </c>
      <c r="L67" s="136" t="s">
        <v>193</v>
      </c>
      <c r="M67" s="136">
        <v>76</v>
      </c>
      <c r="N67" s="136" t="s">
        <v>198</v>
      </c>
      <c r="O67" s="231" t="s">
        <v>697</v>
      </c>
      <c r="P67" s="231"/>
      <c r="Q67" s="237"/>
      <c r="R67" s="237"/>
      <c r="S67" s="237"/>
      <c r="T67" s="237"/>
      <c r="U67" s="237"/>
      <c r="V67" s="237"/>
      <c r="W67" s="237"/>
    </row>
    <row r="68" spans="1:24">
      <c r="A68" s="136">
        <v>149</v>
      </c>
      <c r="B68" s="135" t="s">
        <v>45</v>
      </c>
      <c r="C68" s="134" t="s">
        <v>280</v>
      </c>
      <c r="D68" s="135" t="s">
        <v>85</v>
      </c>
      <c r="E68" s="135">
        <v>1000</v>
      </c>
      <c r="F68" s="135">
        <v>100</v>
      </c>
      <c r="G68" s="134">
        <v>100</v>
      </c>
      <c r="H68" s="135" t="s">
        <v>257</v>
      </c>
      <c r="I68" s="135" t="s">
        <v>257</v>
      </c>
      <c r="J68" s="136">
        <v>28</v>
      </c>
      <c r="K68" s="136" t="s">
        <v>688</v>
      </c>
      <c r="L68" s="136" t="s">
        <v>193</v>
      </c>
      <c r="M68" s="136">
        <v>18</v>
      </c>
      <c r="N68" s="136" t="s">
        <v>199</v>
      </c>
      <c r="O68" s="231"/>
      <c r="P68" s="231"/>
      <c r="Q68" s="237"/>
      <c r="R68" s="237"/>
      <c r="S68" s="237"/>
      <c r="T68" s="237"/>
      <c r="U68" s="237"/>
      <c r="V68" s="237"/>
      <c r="W68" s="237"/>
    </row>
    <row r="69" spans="1:24">
      <c r="A69" s="136">
        <v>151</v>
      </c>
      <c r="B69" s="135" t="s">
        <v>287</v>
      </c>
      <c r="C69" s="134" t="s">
        <v>280</v>
      </c>
      <c r="D69" s="135" t="s">
        <v>85</v>
      </c>
      <c r="E69" s="135">
        <v>1000</v>
      </c>
      <c r="F69" s="136">
        <v>100</v>
      </c>
      <c r="G69" s="134">
        <v>100</v>
      </c>
      <c r="H69" s="135" t="s">
        <v>257</v>
      </c>
      <c r="I69" s="135" t="s">
        <v>257</v>
      </c>
      <c r="J69" s="136">
        <v>28</v>
      </c>
      <c r="K69" s="136" t="s">
        <v>688</v>
      </c>
      <c r="L69" s="136" t="s">
        <v>193</v>
      </c>
      <c r="M69" s="136">
        <v>21</v>
      </c>
      <c r="N69" s="136" t="s">
        <v>199</v>
      </c>
      <c r="O69" s="231"/>
      <c r="P69" s="231"/>
      <c r="Q69" s="237"/>
      <c r="R69" s="237"/>
      <c r="S69" s="237"/>
      <c r="T69" s="237"/>
      <c r="U69" s="237"/>
      <c r="V69" s="237"/>
      <c r="W69" s="237"/>
    </row>
    <row r="70" spans="1:24">
      <c r="A70" s="136">
        <v>401</v>
      </c>
      <c r="B70" s="135" t="s">
        <v>806</v>
      </c>
      <c r="C70" s="134" t="s">
        <v>280</v>
      </c>
      <c r="D70" s="135" t="s">
        <v>64</v>
      </c>
      <c r="E70" s="135">
        <v>500</v>
      </c>
      <c r="F70" s="135">
        <v>50</v>
      </c>
      <c r="G70" s="134">
        <v>50</v>
      </c>
      <c r="H70" s="135" t="s">
        <v>257</v>
      </c>
      <c r="I70" s="135" t="s">
        <v>257</v>
      </c>
      <c r="J70" s="136">
        <v>30</v>
      </c>
      <c r="K70" s="136" t="s">
        <v>689</v>
      </c>
      <c r="L70" s="136" t="s">
        <v>193</v>
      </c>
      <c r="M70" s="136">
        <v>49.1</v>
      </c>
      <c r="N70" s="136" t="s">
        <v>199</v>
      </c>
      <c r="O70" s="231"/>
      <c r="P70" s="232" t="s">
        <v>749</v>
      </c>
      <c r="Q70" s="237"/>
      <c r="R70" s="237"/>
      <c r="S70" s="237"/>
      <c r="T70" s="237"/>
      <c r="U70" s="237"/>
      <c r="V70" s="237"/>
      <c r="W70" s="237"/>
    </row>
    <row r="71" spans="1:24">
      <c r="A71" s="185">
        <v>297</v>
      </c>
      <c r="B71" s="135" t="s">
        <v>47</v>
      </c>
      <c r="C71" s="134" t="s">
        <v>280</v>
      </c>
      <c r="D71" s="136" t="s">
        <v>191</v>
      </c>
      <c r="E71" s="136">
        <v>100</v>
      </c>
      <c r="F71" s="136">
        <v>10</v>
      </c>
      <c r="G71" s="134">
        <v>10</v>
      </c>
      <c r="H71" s="135" t="s">
        <v>257</v>
      </c>
      <c r="I71" s="135" t="s">
        <v>257</v>
      </c>
      <c r="J71" s="136">
        <v>90</v>
      </c>
      <c r="K71" s="136" t="s">
        <v>399</v>
      </c>
      <c r="L71" s="136" t="s">
        <v>197</v>
      </c>
      <c r="M71" s="136">
        <v>26</v>
      </c>
      <c r="N71" s="136" t="s">
        <v>199</v>
      </c>
      <c r="O71" s="232"/>
      <c r="P71" s="234"/>
      <c r="Q71" s="237"/>
      <c r="R71" s="237"/>
      <c r="S71" s="237"/>
      <c r="T71" s="237"/>
      <c r="U71" s="237"/>
      <c r="V71" s="237"/>
      <c r="W71" s="237"/>
    </row>
    <row r="72" spans="1:24">
      <c r="A72" s="185">
        <v>2</v>
      </c>
      <c r="B72" s="135" t="s">
        <v>185</v>
      </c>
      <c r="C72" s="134" t="s">
        <v>280</v>
      </c>
      <c r="D72" s="135"/>
      <c r="E72" s="135">
        <v>100</v>
      </c>
      <c r="F72" s="136"/>
      <c r="G72" s="134">
        <v>0</v>
      </c>
      <c r="H72" s="135" t="s">
        <v>257</v>
      </c>
      <c r="I72" s="135" t="s">
        <v>257</v>
      </c>
      <c r="J72" s="136">
        <v>5</v>
      </c>
      <c r="K72" s="136" t="s">
        <v>94</v>
      </c>
      <c r="L72" s="136" t="s">
        <v>197</v>
      </c>
      <c r="M72" s="136">
        <v>40</v>
      </c>
      <c r="N72" s="136" t="s">
        <v>199</v>
      </c>
      <c r="O72" s="234"/>
      <c r="P72" s="231"/>
      <c r="Q72" s="237"/>
      <c r="R72" s="237"/>
      <c r="S72" s="237"/>
      <c r="T72" s="237"/>
      <c r="U72" s="237"/>
      <c r="V72" s="237"/>
      <c r="W72" s="237"/>
    </row>
    <row r="73" spans="1:24">
      <c r="A73" s="136">
        <v>4945</v>
      </c>
      <c r="B73" s="135" t="s">
        <v>410</v>
      </c>
      <c r="C73" s="134" t="s">
        <v>398</v>
      </c>
      <c r="D73" s="135" t="s">
        <v>415</v>
      </c>
      <c r="E73" s="135">
        <v>200</v>
      </c>
      <c r="F73" s="135">
        <v>2</v>
      </c>
      <c r="G73" s="134">
        <v>2</v>
      </c>
      <c r="H73" s="135" t="s">
        <v>257</v>
      </c>
      <c r="I73" s="135" t="s">
        <v>257</v>
      </c>
      <c r="J73" s="136">
        <v>1</v>
      </c>
      <c r="K73" s="136" t="s">
        <v>690</v>
      </c>
      <c r="L73" s="136" t="s">
        <v>193</v>
      </c>
      <c r="M73" s="136">
        <v>80</v>
      </c>
      <c r="N73" s="136" t="s">
        <v>198</v>
      </c>
      <c r="O73" s="231" t="s">
        <v>697</v>
      </c>
      <c r="P73" s="231"/>
      <c r="Q73" s="237"/>
      <c r="R73" s="237"/>
      <c r="S73" s="237"/>
      <c r="T73" s="237"/>
      <c r="U73" s="237"/>
      <c r="V73" s="237"/>
      <c r="W73" s="237"/>
    </row>
    <row r="74" spans="1:24">
      <c r="A74" s="136">
        <v>481</v>
      </c>
      <c r="B74" s="135" t="s">
        <v>393</v>
      </c>
      <c r="C74" s="134" t="s">
        <v>280</v>
      </c>
      <c r="D74" s="135" t="s">
        <v>394</v>
      </c>
      <c r="E74" s="135">
        <v>2000</v>
      </c>
      <c r="F74" s="135">
        <v>200</v>
      </c>
      <c r="G74" s="134">
        <v>200</v>
      </c>
      <c r="H74" s="135" t="s">
        <v>257</v>
      </c>
      <c r="I74" s="135" t="s">
        <v>257</v>
      </c>
      <c r="J74" s="136">
        <v>90</v>
      </c>
      <c r="K74" s="136" t="s">
        <v>687</v>
      </c>
      <c r="L74" s="136" t="s">
        <v>197</v>
      </c>
      <c r="M74" s="136">
        <v>3</v>
      </c>
      <c r="N74" s="136" t="s">
        <v>199</v>
      </c>
      <c r="O74" s="231"/>
      <c r="P74" s="231"/>
      <c r="Q74" s="237"/>
      <c r="R74" s="237"/>
      <c r="S74" s="237"/>
      <c r="T74" s="237"/>
      <c r="U74" s="237"/>
      <c r="V74" s="237"/>
      <c r="W74" s="237"/>
    </row>
    <row r="75" spans="1:24">
      <c r="A75" s="136">
        <v>387</v>
      </c>
      <c r="B75" s="135" t="s">
        <v>388</v>
      </c>
      <c r="C75" s="134" t="s">
        <v>280</v>
      </c>
      <c r="D75" s="135" t="s">
        <v>389</v>
      </c>
      <c r="E75" s="135">
        <v>100</v>
      </c>
      <c r="F75" s="135">
        <v>50</v>
      </c>
      <c r="G75" s="134">
        <v>50</v>
      </c>
      <c r="H75" s="135" t="s">
        <v>257</v>
      </c>
      <c r="I75" s="135" t="s">
        <v>257</v>
      </c>
      <c r="J75" s="136">
        <v>84</v>
      </c>
      <c r="K75" s="136" t="s">
        <v>687</v>
      </c>
      <c r="L75" s="136" t="s">
        <v>197</v>
      </c>
      <c r="M75" s="136">
        <v>33</v>
      </c>
      <c r="N75" s="136" t="s">
        <v>199</v>
      </c>
      <c r="O75" s="231"/>
      <c r="P75" s="231"/>
      <c r="Q75" s="237"/>
      <c r="R75" s="237"/>
      <c r="S75" s="237"/>
      <c r="T75" s="237"/>
      <c r="U75" s="237"/>
      <c r="V75" s="237"/>
      <c r="W75" s="237"/>
      <c r="X75" s="64" t="s">
        <v>770</v>
      </c>
    </row>
    <row r="76" spans="1:24">
      <c r="A76" s="136" t="s">
        <v>580</v>
      </c>
      <c r="B76" s="135" t="s">
        <v>581</v>
      </c>
      <c r="C76" s="134" t="s">
        <v>280</v>
      </c>
      <c r="D76" s="135" t="s">
        <v>72</v>
      </c>
      <c r="E76" s="135">
        <v>1000</v>
      </c>
      <c r="F76" s="135">
        <v>50</v>
      </c>
      <c r="G76" s="134">
        <v>100</v>
      </c>
      <c r="H76" s="135" t="s">
        <v>257</v>
      </c>
      <c r="I76" s="135" t="s">
        <v>258</v>
      </c>
      <c r="J76" s="136">
        <v>2</v>
      </c>
      <c r="K76" s="136" t="s">
        <v>691</v>
      </c>
      <c r="L76" s="136" t="s">
        <v>193</v>
      </c>
      <c r="M76" s="136">
        <v>74</v>
      </c>
      <c r="N76" s="136" t="s">
        <v>198</v>
      </c>
      <c r="O76" s="231" t="s">
        <v>693</v>
      </c>
      <c r="P76" s="234"/>
      <c r="Q76" s="237"/>
      <c r="R76" s="237"/>
      <c r="S76" s="237"/>
      <c r="T76" s="237"/>
      <c r="U76" s="237"/>
      <c r="V76" s="237"/>
      <c r="W76" s="237"/>
    </row>
    <row r="77" spans="1:24">
      <c r="A77" s="185" t="s">
        <v>582</v>
      </c>
      <c r="B77" s="135" t="s">
        <v>581</v>
      </c>
      <c r="C77" s="134" t="s">
        <v>280</v>
      </c>
      <c r="D77" s="135" t="s">
        <v>68</v>
      </c>
      <c r="E77" s="135">
        <v>500</v>
      </c>
      <c r="F77" s="135">
        <v>50</v>
      </c>
      <c r="G77" s="134">
        <v>100</v>
      </c>
      <c r="H77" s="135" t="s">
        <v>257</v>
      </c>
      <c r="I77" s="135" t="s">
        <v>258</v>
      </c>
      <c r="J77" s="136">
        <v>2</v>
      </c>
      <c r="K77" s="136" t="s">
        <v>691</v>
      </c>
      <c r="L77" s="136" t="s">
        <v>193</v>
      </c>
      <c r="M77" s="136">
        <v>74</v>
      </c>
      <c r="N77" s="136" t="s">
        <v>198</v>
      </c>
      <c r="O77" s="234" t="s">
        <v>693</v>
      </c>
      <c r="P77" s="231"/>
      <c r="Q77" s="237" t="s">
        <v>785</v>
      </c>
      <c r="R77" s="237" t="s">
        <v>786</v>
      </c>
      <c r="S77" s="237" t="s">
        <v>787</v>
      </c>
      <c r="T77" s="237"/>
      <c r="U77" s="237" t="s">
        <v>770</v>
      </c>
      <c r="V77" s="237"/>
      <c r="W77" s="237"/>
    </row>
    <row r="78" spans="1:24">
      <c r="A78" s="185">
        <v>609</v>
      </c>
      <c r="B78" s="135" t="s">
        <v>254</v>
      </c>
      <c r="C78" s="134" t="s">
        <v>280</v>
      </c>
      <c r="D78" s="135" t="s">
        <v>72</v>
      </c>
      <c r="E78" s="135">
        <v>1000</v>
      </c>
      <c r="F78" s="135">
        <v>50</v>
      </c>
      <c r="G78" s="134">
        <v>100</v>
      </c>
      <c r="H78" s="135" t="s">
        <v>257</v>
      </c>
      <c r="I78" s="135" t="s">
        <v>258</v>
      </c>
      <c r="J78" s="136">
        <v>2</v>
      </c>
      <c r="K78" s="136" t="s">
        <v>691</v>
      </c>
      <c r="L78" s="136" t="s">
        <v>193</v>
      </c>
      <c r="M78" s="136">
        <v>74</v>
      </c>
      <c r="N78" s="136" t="s">
        <v>198</v>
      </c>
      <c r="O78" s="234" t="s">
        <v>693</v>
      </c>
      <c r="P78" s="231"/>
      <c r="Q78" s="237" t="s">
        <v>788</v>
      </c>
      <c r="R78" s="237" t="s">
        <v>789</v>
      </c>
      <c r="S78" s="237" t="s">
        <v>769</v>
      </c>
      <c r="T78" s="237"/>
      <c r="U78" s="237" t="s">
        <v>770</v>
      </c>
      <c r="V78" s="237" t="s">
        <v>790</v>
      </c>
      <c r="W78" s="237"/>
    </row>
    <row r="79" spans="1:24">
      <c r="A79" s="136" t="s">
        <v>543</v>
      </c>
      <c r="B79" s="134" t="s">
        <v>254</v>
      </c>
      <c r="C79" s="134" t="s">
        <v>280</v>
      </c>
      <c r="D79" s="134" t="s">
        <v>68</v>
      </c>
      <c r="E79" s="134">
        <v>500</v>
      </c>
      <c r="F79" s="134">
        <v>50</v>
      </c>
      <c r="G79" s="134">
        <v>100</v>
      </c>
      <c r="H79" s="135" t="s">
        <v>257</v>
      </c>
      <c r="I79" s="135" t="s">
        <v>258</v>
      </c>
      <c r="J79" s="136">
        <v>2</v>
      </c>
      <c r="K79" s="136" t="s">
        <v>691</v>
      </c>
      <c r="L79" s="136" t="s">
        <v>193</v>
      </c>
      <c r="M79" s="136">
        <v>74</v>
      </c>
      <c r="N79" s="136" t="s">
        <v>198</v>
      </c>
      <c r="O79" s="231" t="s">
        <v>693</v>
      </c>
      <c r="P79" s="231"/>
      <c r="Q79" s="237"/>
      <c r="R79" s="237"/>
      <c r="S79" s="237"/>
      <c r="T79" s="237"/>
      <c r="U79" s="237"/>
      <c r="V79" s="237"/>
      <c r="W79" s="237"/>
    </row>
    <row r="80" spans="1:24">
      <c r="A80" s="136" t="s">
        <v>812</v>
      </c>
      <c r="B80" s="135" t="s">
        <v>813</v>
      </c>
      <c r="C80" s="134" t="s">
        <v>280</v>
      </c>
      <c r="D80" s="135" t="s">
        <v>72</v>
      </c>
      <c r="E80" s="135">
        <v>1000</v>
      </c>
      <c r="F80" s="135">
        <v>50</v>
      </c>
      <c r="G80" s="134">
        <v>100</v>
      </c>
      <c r="H80" s="135" t="s">
        <v>257</v>
      </c>
      <c r="I80" s="135" t="s">
        <v>258</v>
      </c>
      <c r="J80" s="136">
        <v>2</v>
      </c>
      <c r="K80" s="136" t="s">
        <v>1378</v>
      </c>
      <c r="L80" s="136" t="s">
        <v>193</v>
      </c>
      <c r="M80" s="136">
        <v>74</v>
      </c>
      <c r="N80" s="136" t="s">
        <v>198</v>
      </c>
      <c r="O80" s="231" t="s">
        <v>693</v>
      </c>
      <c r="P80" s="231"/>
      <c r="Q80" s="237" t="s">
        <v>788</v>
      </c>
      <c r="R80" s="237" t="s">
        <v>789</v>
      </c>
      <c r="S80" s="237" t="s">
        <v>769</v>
      </c>
      <c r="T80" s="237"/>
      <c r="U80" s="237" t="s">
        <v>770</v>
      </c>
      <c r="V80" s="237" t="s">
        <v>790</v>
      </c>
      <c r="W80" s="237"/>
    </row>
    <row r="81" spans="1:23">
      <c r="A81" s="136">
        <v>3141</v>
      </c>
      <c r="B81" s="135" t="s">
        <v>390</v>
      </c>
      <c r="C81" s="134" t="s">
        <v>280</v>
      </c>
      <c r="D81" s="135" t="s">
        <v>391</v>
      </c>
      <c r="E81" s="135">
        <v>0.2</v>
      </c>
      <c r="F81" s="135">
        <v>0.2</v>
      </c>
      <c r="G81" s="134">
        <v>0.2</v>
      </c>
      <c r="H81" s="135" t="s">
        <v>257</v>
      </c>
      <c r="I81" s="135" t="s">
        <v>257</v>
      </c>
      <c r="J81" s="136">
        <v>7</v>
      </c>
      <c r="K81" s="136" t="s">
        <v>687</v>
      </c>
      <c r="L81" s="136" t="s">
        <v>197</v>
      </c>
      <c r="M81" s="136">
        <v>20</v>
      </c>
      <c r="N81" s="136" t="s">
        <v>199</v>
      </c>
      <c r="O81" s="231" t="s">
        <v>702</v>
      </c>
      <c r="P81" s="231"/>
      <c r="Q81" s="237"/>
      <c r="R81" s="237"/>
      <c r="S81" s="237"/>
      <c r="T81" s="237"/>
      <c r="U81" s="237"/>
      <c r="V81" s="237"/>
      <c r="W81" s="237"/>
    </row>
    <row r="82" spans="1:23">
      <c r="A82" s="136">
        <v>610</v>
      </c>
      <c r="B82" s="135" t="s">
        <v>39</v>
      </c>
      <c r="C82" s="134" t="s">
        <v>280</v>
      </c>
      <c r="D82" s="135" t="s">
        <v>68</v>
      </c>
      <c r="E82" s="135">
        <v>500</v>
      </c>
      <c r="F82" s="135">
        <v>10</v>
      </c>
      <c r="G82" s="134">
        <v>10</v>
      </c>
      <c r="H82" s="135" t="s">
        <v>257</v>
      </c>
      <c r="I82" s="135" t="s">
        <v>257</v>
      </c>
      <c r="J82" s="136">
        <v>21</v>
      </c>
      <c r="K82" s="136" t="s">
        <v>399</v>
      </c>
      <c r="L82" s="136" t="s">
        <v>193</v>
      </c>
      <c r="M82" s="136">
        <v>32</v>
      </c>
      <c r="N82" s="136" t="s">
        <v>199</v>
      </c>
      <c r="O82" s="231" t="s">
        <v>1135</v>
      </c>
      <c r="P82" s="235"/>
      <c r="Q82" s="237"/>
      <c r="R82" s="237"/>
      <c r="S82" s="237" t="s">
        <v>791</v>
      </c>
      <c r="T82" s="237"/>
      <c r="U82" s="237"/>
      <c r="V82" s="237"/>
      <c r="W82" s="237"/>
    </row>
    <row r="83" spans="1:23">
      <c r="A83" s="189">
        <v>129</v>
      </c>
      <c r="B83" s="135" t="s">
        <v>36</v>
      </c>
      <c r="C83" s="134" t="s">
        <v>280</v>
      </c>
      <c r="D83" s="135" t="s">
        <v>84</v>
      </c>
      <c r="E83" s="135">
        <v>10</v>
      </c>
      <c r="F83" s="135">
        <v>5</v>
      </c>
      <c r="G83" s="134">
        <v>5</v>
      </c>
      <c r="H83" s="135" t="s">
        <v>257</v>
      </c>
      <c r="I83" s="135" t="s">
        <v>257</v>
      </c>
      <c r="J83" s="136">
        <v>7</v>
      </c>
      <c r="K83" s="136" t="s">
        <v>399</v>
      </c>
      <c r="L83" s="136" t="s">
        <v>197</v>
      </c>
      <c r="M83" s="136">
        <v>10</v>
      </c>
      <c r="N83" s="136" t="s">
        <v>199</v>
      </c>
      <c r="O83" s="235" t="s">
        <v>1135</v>
      </c>
      <c r="P83" s="231"/>
      <c r="Q83" s="237"/>
      <c r="R83" s="237"/>
      <c r="S83" s="237"/>
      <c r="T83" s="237"/>
      <c r="U83" s="237"/>
      <c r="V83" s="237"/>
      <c r="W83" s="237"/>
    </row>
    <row r="84" spans="1:23">
      <c r="A84" s="136" t="s">
        <v>279</v>
      </c>
      <c r="B84" s="135" t="s">
        <v>36</v>
      </c>
      <c r="C84" s="134" t="s">
        <v>281</v>
      </c>
      <c r="D84" s="135" t="s">
        <v>366</v>
      </c>
      <c r="E84" s="135">
        <v>10</v>
      </c>
      <c r="F84" s="135">
        <v>5</v>
      </c>
      <c r="G84" s="134">
        <v>5</v>
      </c>
      <c r="H84" s="135" t="s">
        <v>145</v>
      </c>
      <c r="I84" s="135" t="s">
        <v>145</v>
      </c>
      <c r="J84" s="136" t="s">
        <v>151</v>
      </c>
      <c r="K84" s="136" t="s">
        <v>399</v>
      </c>
      <c r="L84" s="136" t="s">
        <v>197</v>
      </c>
      <c r="M84" s="136">
        <v>11</v>
      </c>
      <c r="N84" s="136" t="s">
        <v>199</v>
      </c>
      <c r="O84" s="231" t="s">
        <v>1135</v>
      </c>
      <c r="P84" s="231"/>
      <c r="Q84" s="237"/>
      <c r="R84" s="237"/>
      <c r="S84" s="237"/>
      <c r="T84" s="237"/>
      <c r="U84" s="237"/>
      <c r="V84" s="237"/>
      <c r="W84" s="237"/>
    </row>
    <row r="85" spans="1:23">
      <c r="A85" s="136">
        <v>430</v>
      </c>
      <c r="B85" s="135" t="s">
        <v>412</v>
      </c>
      <c r="C85" s="134" t="s">
        <v>398</v>
      </c>
      <c r="D85" s="135" t="s">
        <v>417</v>
      </c>
      <c r="E85" s="135">
        <v>500</v>
      </c>
      <c r="F85" s="135">
        <v>5</v>
      </c>
      <c r="G85" s="134">
        <v>5</v>
      </c>
      <c r="H85" s="135" t="s">
        <v>257</v>
      </c>
      <c r="I85" s="135" t="s">
        <v>257</v>
      </c>
      <c r="J85" s="136">
        <v>1</v>
      </c>
      <c r="K85" s="136" t="s">
        <v>687</v>
      </c>
      <c r="L85" s="136" t="s">
        <v>197</v>
      </c>
      <c r="M85" s="136">
        <v>49</v>
      </c>
      <c r="N85" s="136" t="s">
        <v>198</v>
      </c>
      <c r="O85" s="231" t="s">
        <v>703</v>
      </c>
      <c r="P85" s="231"/>
      <c r="Q85" s="237"/>
      <c r="R85" s="237"/>
      <c r="S85" s="237"/>
      <c r="T85" s="237"/>
      <c r="U85" s="237"/>
      <c r="V85" s="237"/>
      <c r="W85" s="237"/>
    </row>
    <row r="86" spans="1:23">
      <c r="A86" s="136" t="s">
        <v>385</v>
      </c>
      <c r="B86" s="135" t="s">
        <v>392</v>
      </c>
      <c r="C86" s="134" t="s">
        <v>398</v>
      </c>
      <c r="D86" s="135" t="s">
        <v>397</v>
      </c>
      <c r="E86" s="135">
        <v>600</v>
      </c>
      <c r="F86" s="135">
        <v>6</v>
      </c>
      <c r="G86" s="134">
        <v>6</v>
      </c>
      <c r="H86" s="135" t="s">
        <v>257</v>
      </c>
      <c r="I86" s="135" t="s">
        <v>257</v>
      </c>
      <c r="J86" s="136">
        <v>365</v>
      </c>
      <c r="K86" s="136" t="s">
        <v>463</v>
      </c>
      <c r="L86" s="136" t="s">
        <v>193</v>
      </c>
      <c r="M86" s="136">
        <v>16</v>
      </c>
      <c r="N86" s="136" t="s">
        <v>199</v>
      </c>
      <c r="O86" s="231" t="s">
        <v>463</v>
      </c>
      <c r="P86" s="231" t="s">
        <v>749</v>
      </c>
      <c r="Q86" s="237"/>
      <c r="R86" s="237"/>
      <c r="S86" s="237"/>
      <c r="T86" s="237"/>
      <c r="U86" s="237"/>
      <c r="V86" s="237"/>
      <c r="W86" s="237"/>
    </row>
    <row r="87" spans="1:23">
      <c r="A87" s="136">
        <v>403</v>
      </c>
      <c r="B87" s="135" t="s">
        <v>63</v>
      </c>
      <c r="C87" s="134" t="s">
        <v>280</v>
      </c>
      <c r="D87" s="136" t="s">
        <v>95</v>
      </c>
      <c r="E87" s="136">
        <v>15</v>
      </c>
      <c r="F87" s="136">
        <v>5</v>
      </c>
      <c r="G87" s="134">
        <v>5</v>
      </c>
      <c r="H87" s="135" t="s">
        <v>257</v>
      </c>
      <c r="I87" s="135" t="s">
        <v>257</v>
      </c>
      <c r="J87" s="136">
        <v>30</v>
      </c>
      <c r="K87" s="136" t="s">
        <v>685</v>
      </c>
      <c r="L87" s="136" t="s">
        <v>193</v>
      </c>
      <c r="M87" s="136">
        <v>43</v>
      </c>
      <c r="N87" s="136" t="s">
        <v>199</v>
      </c>
      <c r="O87" s="231" t="s">
        <v>1135</v>
      </c>
      <c r="P87" s="231" t="s">
        <v>749</v>
      </c>
      <c r="Q87" s="237"/>
      <c r="R87" s="237"/>
      <c r="S87" s="237"/>
      <c r="T87" s="237"/>
      <c r="U87" s="237"/>
      <c r="V87" s="237"/>
      <c r="W87" s="237"/>
    </row>
    <row r="88" spans="1:23">
      <c r="A88" s="136">
        <v>3941</v>
      </c>
      <c r="B88" s="135" t="s">
        <v>63</v>
      </c>
      <c r="C88" s="134" t="s">
        <v>280</v>
      </c>
      <c r="D88" s="135" t="s">
        <v>89</v>
      </c>
      <c r="E88" s="135">
        <v>5</v>
      </c>
      <c r="F88" s="136">
        <v>1</v>
      </c>
      <c r="G88" s="134">
        <v>1</v>
      </c>
      <c r="H88" s="135" t="s">
        <v>257</v>
      </c>
      <c r="I88" s="135" t="s">
        <v>257</v>
      </c>
      <c r="J88" s="136">
        <v>30</v>
      </c>
      <c r="K88" s="136" t="s">
        <v>685</v>
      </c>
      <c r="L88" s="136" t="s">
        <v>193</v>
      </c>
      <c r="M88" s="136">
        <v>44</v>
      </c>
      <c r="N88" s="136" t="s">
        <v>199</v>
      </c>
      <c r="O88" s="231" t="s">
        <v>1135</v>
      </c>
      <c r="P88" s="231" t="s">
        <v>749</v>
      </c>
      <c r="Q88" s="237"/>
      <c r="R88" s="237"/>
      <c r="S88" s="237"/>
      <c r="T88" s="237"/>
      <c r="U88" s="237"/>
      <c r="V88" s="237"/>
      <c r="W88" s="237"/>
    </row>
    <row r="89" spans="1:23">
      <c r="A89" s="136">
        <v>388</v>
      </c>
      <c r="B89" s="135" t="s">
        <v>62</v>
      </c>
      <c r="C89" s="134" t="s">
        <v>280</v>
      </c>
      <c r="D89" s="135" t="s">
        <v>84</v>
      </c>
      <c r="E89" s="135">
        <v>10</v>
      </c>
      <c r="F89" s="136">
        <v>10</v>
      </c>
      <c r="G89" s="134">
        <v>10</v>
      </c>
      <c r="H89" s="135" t="s">
        <v>257</v>
      </c>
      <c r="I89" s="135" t="s">
        <v>257</v>
      </c>
      <c r="J89" s="136">
        <v>30</v>
      </c>
      <c r="K89" s="136" t="s">
        <v>685</v>
      </c>
      <c r="L89" s="136" t="s">
        <v>193</v>
      </c>
      <c r="M89" s="136">
        <v>36</v>
      </c>
      <c r="N89" s="136" t="s">
        <v>199</v>
      </c>
      <c r="O89" s="231"/>
      <c r="P89" s="231" t="s">
        <v>749</v>
      </c>
      <c r="Q89" s="237"/>
      <c r="R89" s="237"/>
      <c r="S89" s="237"/>
      <c r="T89" s="237"/>
      <c r="U89" s="237"/>
      <c r="V89" s="237"/>
      <c r="W89" s="237"/>
    </row>
    <row r="90" spans="1:23">
      <c r="A90" s="136" t="s">
        <v>195</v>
      </c>
      <c r="B90" s="135" t="s">
        <v>62</v>
      </c>
      <c r="C90" s="134" t="s">
        <v>280</v>
      </c>
      <c r="D90" s="135" t="s">
        <v>196</v>
      </c>
      <c r="E90" s="135">
        <v>600</v>
      </c>
      <c r="F90" s="135">
        <v>30</v>
      </c>
      <c r="G90" s="134">
        <v>30</v>
      </c>
      <c r="H90" s="135" t="s">
        <v>257</v>
      </c>
      <c r="I90" s="135" t="s">
        <v>257</v>
      </c>
      <c r="J90" s="136">
        <v>30</v>
      </c>
      <c r="K90" s="136" t="s">
        <v>685</v>
      </c>
      <c r="L90" s="136" t="s">
        <v>193</v>
      </c>
      <c r="M90" s="136">
        <v>37</v>
      </c>
      <c r="N90" s="136" t="s">
        <v>199</v>
      </c>
      <c r="O90" s="231"/>
      <c r="P90" s="231" t="s">
        <v>749</v>
      </c>
      <c r="Q90" s="237"/>
      <c r="R90" s="237"/>
      <c r="S90" s="237"/>
      <c r="T90" s="237"/>
      <c r="U90" s="237"/>
      <c r="V90" s="237"/>
      <c r="W90" s="237"/>
    </row>
    <row r="91" spans="1:23">
      <c r="A91" s="136">
        <v>3</v>
      </c>
      <c r="B91" s="135" t="s">
        <v>187</v>
      </c>
      <c r="C91" s="134" t="s">
        <v>280</v>
      </c>
      <c r="D91" s="135" t="s">
        <v>169</v>
      </c>
      <c r="E91" s="135">
        <v>10</v>
      </c>
      <c r="F91" s="135" t="s">
        <v>170</v>
      </c>
      <c r="G91" s="134" t="s">
        <v>170</v>
      </c>
      <c r="H91" s="135" t="s">
        <v>257</v>
      </c>
      <c r="I91" s="135" t="s">
        <v>257</v>
      </c>
      <c r="J91" s="136">
        <v>8</v>
      </c>
      <c r="K91" s="136" t="s">
        <v>685</v>
      </c>
      <c r="L91" s="136" t="s">
        <v>193</v>
      </c>
      <c r="M91" s="136">
        <v>41</v>
      </c>
      <c r="N91" s="136" t="s">
        <v>199</v>
      </c>
      <c r="O91" s="231"/>
      <c r="P91" s="231" t="s">
        <v>749</v>
      </c>
      <c r="Q91" s="237"/>
      <c r="R91" s="237"/>
      <c r="S91" s="237"/>
      <c r="T91" s="237"/>
      <c r="U91" s="237"/>
      <c r="V91" s="237"/>
      <c r="W91" s="237"/>
    </row>
    <row r="92" spans="1:23">
      <c r="A92" s="136">
        <v>1</v>
      </c>
      <c r="B92" s="135" t="s">
        <v>184</v>
      </c>
      <c r="C92" s="134" t="s">
        <v>280</v>
      </c>
      <c r="D92" s="135" t="s">
        <v>91</v>
      </c>
      <c r="E92" s="135">
        <v>10</v>
      </c>
      <c r="F92" s="135" t="s">
        <v>92</v>
      </c>
      <c r="G92" s="134" t="s">
        <v>92</v>
      </c>
      <c r="H92" s="135" t="s">
        <v>257</v>
      </c>
      <c r="I92" s="135" t="s">
        <v>257</v>
      </c>
      <c r="J92" s="136">
        <v>5</v>
      </c>
      <c r="K92" s="136" t="s">
        <v>685</v>
      </c>
      <c r="L92" s="136" t="s">
        <v>193</v>
      </c>
      <c r="M92" s="136">
        <v>42</v>
      </c>
      <c r="N92" s="136" t="s">
        <v>199</v>
      </c>
      <c r="O92" s="231"/>
      <c r="P92" s="231"/>
      <c r="Q92" s="237"/>
      <c r="R92" s="237"/>
      <c r="S92" s="237"/>
      <c r="T92" s="237"/>
      <c r="U92" s="237"/>
      <c r="V92" s="237"/>
      <c r="W92" s="237"/>
    </row>
    <row r="93" spans="1:23">
      <c r="A93" s="136">
        <v>3794</v>
      </c>
      <c r="B93" s="187" t="s">
        <v>242</v>
      </c>
      <c r="C93" s="134" t="s">
        <v>280</v>
      </c>
      <c r="D93" s="135" t="s">
        <v>418</v>
      </c>
      <c r="E93" s="135">
        <v>40</v>
      </c>
      <c r="F93" s="135">
        <v>10</v>
      </c>
      <c r="G93" s="134">
        <v>10</v>
      </c>
      <c r="H93" s="135" t="s">
        <v>257</v>
      </c>
      <c r="I93" s="135" t="s">
        <v>257</v>
      </c>
      <c r="J93" s="136">
        <v>0.5</v>
      </c>
      <c r="K93" s="136" t="s">
        <v>689</v>
      </c>
      <c r="L93" s="136" t="s">
        <v>193</v>
      </c>
      <c r="M93" s="136">
        <v>12</v>
      </c>
      <c r="N93" s="136" t="s">
        <v>199</v>
      </c>
      <c r="O93" s="231" t="s">
        <v>693</v>
      </c>
      <c r="P93" s="231"/>
      <c r="Q93" s="237"/>
      <c r="R93" s="237"/>
      <c r="S93" s="237"/>
      <c r="T93" s="237"/>
      <c r="U93" s="237"/>
      <c r="V93" s="237"/>
      <c r="W93" s="237"/>
    </row>
    <row r="94" spans="1:23">
      <c r="A94" s="136">
        <v>561</v>
      </c>
      <c r="B94" s="134" t="s">
        <v>182</v>
      </c>
      <c r="C94" s="134" t="s">
        <v>280</v>
      </c>
      <c r="D94" s="134" t="s">
        <v>90</v>
      </c>
      <c r="E94" s="134">
        <v>8</v>
      </c>
      <c r="F94" s="134">
        <v>2</v>
      </c>
      <c r="G94" s="134">
        <v>2</v>
      </c>
      <c r="H94" s="135" t="s">
        <v>257</v>
      </c>
      <c r="I94" s="135" t="s">
        <v>257</v>
      </c>
      <c r="J94" s="136">
        <v>14</v>
      </c>
      <c r="K94" s="136" t="s">
        <v>688</v>
      </c>
      <c r="L94" s="136" t="s">
        <v>193</v>
      </c>
      <c r="M94" s="136">
        <v>13</v>
      </c>
      <c r="N94" s="136" t="s">
        <v>199</v>
      </c>
      <c r="O94" s="231"/>
      <c r="P94" s="231"/>
      <c r="Q94" s="237" t="s">
        <v>774</v>
      </c>
      <c r="R94" s="237" t="s">
        <v>779</v>
      </c>
      <c r="S94" s="237" t="s">
        <v>769</v>
      </c>
      <c r="T94" s="237"/>
      <c r="U94" s="237"/>
      <c r="V94" s="237"/>
      <c r="W94" s="237"/>
    </row>
    <row r="95" spans="1:23">
      <c r="A95" s="136">
        <v>432</v>
      </c>
      <c r="B95" s="134" t="s">
        <v>38</v>
      </c>
      <c r="C95" s="134" t="s">
        <v>280</v>
      </c>
      <c r="D95" s="134" t="s">
        <v>72</v>
      </c>
      <c r="E95" s="134">
        <v>1000</v>
      </c>
      <c r="F95" s="134">
        <v>100</v>
      </c>
      <c r="G95" s="134">
        <v>100</v>
      </c>
      <c r="H95" s="135" t="s">
        <v>257</v>
      </c>
      <c r="I95" s="135" t="s">
        <v>258</v>
      </c>
      <c r="J95" s="136">
        <v>3</v>
      </c>
      <c r="K95" s="136" t="s">
        <v>399</v>
      </c>
      <c r="L95" s="136" t="s">
        <v>197</v>
      </c>
      <c r="M95" s="136">
        <v>51</v>
      </c>
      <c r="N95" s="136" t="s">
        <v>198</v>
      </c>
      <c r="O95" s="231" t="s">
        <v>693</v>
      </c>
      <c r="P95" s="231"/>
      <c r="Q95" s="237"/>
      <c r="R95" s="237"/>
      <c r="S95" s="237"/>
      <c r="T95" s="237"/>
      <c r="U95" s="237"/>
      <c r="V95" s="237"/>
      <c r="W95" s="237"/>
    </row>
    <row r="96" spans="1:23">
      <c r="A96" s="136">
        <v>10</v>
      </c>
      <c r="B96" s="134" t="s">
        <v>603</v>
      </c>
      <c r="C96" s="134" t="s">
        <v>280</v>
      </c>
      <c r="D96" s="134" t="s">
        <v>602</v>
      </c>
      <c r="E96" s="134">
        <v>30</v>
      </c>
      <c r="F96" s="134">
        <v>3</v>
      </c>
      <c r="G96" s="134">
        <v>3</v>
      </c>
      <c r="H96" s="135" t="s">
        <v>257</v>
      </c>
      <c r="I96" s="135" t="s">
        <v>258</v>
      </c>
      <c r="J96" s="136">
        <v>2</v>
      </c>
      <c r="K96" s="136" t="s">
        <v>463</v>
      </c>
      <c r="L96" s="136" t="s">
        <v>197</v>
      </c>
      <c r="M96" s="136">
        <v>100</v>
      </c>
      <c r="N96" s="136" t="s">
        <v>199</v>
      </c>
      <c r="O96" s="231"/>
      <c r="P96" s="231"/>
      <c r="Q96" s="237"/>
      <c r="R96" s="237"/>
      <c r="S96" s="237"/>
      <c r="T96" s="237"/>
      <c r="U96" s="237"/>
      <c r="V96" s="237"/>
      <c r="W96" s="237"/>
    </row>
    <row r="97" spans="1:23">
      <c r="A97" s="136">
        <v>54</v>
      </c>
      <c r="B97" s="134" t="s">
        <v>325</v>
      </c>
      <c r="C97" s="134" t="s">
        <v>280</v>
      </c>
      <c r="D97" s="134" t="s">
        <v>66</v>
      </c>
      <c r="E97" s="134">
        <v>1000000</v>
      </c>
      <c r="F97" s="134">
        <v>200000</v>
      </c>
      <c r="G97" s="134">
        <v>200000</v>
      </c>
      <c r="H97" s="135" t="s">
        <v>257</v>
      </c>
      <c r="I97" s="135" t="s">
        <v>258</v>
      </c>
      <c r="J97" s="136">
        <v>3</v>
      </c>
      <c r="K97" s="136" t="s">
        <v>399</v>
      </c>
      <c r="L97" s="136" t="s">
        <v>197</v>
      </c>
      <c r="M97" s="136">
        <v>52</v>
      </c>
      <c r="N97" s="136" t="s">
        <v>198</v>
      </c>
      <c r="O97" s="231" t="s">
        <v>1135</v>
      </c>
      <c r="P97" s="231"/>
      <c r="Q97" s="237" t="s">
        <v>774</v>
      </c>
      <c r="R97" s="237" t="s">
        <v>765</v>
      </c>
      <c r="S97" s="237" t="s">
        <v>769</v>
      </c>
      <c r="T97" s="237"/>
      <c r="U97" s="237"/>
      <c r="V97" s="237"/>
      <c r="W97" s="237"/>
    </row>
    <row r="98" spans="1:23">
      <c r="A98" s="136">
        <v>55</v>
      </c>
      <c r="B98" s="134" t="s">
        <v>325</v>
      </c>
      <c r="C98" s="134" t="s">
        <v>280</v>
      </c>
      <c r="D98" s="134" t="s">
        <v>67</v>
      </c>
      <c r="E98" s="134">
        <v>5000000</v>
      </c>
      <c r="F98" s="134">
        <v>500000</v>
      </c>
      <c r="G98" s="134">
        <v>500000</v>
      </c>
      <c r="H98" s="135" t="s">
        <v>257</v>
      </c>
      <c r="I98" s="135" t="s">
        <v>258</v>
      </c>
      <c r="J98" s="136">
        <v>3</v>
      </c>
      <c r="K98" s="136" t="s">
        <v>399</v>
      </c>
      <c r="L98" s="136" t="s">
        <v>197</v>
      </c>
      <c r="M98" s="136">
        <v>53</v>
      </c>
      <c r="N98" s="136" t="s">
        <v>198</v>
      </c>
      <c r="O98" s="231" t="s">
        <v>1135</v>
      </c>
      <c r="P98" s="231"/>
      <c r="Q98" s="237"/>
      <c r="R98" s="237"/>
      <c r="S98" s="237"/>
      <c r="T98" s="237"/>
      <c r="U98" s="237"/>
      <c r="V98" s="237"/>
      <c r="W98" s="237"/>
    </row>
    <row r="99" spans="1:23">
      <c r="A99" s="136">
        <v>3914</v>
      </c>
      <c r="B99" s="134" t="s">
        <v>327</v>
      </c>
      <c r="C99" s="134" t="s">
        <v>280</v>
      </c>
      <c r="D99" s="134" t="s">
        <v>75</v>
      </c>
      <c r="E99" s="134">
        <v>4500</v>
      </c>
      <c r="F99" s="134">
        <v>200</v>
      </c>
      <c r="G99" s="134">
        <v>225</v>
      </c>
      <c r="H99" s="135" t="s">
        <v>257</v>
      </c>
      <c r="I99" s="135" t="s">
        <v>258</v>
      </c>
      <c r="J99" s="136">
        <v>7</v>
      </c>
      <c r="K99" s="136" t="s">
        <v>399</v>
      </c>
      <c r="L99" s="136" t="s">
        <v>197</v>
      </c>
      <c r="M99" s="136">
        <v>54</v>
      </c>
      <c r="N99" s="136" t="s">
        <v>198</v>
      </c>
      <c r="O99" s="231" t="s">
        <v>693</v>
      </c>
      <c r="P99" s="231"/>
      <c r="Q99" s="237" t="s">
        <v>779</v>
      </c>
      <c r="R99" s="237" t="s">
        <v>765</v>
      </c>
      <c r="S99" s="237" t="s">
        <v>769</v>
      </c>
      <c r="T99" s="237"/>
      <c r="U99" s="237" t="s">
        <v>770</v>
      </c>
      <c r="V99" s="237" t="s">
        <v>770</v>
      </c>
      <c r="W99" s="237"/>
    </row>
    <row r="100" spans="1:23" s="201" customFormat="1">
      <c r="A100" s="136" t="s">
        <v>578</v>
      </c>
      <c r="B100" s="135" t="s">
        <v>327</v>
      </c>
      <c r="C100" s="134" t="s">
        <v>280</v>
      </c>
      <c r="D100" s="135" t="s">
        <v>75</v>
      </c>
      <c r="E100" s="135">
        <v>4500</v>
      </c>
      <c r="F100" s="135">
        <v>200</v>
      </c>
      <c r="G100" s="134">
        <v>225</v>
      </c>
      <c r="H100" s="135" t="s">
        <v>257</v>
      </c>
      <c r="I100" s="135" t="s">
        <v>258</v>
      </c>
      <c r="J100" s="136">
        <v>7</v>
      </c>
      <c r="K100" s="136" t="s">
        <v>399</v>
      </c>
      <c r="L100" s="136" t="s">
        <v>197</v>
      </c>
      <c r="M100" s="136">
        <v>54</v>
      </c>
      <c r="N100" s="136" t="s">
        <v>198</v>
      </c>
      <c r="O100" s="231" t="s">
        <v>693</v>
      </c>
      <c r="P100" s="231"/>
      <c r="Q100" s="237"/>
      <c r="R100" s="237"/>
      <c r="S100" s="237" t="s">
        <v>792</v>
      </c>
      <c r="T100" s="237"/>
      <c r="U100" s="237"/>
      <c r="V100" s="237"/>
      <c r="W100" s="237"/>
    </row>
    <row r="101" spans="1:23" s="201" customFormat="1">
      <c r="A101" s="136" t="s">
        <v>598</v>
      </c>
      <c r="B101" s="135" t="s">
        <v>808</v>
      </c>
      <c r="C101" s="134" t="s">
        <v>280</v>
      </c>
      <c r="D101" s="135" t="s">
        <v>75</v>
      </c>
      <c r="E101" s="135">
        <v>4500</v>
      </c>
      <c r="F101" s="135">
        <v>200</v>
      </c>
      <c r="G101" s="134">
        <v>225</v>
      </c>
      <c r="H101" s="135" t="s">
        <v>257</v>
      </c>
      <c r="I101" s="135" t="s">
        <v>258</v>
      </c>
      <c r="J101" s="136">
        <v>7</v>
      </c>
      <c r="K101" s="136" t="s">
        <v>399</v>
      </c>
      <c r="L101" s="136" t="s">
        <v>197</v>
      </c>
      <c r="M101" s="136">
        <v>54</v>
      </c>
      <c r="N101" s="136" t="s">
        <v>198</v>
      </c>
      <c r="O101" s="231" t="s">
        <v>693</v>
      </c>
      <c r="P101" s="231"/>
      <c r="Q101" s="237"/>
      <c r="R101" s="237"/>
      <c r="S101" s="237" t="s">
        <v>792</v>
      </c>
      <c r="T101" s="237"/>
      <c r="U101" s="237"/>
      <c r="V101" s="237"/>
      <c r="W101" s="237"/>
    </row>
    <row r="102" spans="1:23" s="201" customFormat="1">
      <c r="A102" s="136">
        <v>425</v>
      </c>
      <c r="B102" s="135" t="s">
        <v>511</v>
      </c>
      <c r="C102" s="134" t="s">
        <v>280</v>
      </c>
      <c r="D102" s="135" t="s">
        <v>512</v>
      </c>
      <c r="E102" s="135">
        <v>500000</v>
      </c>
      <c r="F102" s="136">
        <v>50000</v>
      </c>
      <c r="G102" s="134">
        <v>50000</v>
      </c>
      <c r="H102" s="135" t="s">
        <v>257</v>
      </c>
      <c r="I102" s="135" t="s">
        <v>370</v>
      </c>
      <c r="J102" s="136">
        <v>3</v>
      </c>
      <c r="K102" s="136" t="s">
        <v>689</v>
      </c>
      <c r="L102" s="136" t="s">
        <v>193</v>
      </c>
      <c r="M102" s="136">
        <v>86</v>
      </c>
      <c r="N102" s="136" t="s">
        <v>198</v>
      </c>
      <c r="O102" s="231" t="s">
        <v>758</v>
      </c>
      <c r="P102" s="231"/>
      <c r="Q102" s="237"/>
      <c r="R102" s="237"/>
      <c r="S102" s="237"/>
      <c r="T102" s="237"/>
      <c r="U102" s="237"/>
      <c r="V102" s="237"/>
      <c r="W102" s="237"/>
    </row>
    <row r="103" spans="1:23" s="201" customFormat="1">
      <c r="A103" s="136">
        <v>140</v>
      </c>
      <c r="B103" s="135" t="s">
        <v>35</v>
      </c>
      <c r="C103" s="134" t="s">
        <v>280</v>
      </c>
      <c r="D103" s="136" t="s">
        <v>80</v>
      </c>
      <c r="E103" s="136">
        <v>50</v>
      </c>
      <c r="F103" s="136">
        <v>25</v>
      </c>
      <c r="G103" s="134">
        <v>25</v>
      </c>
      <c r="H103" s="135" t="s">
        <v>257</v>
      </c>
      <c r="I103" s="135" t="s">
        <v>257</v>
      </c>
      <c r="J103" s="136">
        <v>7</v>
      </c>
      <c r="K103" s="136" t="s">
        <v>688</v>
      </c>
      <c r="L103" s="136" t="s">
        <v>193</v>
      </c>
      <c r="M103" s="136">
        <v>8</v>
      </c>
      <c r="N103" s="136" t="s">
        <v>199</v>
      </c>
      <c r="O103" s="231" t="s">
        <v>704</v>
      </c>
      <c r="P103" s="231"/>
      <c r="Q103" s="237"/>
      <c r="R103" s="237"/>
      <c r="S103" s="237"/>
      <c r="T103" s="237"/>
      <c r="U103" s="237"/>
      <c r="V103" s="237"/>
      <c r="W103" s="237"/>
    </row>
    <row r="104" spans="1:23" s="201" customFormat="1">
      <c r="A104" s="136" t="s">
        <v>278</v>
      </c>
      <c r="B104" s="135" t="s">
        <v>35</v>
      </c>
      <c r="C104" s="134" t="s">
        <v>281</v>
      </c>
      <c r="D104" s="135" t="s">
        <v>367</v>
      </c>
      <c r="E104" s="135">
        <v>50</v>
      </c>
      <c r="F104" s="135">
        <v>25</v>
      </c>
      <c r="G104" s="134">
        <v>25</v>
      </c>
      <c r="H104" s="135" t="s">
        <v>145</v>
      </c>
      <c r="I104" s="135" t="s">
        <v>145</v>
      </c>
      <c r="J104" s="136" t="s">
        <v>151</v>
      </c>
      <c r="K104" s="136" t="s">
        <v>688</v>
      </c>
      <c r="L104" s="136" t="s">
        <v>193</v>
      </c>
      <c r="M104" s="136">
        <v>9</v>
      </c>
      <c r="N104" s="136" t="s">
        <v>199</v>
      </c>
      <c r="O104" s="231" t="s">
        <v>704</v>
      </c>
      <c r="P104" s="231"/>
      <c r="Q104" s="237"/>
      <c r="R104" s="237"/>
      <c r="S104" s="237"/>
      <c r="T104" s="237"/>
      <c r="U104" s="237"/>
      <c r="V104" s="237"/>
      <c r="W104" s="237"/>
    </row>
    <row r="105" spans="1:23" s="201" customFormat="1">
      <c r="A105" s="136">
        <v>482</v>
      </c>
      <c r="B105" s="135" t="s">
        <v>186</v>
      </c>
      <c r="C105" s="134" t="s">
        <v>280</v>
      </c>
      <c r="D105" s="135" t="s">
        <v>244</v>
      </c>
      <c r="E105" s="135">
        <v>20</v>
      </c>
      <c r="F105" s="135">
        <v>20</v>
      </c>
      <c r="G105" s="134">
        <v>20</v>
      </c>
      <c r="H105" s="135" t="s">
        <v>257</v>
      </c>
      <c r="I105" s="135" t="s">
        <v>257</v>
      </c>
      <c r="J105" s="136">
        <v>2</v>
      </c>
      <c r="K105" s="136" t="s">
        <v>687</v>
      </c>
      <c r="L105" s="136" t="s">
        <v>197</v>
      </c>
      <c r="M105" s="136">
        <v>1</v>
      </c>
      <c r="N105" s="136" t="s">
        <v>199</v>
      </c>
      <c r="O105" s="231" t="s">
        <v>693</v>
      </c>
      <c r="P105" s="231"/>
      <c r="Q105" s="237"/>
      <c r="R105" s="237"/>
      <c r="S105" s="237"/>
      <c r="T105" s="237"/>
      <c r="U105" s="237"/>
      <c r="V105" s="237"/>
      <c r="W105" s="237"/>
    </row>
    <row r="106" spans="1:23" s="201" customFormat="1">
      <c r="A106" s="136">
        <v>5</v>
      </c>
      <c r="B106" s="135" t="s">
        <v>369</v>
      </c>
      <c r="C106" s="134" t="s">
        <v>281</v>
      </c>
      <c r="D106" s="135" t="s">
        <v>368</v>
      </c>
      <c r="E106" s="134">
        <v>5</v>
      </c>
      <c r="F106" s="135">
        <v>1</v>
      </c>
      <c r="G106" s="134">
        <v>1</v>
      </c>
      <c r="H106" s="135" t="s">
        <v>145</v>
      </c>
      <c r="I106" s="135" t="s">
        <v>145</v>
      </c>
      <c r="J106" s="136" t="s">
        <v>151</v>
      </c>
      <c r="K106" s="136" t="s">
        <v>687</v>
      </c>
      <c r="L106" s="136" t="s">
        <v>197</v>
      </c>
      <c r="M106" s="136">
        <v>90</v>
      </c>
      <c r="N106" s="136" t="s">
        <v>199</v>
      </c>
      <c r="O106" s="231"/>
      <c r="P106" s="231"/>
      <c r="Q106" s="237"/>
      <c r="R106" s="237"/>
      <c r="S106" s="237"/>
      <c r="T106" s="237"/>
      <c r="U106" s="237"/>
      <c r="V106" s="237"/>
      <c r="W106" s="237"/>
    </row>
    <row r="107" spans="1:23" s="201" customFormat="1">
      <c r="A107" s="136" t="s">
        <v>598</v>
      </c>
      <c r="B107" s="137" t="s">
        <v>579</v>
      </c>
      <c r="C107" s="134" t="s">
        <v>280</v>
      </c>
      <c r="D107" s="137" t="s">
        <v>75</v>
      </c>
      <c r="E107" s="137">
        <v>4500</v>
      </c>
      <c r="F107" s="135">
        <v>200</v>
      </c>
      <c r="G107" s="134">
        <v>225</v>
      </c>
      <c r="H107" s="135" t="s">
        <v>257</v>
      </c>
      <c r="I107" s="135" t="s">
        <v>258</v>
      </c>
      <c r="J107" s="136">
        <v>7</v>
      </c>
      <c r="K107" s="136" t="s">
        <v>399</v>
      </c>
      <c r="L107" s="136" t="s">
        <v>197</v>
      </c>
      <c r="M107" s="136">
        <v>54</v>
      </c>
      <c r="N107" s="136" t="s">
        <v>198</v>
      </c>
      <c r="O107" s="231" t="s">
        <v>693</v>
      </c>
      <c r="P107" s="231"/>
      <c r="Q107" s="237"/>
      <c r="R107" s="237"/>
      <c r="S107" s="237"/>
      <c r="T107" s="237"/>
      <c r="U107" s="237"/>
      <c r="V107" s="237"/>
      <c r="W107" s="237"/>
    </row>
    <row r="108" spans="1:23" s="201" customFormat="1">
      <c r="A108" s="136" t="s">
        <v>799</v>
      </c>
      <c r="B108" s="134" t="s">
        <v>579</v>
      </c>
      <c r="C108" s="134" t="s">
        <v>280</v>
      </c>
      <c r="D108" s="134" t="s">
        <v>75</v>
      </c>
      <c r="E108" s="134">
        <v>4500</v>
      </c>
      <c r="F108" s="134">
        <v>200</v>
      </c>
      <c r="G108" s="134">
        <v>225</v>
      </c>
      <c r="H108" s="135" t="s">
        <v>257</v>
      </c>
      <c r="I108" s="135" t="s">
        <v>258</v>
      </c>
      <c r="J108" s="136">
        <v>7</v>
      </c>
      <c r="K108" s="136" t="s">
        <v>399</v>
      </c>
      <c r="L108" s="136" t="s">
        <v>197</v>
      </c>
      <c r="M108" s="136" t="s">
        <v>800</v>
      </c>
      <c r="N108" s="136" t="s">
        <v>198</v>
      </c>
      <c r="O108" s="231" t="s">
        <v>693</v>
      </c>
      <c r="P108" s="231"/>
      <c r="Q108" s="237"/>
      <c r="R108" s="237"/>
      <c r="S108" s="237"/>
      <c r="T108" s="237"/>
      <c r="U108" s="237"/>
      <c r="V108" s="237"/>
      <c r="W108" s="237"/>
    </row>
    <row r="109" spans="1:23" s="201" customFormat="1">
      <c r="A109" s="136">
        <v>14202</v>
      </c>
      <c r="B109" s="135" t="s">
        <v>58</v>
      </c>
      <c r="C109" s="134" t="s">
        <v>280</v>
      </c>
      <c r="D109" s="134" t="s">
        <v>88</v>
      </c>
      <c r="E109" s="134">
        <v>50</v>
      </c>
      <c r="F109" s="134">
        <v>10</v>
      </c>
      <c r="G109" s="134">
        <v>10</v>
      </c>
      <c r="H109" s="135" t="s">
        <v>257</v>
      </c>
      <c r="I109" s="135" t="s">
        <v>258</v>
      </c>
      <c r="J109" s="136">
        <v>2</v>
      </c>
      <c r="K109" s="136" t="s">
        <v>399</v>
      </c>
      <c r="L109" s="136" t="s">
        <v>197</v>
      </c>
      <c r="M109" s="136">
        <v>83</v>
      </c>
      <c r="N109" s="136" t="s">
        <v>198</v>
      </c>
      <c r="O109" s="231" t="s">
        <v>697</v>
      </c>
      <c r="P109" s="231"/>
      <c r="Q109" s="237"/>
      <c r="R109" s="237"/>
      <c r="S109" s="237"/>
      <c r="T109" s="237"/>
      <c r="U109" s="237"/>
      <c r="V109" s="237"/>
      <c r="W109" s="237"/>
    </row>
    <row r="110" spans="1:23" s="201" customFormat="1">
      <c r="A110" s="136">
        <v>389</v>
      </c>
      <c r="B110" s="135" t="s">
        <v>61</v>
      </c>
      <c r="C110" s="134" t="s">
        <v>280</v>
      </c>
      <c r="D110" s="134" t="s">
        <v>80</v>
      </c>
      <c r="E110" s="134">
        <v>50</v>
      </c>
      <c r="F110" s="134">
        <v>50</v>
      </c>
      <c r="G110" s="134">
        <v>50</v>
      </c>
      <c r="H110" s="135" t="s">
        <v>257</v>
      </c>
      <c r="I110" s="135" t="s">
        <v>257</v>
      </c>
      <c r="J110" s="136">
        <v>7</v>
      </c>
      <c r="K110" s="136" t="s">
        <v>687</v>
      </c>
      <c r="L110" s="136" t="s">
        <v>197</v>
      </c>
      <c r="M110" s="136">
        <v>34</v>
      </c>
      <c r="N110" s="136" t="s">
        <v>199</v>
      </c>
      <c r="O110" s="231" t="s">
        <v>700</v>
      </c>
      <c r="P110" s="231"/>
      <c r="Q110" s="237"/>
      <c r="R110" s="237"/>
      <c r="S110" s="237"/>
      <c r="T110" s="237"/>
      <c r="U110" s="237"/>
      <c r="V110" s="237"/>
      <c r="W110" s="237"/>
    </row>
    <row r="111" spans="1:23" s="201" customFormat="1">
      <c r="A111" s="136">
        <v>587</v>
      </c>
      <c r="B111" s="135" t="s">
        <v>189</v>
      </c>
      <c r="C111" s="134" t="s">
        <v>280</v>
      </c>
      <c r="D111" s="135" t="s">
        <v>79</v>
      </c>
      <c r="E111" s="135">
        <v>80</v>
      </c>
      <c r="F111" s="135">
        <v>16</v>
      </c>
      <c r="G111" s="134">
        <v>96</v>
      </c>
      <c r="H111" s="135" t="s">
        <v>257</v>
      </c>
      <c r="I111" s="135" t="s">
        <v>258</v>
      </c>
      <c r="J111" s="136">
        <v>2</v>
      </c>
      <c r="K111" s="136" t="s">
        <v>685</v>
      </c>
      <c r="L111" s="136" t="s">
        <v>193</v>
      </c>
      <c r="M111" s="136">
        <v>73</v>
      </c>
      <c r="N111" s="136" t="s">
        <v>198</v>
      </c>
      <c r="O111" s="231" t="s">
        <v>697</v>
      </c>
      <c r="P111" s="231"/>
      <c r="Q111" s="237"/>
      <c r="R111" s="237"/>
      <c r="S111" s="237"/>
      <c r="T111" s="237"/>
      <c r="U111" s="237"/>
      <c r="V111" s="237"/>
      <c r="W111" s="237"/>
    </row>
    <row r="112" spans="1:23" s="201" customFormat="1">
      <c r="A112" s="136" t="s">
        <v>584</v>
      </c>
      <c r="B112" s="134" t="s">
        <v>583</v>
      </c>
      <c r="C112" s="134" t="s">
        <v>280</v>
      </c>
      <c r="D112" s="134" t="s">
        <v>324</v>
      </c>
      <c r="E112" s="134">
        <v>1500</v>
      </c>
      <c r="F112" s="134">
        <v>250</v>
      </c>
      <c r="G112" s="134">
        <v>375</v>
      </c>
      <c r="H112" s="135" t="s">
        <v>257</v>
      </c>
      <c r="I112" s="135" t="s">
        <v>258</v>
      </c>
      <c r="J112" s="136">
        <v>3</v>
      </c>
      <c r="K112" s="136" t="s">
        <v>399</v>
      </c>
      <c r="L112" s="136" t="s">
        <v>197</v>
      </c>
      <c r="M112" s="136">
        <v>55</v>
      </c>
      <c r="N112" s="136" t="s">
        <v>198</v>
      </c>
      <c r="O112" s="231" t="s">
        <v>1135</v>
      </c>
      <c r="P112" s="231"/>
      <c r="Q112" s="237"/>
      <c r="R112" s="237"/>
      <c r="S112" s="237"/>
      <c r="T112" s="237"/>
      <c r="U112" s="237"/>
      <c r="V112" s="237"/>
      <c r="W112" s="237"/>
    </row>
    <row r="113" spans="1:23" s="201" customFormat="1">
      <c r="A113" s="136" t="s">
        <v>585</v>
      </c>
      <c r="B113" s="134" t="s">
        <v>583</v>
      </c>
      <c r="C113" s="134" t="s">
        <v>280</v>
      </c>
      <c r="D113" s="134" t="s">
        <v>324</v>
      </c>
      <c r="E113" s="134">
        <v>1500</v>
      </c>
      <c r="F113" s="134">
        <v>20</v>
      </c>
      <c r="G113" s="134">
        <v>30</v>
      </c>
      <c r="H113" s="135" t="s">
        <v>257</v>
      </c>
      <c r="I113" s="135" t="s">
        <v>257</v>
      </c>
      <c r="J113" s="136">
        <v>3</v>
      </c>
      <c r="K113" s="136" t="s">
        <v>399</v>
      </c>
      <c r="L113" s="136" t="s">
        <v>197</v>
      </c>
      <c r="M113" s="136">
        <v>55</v>
      </c>
      <c r="N113" s="136" t="s">
        <v>198</v>
      </c>
      <c r="O113" s="231" t="s">
        <v>1135</v>
      </c>
      <c r="P113" s="234"/>
      <c r="Q113" s="237"/>
      <c r="R113" s="237"/>
      <c r="S113" s="237"/>
      <c r="T113" s="237"/>
      <c r="U113" s="237"/>
      <c r="V113" s="237"/>
      <c r="W113" s="237"/>
    </row>
    <row r="114" spans="1:23">
      <c r="A114" s="134">
        <v>5670</v>
      </c>
      <c r="B114" s="134" t="s">
        <v>413</v>
      </c>
      <c r="C114" s="134" t="s">
        <v>280</v>
      </c>
      <c r="D114" s="134" t="s">
        <v>396</v>
      </c>
      <c r="E114" s="134">
        <v>500</v>
      </c>
      <c r="F114" s="134">
        <v>100</v>
      </c>
      <c r="G114" s="134">
        <v>100</v>
      </c>
      <c r="H114" s="135" t="s">
        <v>257</v>
      </c>
      <c r="I114" s="135" t="s">
        <v>257</v>
      </c>
      <c r="J114" s="136">
        <v>1</v>
      </c>
      <c r="K114" s="136" t="s">
        <v>687</v>
      </c>
      <c r="L114" s="136" t="s">
        <v>197</v>
      </c>
      <c r="M114" s="136">
        <v>24</v>
      </c>
      <c r="N114" s="136" t="s">
        <v>199</v>
      </c>
      <c r="O114" s="234"/>
      <c r="P114" s="231"/>
      <c r="Q114" s="237">
        <v>4</v>
      </c>
      <c r="R114" s="237"/>
      <c r="S114" s="237" t="s">
        <v>783</v>
      </c>
      <c r="T114" s="237" t="s">
        <v>793</v>
      </c>
      <c r="U114" s="237" t="s">
        <v>770</v>
      </c>
      <c r="V114" s="237" t="s">
        <v>770</v>
      </c>
      <c r="W114" s="237" t="s">
        <v>770</v>
      </c>
    </row>
    <row r="115" spans="1:23">
      <c r="A115" s="134">
        <v>612</v>
      </c>
      <c r="B115" s="134" t="s">
        <v>30</v>
      </c>
      <c r="C115" s="134" t="s">
        <v>280</v>
      </c>
      <c r="D115" s="134" t="s">
        <v>74</v>
      </c>
      <c r="E115" s="134">
        <v>500</v>
      </c>
      <c r="F115" s="134">
        <v>50</v>
      </c>
      <c r="G115" s="134">
        <v>50</v>
      </c>
      <c r="H115" s="135" t="s">
        <v>257</v>
      </c>
      <c r="I115" s="135" t="s">
        <v>260</v>
      </c>
      <c r="J115" s="136">
        <v>7</v>
      </c>
      <c r="K115" s="136" t="s">
        <v>399</v>
      </c>
      <c r="L115" s="136" t="s">
        <v>197</v>
      </c>
      <c r="M115" s="136">
        <v>77</v>
      </c>
      <c r="N115" s="136" t="s">
        <v>198</v>
      </c>
      <c r="O115" s="234" t="s">
        <v>693</v>
      </c>
      <c r="P115" s="231"/>
      <c r="Q115" s="237"/>
      <c r="R115" s="237"/>
      <c r="S115" s="237"/>
      <c r="T115" s="237"/>
      <c r="U115" s="237"/>
      <c r="V115" s="237"/>
      <c r="W115" s="237"/>
    </row>
    <row r="116" spans="1:23">
      <c r="A116" s="136" t="s">
        <v>597</v>
      </c>
      <c r="B116" s="135" t="s">
        <v>30</v>
      </c>
      <c r="C116" s="134" t="s">
        <v>280</v>
      </c>
      <c r="D116" s="135" t="s">
        <v>74</v>
      </c>
      <c r="E116" s="135">
        <v>500</v>
      </c>
      <c r="F116" s="135">
        <v>50</v>
      </c>
      <c r="G116" s="134">
        <v>50</v>
      </c>
      <c r="H116" s="135" t="s">
        <v>257</v>
      </c>
      <c r="I116" s="135" t="s">
        <v>260</v>
      </c>
      <c r="J116" s="136">
        <v>7</v>
      </c>
      <c r="K116" s="136" t="s">
        <v>399</v>
      </c>
      <c r="L116" s="136" t="s">
        <v>197</v>
      </c>
      <c r="M116" s="136">
        <v>77</v>
      </c>
      <c r="N116" s="136" t="s">
        <v>198</v>
      </c>
      <c r="O116" s="231" t="s">
        <v>693</v>
      </c>
      <c r="P116" s="231"/>
      <c r="Q116" s="237"/>
      <c r="R116" s="237"/>
      <c r="S116" s="237"/>
      <c r="T116" s="237"/>
      <c r="U116" s="237"/>
      <c r="V116" s="237"/>
      <c r="W116" s="237"/>
    </row>
    <row r="117" spans="1:23">
      <c r="A117" s="136" t="s">
        <v>809</v>
      </c>
      <c r="B117" s="135" t="s">
        <v>810</v>
      </c>
      <c r="C117" s="134" t="s">
        <v>280</v>
      </c>
      <c r="D117" s="135" t="s">
        <v>74</v>
      </c>
      <c r="E117" s="135">
        <v>500</v>
      </c>
      <c r="F117" s="135">
        <v>50</v>
      </c>
      <c r="G117" s="134">
        <v>50</v>
      </c>
      <c r="H117" s="135" t="s">
        <v>257</v>
      </c>
      <c r="I117" s="135" t="s">
        <v>260</v>
      </c>
      <c r="J117" s="136">
        <v>7</v>
      </c>
      <c r="K117" s="136" t="s">
        <v>399</v>
      </c>
      <c r="L117" s="136" t="s">
        <v>197</v>
      </c>
      <c r="M117" s="136">
        <v>77</v>
      </c>
      <c r="N117" s="136" t="s">
        <v>198</v>
      </c>
      <c r="O117" s="231" t="s">
        <v>693</v>
      </c>
      <c r="P117" s="236"/>
      <c r="Q117" s="237"/>
      <c r="R117" s="237"/>
      <c r="S117" s="237"/>
      <c r="T117" s="237"/>
      <c r="U117" s="237"/>
      <c r="V117" s="237"/>
      <c r="W117" s="237"/>
    </row>
    <row r="118" spans="1:23">
      <c r="A118" s="136">
        <v>4749</v>
      </c>
      <c r="B118" s="135" t="s">
        <v>395</v>
      </c>
      <c r="C118" s="134" t="s">
        <v>280</v>
      </c>
      <c r="D118" s="135" t="s">
        <v>396</v>
      </c>
      <c r="E118" s="135">
        <v>500</v>
      </c>
      <c r="F118" s="135">
        <v>100</v>
      </c>
      <c r="G118" s="134">
        <v>100</v>
      </c>
      <c r="H118" s="135" t="s">
        <v>257</v>
      </c>
      <c r="I118" s="135" t="s">
        <v>257</v>
      </c>
      <c r="J118" s="136">
        <v>1</v>
      </c>
      <c r="K118" s="136" t="s">
        <v>689</v>
      </c>
      <c r="L118" s="136" t="s">
        <v>193</v>
      </c>
      <c r="M118" s="136">
        <v>4</v>
      </c>
      <c r="N118" s="136" t="s">
        <v>199</v>
      </c>
      <c r="O118" s="231"/>
      <c r="P118" s="236"/>
      <c r="Q118" s="237"/>
      <c r="R118" s="237"/>
      <c r="S118" s="237"/>
      <c r="T118" s="237"/>
      <c r="U118" s="237"/>
      <c r="V118" s="237"/>
      <c r="W118" s="237"/>
    </row>
    <row r="119" spans="1:23">
      <c r="A119" s="229">
        <v>496</v>
      </c>
      <c r="B119" s="229" t="s">
        <v>183</v>
      </c>
      <c r="C119" s="229" t="s">
        <v>280</v>
      </c>
      <c r="D119" s="229" t="s">
        <v>93</v>
      </c>
      <c r="E119" s="229">
        <v>10</v>
      </c>
      <c r="F119" s="229">
        <v>2</v>
      </c>
      <c r="G119" s="229">
        <v>10</v>
      </c>
      <c r="H119" s="229" t="s">
        <v>257</v>
      </c>
      <c r="I119" s="229" t="s">
        <v>257</v>
      </c>
      <c r="J119" s="229">
        <v>2</v>
      </c>
      <c r="K119" s="136" t="s">
        <v>685</v>
      </c>
      <c r="L119" s="229" t="s">
        <v>193</v>
      </c>
      <c r="M119" s="229">
        <v>5</v>
      </c>
      <c r="N119" s="229" t="s">
        <v>199</v>
      </c>
      <c r="O119" s="236" t="s">
        <v>700</v>
      </c>
      <c r="P119" s="231"/>
      <c r="Q119" s="237"/>
      <c r="R119" s="237"/>
      <c r="S119" s="237"/>
      <c r="T119" s="237"/>
      <c r="U119" s="237"/>
      <c r="V119" s="237"/>
      <c r="W119" s="237"/>
    </row>
    <row r="120" spans="1:23">
      <c r="A120" s="136" t="s">
        <v>818</v>
      </c>
      <c r="B120" s="135" t="s">
        <v>183</v>
      </c>
      <c r="C120" s="229" t="s">
        <v>280</v>
      </c>
      <c r="D120" s="135" t="s">
        <v>819</v>
      </c>
      <c r="E120" s="135">
        <v>10</v>
      </c>
      <c r="F120" s="135">
        <v>2</v>
      </c>
      <c r="G120" s="134">
        <v>10</v>
      </c>
      <c r="H120" s="135" t="s">
        <v>257</v>
      </c>
      <c r="I120" s="135" t="s">
        <v>257</v>
      </c>
      <c r="J120" s="136">
        <v>2</v>
      </c>
      <c r="K120" s="136" t="s">
        <v>685</v>
      </c>
      <c r="L120" s="136" t="s">
        <v>193</v>
      </c>
      <c r="M120" s="136">
        <v>5</v>
      </c>
      <c r="N120" s="136" t="s">
        <v>199</v>
      </c>
      <c r="O120" s="231" t="s">
        <v>700</v>
      </c>
    </row>
    <row r="121" spans="1:23">
      <c r="A121" s="136">
        <v>6094</v>
      </c>
      <c r="B121" s="134" t="s">
        <v>414</v>
      </c>
      <c r="C121" s="134" t="s">
        <v>280</v>
      </c>
      <c r="D121" s="134" t="s">
        <v>419</v>
      </c>
      <c r="E121" s="134">
        <v>200</v>
      </c>
      <c r="F121" s="134">
        <v>20</v>
      </c>
      <c r="G121" s="134">
        <v>20</v>
      </c>
      <c r="H121" s="135" t="s">
        <v>257</v>
      </c>
      <c r="I121" s="135" t="s">
        <v>257</v>
      </c>
      <c r="J121" s="136">
        <v>1</v>
      </c>
      <c r="K121" s="136" t="s">
        <v>687</v>
      </c>
      <c r="L121" s="136" t="s">
        <v>197</v>
      </c>
      <c r="M121" s="136">
        <v>50</v>
      </c>
      <c r="N121" s="136" t="s">
        <v>198</v>
      </c>
      <c r="O121" s="231" t="s">
        <v>697</v>
      </c>
      <c r="P121" s="231"/>
      <c r="Q121" s="237"/>
      <c r="R121" s="237"/>
      <c r="S121" s="237"/>
      <c r="T121" s="237"/>
      <c r="U121" s="237"/>
      <c r="V121" s="237"/>
      <c r="W121" s="237"/>
    </row>
    <row r="122" spans="1:23">
      <c r="A122" s="136">
        <v>6094</v>
      </c>
      <c r="B122" s="135" t="s">
        <v>414</v>
      </c>
      <c r="C122" s="134" t="s">
        <v>280</v>
      </c>
      <c r="D122" s="135" t="s">
        <v>419</v>
      </c>
      <c r="E122" s="135">
        <v>200</v>
      </c>
      <c r="F122" s="135">
        <v>20</v>
      </c>
      <c r="G122" s="134">
        <v>20</v>
      </c>
      <c r="H122" s="135" t="s">
        <v>257</v>
      </c>
      <c r="I122" s="135" t="s">
        <v>257</v>
      </c>
      <c r="J122" s="136">
        <v>1</v>
      </c>
      <c r="K122" s="136" t="s">
        <v>687</v>
      </c>
      <c r="L122" s="136" t="s">
        <v>197</v>
      </c>
      <c r="M122" s="136">
        <v>50</v>
      </c>
      <c r="N122" s="136" t="s">
        <v>198</v>
      </c>
      <c r="O122" s="231" t="s">
        <v>697</v>
      </c>
      <c r="P122" s="231"/>
      <c r="Q122" s="237"/>
      <c r="R122" s="237"/>
      <c r="S122" s="237"/>
      <c r="T122" s="237"/>
      <c r="U122" s="237"/>
      <c r="V122" s="237"/>
      <c r="W122" s="237"/>
    </row>
  </sheetData>
  <protectedRanges>
    <protectedRange sqref="B83 D83:E83" name="Rango1"/>
    <protectedRange sqref="B84 D84:E84" name="Rango1_1"/>
  </protectedRanges>
  <autoFilter ref="A1:X120" xr:uid="{00000000-0009-0000-0000-000003000000}"/>
  <phoneticPr fontId="0" type="noConversion"/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rgb="FFFFFF00"/>
  </sheetPr>
  <dimension ref="A1:W75"/>
  <sheetViews>
    <sheetView tabSelected="1" zoomScale="80" zoomScaleNormal="80" zoomScaleSheetLayoutView="100" workbookViewId="0">
      <selection activeCell="H2" sqref="H2"/>
    </sheetView>
  </sheetViews>
  <sheetFormatPr defaultColWidth="0" defaultRowHeight="12.75" zeroHeight="1"/>
  <cols>
    <col min="1" max="1" width="19.28515625" style="284" customWidth="1"/>
    <col min="2" max="2" width="30.42578125" style="284" customWidth="1"/>
    <col min="3" max="3" width="16.85546875" style="301" customWidth="1"/>
    <col min="4" max="4" width="8.5703125" style="284" customWidth="1"/>
    <col min="5" max="5" width="12.42578125" style="284" customWidth="1"/>
    <col min="6" max="6" width="14.42578125" style="302" customWidth="1"/>
    <col min="7" max="7" width="8" style="284" customWidth="1"/>
    <col min="8" max="8" width="29.7109375" style="284" customWidth="1"/>
    <col min="9" max="9" width="5.85546875" style="284" customWidth="1"/>
    <col min="10" max="10" width="10.5703125" style="284" bestFit="1" customWidth="1"/>
    <col min="11" max="11" width="15.140625" style="284" customWidth="1"/>
    <col min="12" max="12" width="8.85546875" style="284" bestFit="1" customWidth="1"/>
    <col min="13" max="13" width="6.7109375" style="285" bestFit="1" customWidth="1"/>
    <col min="14" max="14" width="12.85546875" style="284" customWidth="1"/>
    <col min="15" max="16" width="5.42578125" style="284" customWidth="1"/>
    <col min="17" max="17" width="9.85546875" style="283" bestFit="1" customWidth="1"/>
    <col min="18" max="18" width="15.85546875" style="284" bestFit="1" customWidth="1"/>
    <col min="19" max="19" width="12.5703125" style="284" customWidth="1"/>
    <col min="20" max="20" width="5.5703125" style="284" customWidth="1"/>
    <col min="21" max="21" width="12.28515625" style="284" bestFit="1" customWidth="1"/>
    <col min="22" max="22" width="10" style="284" bestFit="1" customWidth="1"/>
    <col min="23" max="23" width="9.85546875" style="284" customWidth="1"/>
    <col min="24" max="16384" width="9.85546875" style="284" hidden="1"/>
  </cols>
  <sheetData>
    <row r="1" spans="1:23" ht="29.25" customHeight="1" thickBot="1">
      <c r="A1" s="650" t="s">
        <v>910</v>
      </c>
      <c r="B1" s="651"/>
      <c r="C1" s="574" t="s">
        <v>999</v>
      </c>
      <c r="F1" s="656" t="s">
        <v>487</v>
      </c>
      <c r="G1" s="657"/>
      <c r="H1" s="657"/>
      <c r="I1" s="657"/>
      <c r="J1" s="658"/>
      <c r="N1" s="661"/>
      <c r="O1" s="661"/>
      <c r="R1" s="661"/>
    </row>
    <row r="2" spans="1:23" s="283" customFormat="1" ht="29.25" customHeight="1" thickBot="1">
      <c r="A2" s="431" t="s">
        <v>464</v>
      </c>
      <c r="B2" s="457" t="str">
        <f>IFERROR(VLOOKUP(A1,LOTES!M:N,2,FALSE),"._.")</f>
        <v>C.JPC/SEXTO NTE/SCOOP</v>
      </c>
      <c r="C2" s="379" t="s">
        <v>435</v>
      </c>
      <c r="F2" s="659"/>
      <c r="G2" s="660"/>
      <c r="H2" s="433"/>
      <c r="I2" s="659"/>
      <c r="J2" s="660"/>
      <c r="N2" s="661"/>
      <c r="O2" s="661"/>
      <c r="R2" s="661"/>
    </row>
    <row r="3" spans="1:23" s="283" customFormat="1" ht="29.25" customHeight="1" thickBot="1">
      <c r="A3" s="431" t="s">
        <v>861</v>
      </c>
      <c r="B3" s="458" t="str">
        <f ca="1">TEXT(HOUR(NOW())&amp;":"&amp;ABS(MINUTE(NOW())-RANDBETWEEN(2,10))&amp;":"&amp;SECOND(NOW()),"HH:MM:SS")</f>
        <v>12:03:43</v>
      </c>
      <c r="C3" s="573" t="s">
        <v>837</v>
      </c>
      <c r="N3" s="283" t="str">
        <f ca="1">VLOOKUP('FORMATO DIL'!$B$2,LOTES!$N:$U,8,FALSE)</f>
        <v>Z:\PRODUCCION ESTERILES\IV SCOOP JPC-MATERNO-VERAGUAS-CPOLICARPA SCOOP\2022\08 AGOSTO\040822\JPC\PEDIATRIA\</v>
      </c>
    </row>
    <row r="4" spans="1:23" s="283" customFormat="1" ht="29.25" customHeight="1" thickBot="1">
      <c r="A4" s="431" t="s">
        <v>290</v>
      </c>
      <c r="B4" s="459" t="s">
        <v>171</v>
      </c>
      <c r="C4" s="409"/>
      <c r="F4" s="432" t="s">
        <v>151</v>
      </c>
      <c r="G4" s="286" t="s">
        <v>857</v>
      </c>
      <c r="H4" s="287" t="str">
        <f>IFERROR(VALUE(RIGHT(H2,6)),"")</f>
        <v/>
      </c>
      <c r="I4" s="288" t="s">
        <v>463</v>
      </c>
      <c r="J4" s="289">
        <f>MAX(W:W)</f>
        <v>0</v>
      </c>
      <c r="K4" s="290"/>
      <c r="L4" s="287" t="str">
        <f>IFERROR(IF(J4="","",((J4-H4)+1)),"")</f>
        <v/>
      </c>
      <c r="N4" s="283" t="str">
        <f ca="1">VLOOKUP('FORMATO DIL'!$B$2,LOTES!$N:$W,10,FALSE)</f>
        <v>S:\ESTERILES\IV SCOOP JPC-MATERNO-VERAGUAS-CPOLICARPA\2022\08 AGOSTO\040822\JPC\PEDIATRIA\</v>
      </c>
    </row>
    <row r="5" spans="1:23" s="283" customFormat="1" ht="29.25" customHeight="1" thickBot="1">
      <c r="A5" s="430" t="s">
        <v>456</v>
      </c>
      <c r="B5" s="460">
        <f ca="1">TODAY()+D6</f>
        <v>44777</v>
      </c>
      <c r="C5" s="573" t="s">
        <v>856</v>
      </c>
      <c r="D5" s="607" t="s">
        <v>1380</v>
      </c>
      <c r="F5" s="432" t="s">
        <v>464</v>
      </c>
      <c r="G5" s="652" t="str">
        <f>IFERROR(VLOOKUP(B2,LOTES!N$3:P$70,2,0),"CLIENTE")</f>
        <v>CLINICA JORGE PIÑEROS CORPAS</v>
      </c>
      <c r="H5" s="653"/>
      <c r="I5" s="653"/>
      <c r="J5" s="653"/>
      <c r="K5" s="653"/>
      <c r="L5" s="654"/>
    </row>
    <row r="6" spans="1:23" s="283" customFormat="1" ht="29.25" customHeight="1" thickBot="1">
      <c r="A6" s="431" t="str">
        <f>IF(B6="","TIPO DOSIS",B6)</f>
        <v>TIPO DOSIS</v>
      </c>
      <c r="B6" s="461"/>
      <c r="C6" s="415">
        <f ca="1">TODAY()+D6</f>
        <v>44777</v>
      </c>
      <c r="F6" s="432" t="s">
        <v>4</v>
      </c>
      <c r="G6" s="655" t="str">
        <f>IFERROR(VLOOKUP(B2,LOTES!N$3:P$70,3,0),"SERVICIO")</f>
        <v>6 NORTE</v>
      </c>
      <c r="H6" s="655"/>
      <c r="I6" s="655"/>
      <c r="J6" s="655"/>
      <c r="K6" s="655"/>
      <c r="L6" s="655"/>
      <c r="N6" s="394" t="s">
        <v>1133</v>
      </c>
      <c r="U6" s="662"/>
    </row>
    <row r="7" spans="1:23" s="283" customFormat="1" ht="29.25" customHeight="1">
      <c r="A7" s="430" t="s">
        <v>862</v>
      </c>
      <c r="B7" s="462" t="s">
        <v>834</v>
      </c>
      <c r="C7" s="380"/>
      <c r="D7" s="381"/>
      <c r="E7" s="381"/>
      <c r="F7" s="432" t="s">
        <v>7</v>
      </c>
      <c r="G7" s="655" t="s">
        <v>490</v>
      </c>
      <c r="H7" s="655"/>
      <c r="I7" s="655"/>
      <c r="J7" s="655"/>
      <c r="K7" s="655"/>
      <c r="L7" s="655"/>
      <c r="N7" s="394" t="s">
        <v>1388</v>
      </c>
      <c r="U7" s="663"/>
    </row>
    <row r="8" spans="1:23" s="283" customFormat="1" ht="29.25" customHeight="1">
      <c r="A8" s="430" t="s">
        <v>859</v>
      </c>
      <c r="B8" s="462" t="s">
        <v>992</v>
      </c>
      <c r="C8" s="380"/>
      <c r="D8" s="381"/>
      <c r="F8" s="432" t="s">
        <v>860</v>
      </c>
      <c r="G8" s="655" t="str">
        <f>IFERROR(VLOOKUP(B9,LOTES!I4:K19,3,0),"RESPONSABLE")</f>
        <v>DIEGO SALAZAR</v>
      </c>
      <c r="H8" s="655"/>
      <c r="I8" s="655"/>
      <c r="J8" s="655"/>
      <c r="K8" s="655"/>
      <c r="L8" s="655"/>
      <c r="N8" s="394" t="s">
        <v>1371</v>
      </c>
      <c r="U8" s="469" t="s">
        <v>1000</v>
      </c>
      <c r="V8" s="469" t="s">
        <v>1001</v>
      </c>
    </row>
    <row r="9" spans="1:23" s="283" customFormat="1" ht="29.25" customHeight="1" thickBot="1">
      <c r="A9" s="431" t="s">
        <v>860</v>
      </c>
      <c r="B9" s="463" t="s">
        <v>343</v>
      </c>
      <c r="C9" s="291"/>
      <c r="D9" s="291"/>
      <c r="E9" s="291"/>
      <c r="F9" s="583" t="s">
        <v>1131</v>
      </c>
      <c r="G9" s="582">
        <v>4</v>
      </c>
      <c r="H9" s="292"/>
      <c r="I9" s="292"/>
      <c r="J9" s="292"/>
      <c r="K9" s="292"/>
      <c r="L9" s="292"/>
      <c r="M9" s="292"/>
      <c r="N9" s="394" t="s">
        <v>1387</v>
      </c>
      <c r="O9" s="664" t="s">
        <v>1132</v>
      </c>
      <c r="P9" s="665"/>
      <c r="Q9" s="396" t="str">
        <f>IFERROR(VLOOKUP(N9,'R&amp;T'!Q:R,2,FALSE),"")</f>
        <v/>
      </c>
      <c r="U9" s="465"/>
      <c r="V9" s="465"/>
    </row>
    <row r="10" spans="1:23" s="283" customFormat="1" ht="16.5" customHeight="1" thickBot="1">
      <c r="A10" s="646" t="s">
        <v>328</v>
      </c>
      <c r="B10" s="647"/>
      <c r="C10" s="648"/>
      <c r="D10" s="648"/>
      <c r="E10" s="648"/>
      <c r="F10" s="648"/>
      <c r="G10" s="647"/>
      <c r="H10" s="648"/>
      <c r="I10" s="648"/>
      <c r="J10" s="648"/>
      <c r="K10" s="648"/>
      <c r="L10" s="648"/>
      <c r="M10" s="648"/>
      <c r="N10" s="648"/>
      <c r="O10" s="648"/>
      <c r="P10" s="648"/>
      <c r="Q10" s="648"/>
      <c r="R10" s="648"/>
      <c r="S10" s="649"/>
      <c r="U10" s="644" t="s">
        <v>858</v>
      </c>
      <c r="V10" s="645"/>
    </row>
    <row r="11" spans="1:23" s="298" customFormat="1" ht="30.75" customHeight="1">
      <c r="A11" s="293" t="s">
        <v>319</v>
      </c>
      <c r="B11" s="294" t="s">
        <v>3</v>
      </c>
      <c r="C11" s="294" t="s">
        <v>14</v>
      </c>
      <c r="D11" s="294" t="s">
        <v>288</v>
      </c>
      <c r="E11" s="294" t="s">
        <v>5</v>
      </c>
      <c r="F11" s="294" t="s">
        <v>596</v>
      </c>
      <c r="G11" s="606" t="str">
        <f>IFERROR(VLOOKUP(LEFT(H11,$G$9),'R&amp;T'!$T:$U,2,FALSE),"")</f>
        <v/>
      </c>
      <c r="H11" s="294" t="s">
        <v>6</v>
      </c>
      <c r="I11" s="295" t="s">
        <v>513</v>
      </c>
      <c r="J11" s="294" t="s">
        <v>289</v>
      </c>
      <c r="K11" s="294" t="s">
        <v>261</v>
      </c>
      <c r="L11" s="295" t="s">
        <v>329</v>
      </c>
      <c r="M11" s="296" t="s">
        <v>262</v>
      </c>
      <c r="N11" s="296" t="s">
        <v>263</v>
      </c>
      <c r="O11" s="295" t="s">
        <v>513</v>
      </c>
      <c r="P11" s="294" t="s">
        <v>1129</v>
      </c>
      <c r="Q11" s="294" t="s">
        <v>266</v>
      </c>
      <c r="R11" s="294" t="s">
        <v>99</v>
      </c>
      <c r="S11" s="297" t="s">
        <v>175</v>
      </c>
      <c r="U11" s="468" t="s">
        <v>520</v>
      </c>
      <c r="V11" s="468" t="s">
        <v>519</v>
      </c>
    </row>
    <row r="12" spans="1:23" ht="15" customHeight="1">
      <c r="A12" s="299">
        <f>H2</f>
        <v>0</v>
      </c>
      <c r="B12" s="397"/>
      <c r="C12" s="397"/>
      <c r="D12" s="398"/>
      <c r="E12" s="398"/>
      <c r="F12" s="397"/>
      <c r="G12" s="606"/>
      <c r="H12" s="303"/>
      <c r="I12" s="439"/>
      <c r="J12" s="304"/>
      <c r="K12" s="394"/>
      <c r="L12" s="394"/>
      <c r="M12" s="394"/>
      <c r="N12" s="395"/>
      <c r="O12" s="394"/>
      <c r="P12" s="394"/>
      <c r="Q12" s="396"/>
      <c r="R12" s="440"/>
      <c r="S12" s="171" t="str">
        <f>IFERROR(VLOOKUP(G12,ESTANDAR!A:N,13,0),"O.C.")</f>
        <v>O.C.</v>
      </c>
      <c r="U12" s="171"/>
      <c r="V12" s="171"/>
      <c r="W12" s="298">
        <f>IFERROR(VALUE(MID(A12,7,7)),0)</f>
        <v>0</v>
      </c>
    </row>
    <row r="13" spans="1:23" ht="15" customHeight="1">
      <c r="A13" s="300" t="str">
        <f t="shared" ref="A13:A75" si="0">IF(B13&lt;&gt;0,LEFT(A12,6)&amp;IF(LEN(W13)=1,"00000"&amp;W13,IF(LEN(W13)=2,"0000"&amp;W13,IF(LEN(W13)=3,"000"&amp;W13,IF(LEN(W13)=4,"00"&amp;W13,IF(LEN(W13)=5,"0"&amp;W13,W13))))),"")</f>
        <v/>
      </c>
      <c r="B13" s="165"/>
      <c r="C13" s="397"/>
      <c r="D13" s="398"/>
      <c r="E13" s="398"/>
      <c r="F13" s="397"/>
      <c r="G13" s="584"/>
      <c r="H13" s="303"/>
      <c r="I13" s="439"/>
      <c r="J13" s="304"/>
      <c r="K13" s="394"/>
      <c r="L13" s="394"/>
      <c r="M13" s="394"/>
      <c r="N13" s="394"/>
      <c r="O13" s="394"/>
      <c r="P13" s="394"/>
      <c r="Q13" s="396"/>
      <c r="R13" s="440"/>
      <c r="S13" s="171" t="str">
        <f>IFERROR(VLOOKUP(G13,ESTANDAR!A:N,13,0),"O.C.")</f>
        <v>O.C.</v>
      </c>
      <c r="U13" s="171"/>
      <c r="V13" s="171"/>
      <c r="W13" s="298" t="str">
        <f>IF(B13&lt;&gt;"",W12+1,"")</f>
        <v/>
      </c>
    </row>
    <row r="14" spans="1:23" ht="14.25" customHeight="1">
      <c r="A14" s="300" t="str">
        <f t="shared" si="0"/>
        <v/>
      </c>
      <c r="B14" s="165"/>
      <c r="C14" s="466"/>
      <c r="D14" s="305"/>
      <c r="E14" s="306"/>
      <c r="F14" s="307"/>
      <c r="G14" s="606"/>
      <c r="H14" s="303"/>
      <c r="I14" s="306"/>
      <c r="J14" s="467"/>
      <c r="K14" s="306"/>
      <c r="L14" s="394"/>
      <c r="M14" s="306"/>
      <c r="N14" s="605"/>
      <c r="O14" s="306"/>
      <c r="P14" s="306"/>
      <c r="Q14" s="396"/>
      <c r="R14" s="389"/>
      <c r="S14" s="171" t="str">
        <f>IFERROR(VLOOKUP(G14,ESTANDAR!A:N,13,0),"O.C.")</f>
        <v>O.C.</v>
      </c>
      <c r="U14" s="171"/>
      <c r="V14" s="171"/>
      <c r="W14" s="298" t="str">
        <f t="shared" ref="W14:W75" si="1">IF(B14&lt;&gt;"",W13+1,"")</f>
        <v/>
      </c>
    </row>
    <row r="15" spans="1:23" ht="15" customHeight="1">
      <c r="A15" s="300" t="str">
        <f t="shared" si="0"/>
        <v/>
      </c>
      <c r="B15" s="397"/>
      <c r="C15" s="397"/>
      <c r="D15" s="398"/>
      <c r="E15" s="398"/>
      <c r="F15" s="397"/>
      <c r="G15" s="606"/>
      <c r="H15" s="303"/>
      <c r="I15" s="439"/>
      <c r="J15" s="304"/>
      <c r="K15" s="394"/>
      <c r="L15" s="394"/>
      <c r="M15" s="394"/>
      <c r="N15" s="395"/>
      <c r="O15" s="394"/>
      <c r="P15" s="394"/>
      <c r="Q15" s="396"/>
      <c r="R15" s="440"/>
      <c r="S15" s="171" t="str">
        <f>IFERROR(VLOOKUP(G15,ESTANDAR!A:N,13,0),"O.C.")</f>
        <v>O.C.</v>
      </c>
      <c r="U15" s="171"/>
      <c r="V15" s="171"/>
      <c r="W15" s="298" t="str">
        <f t="shared" si="1"/>
        <v/>
      </c>
    </row>
    <row r="16" spans="1:23" ht="15" customHeight="1">
      <c r="A16" s="300" t="str">
        <f t="shared" si="0"/>
        <v/>
      </c>
      <c r="B16" s="397"/>
      <c r="C16" s="397"/>
      <c r="D16" s="443"/>
      <c r="E16" s="398"/>
      <c r="F16" s="397"/>
      <c r="G16" s="606"/>
      <c r="H16" s="303"/>
      <c r="I16" s="439"/>
      <c r="J16" s="392"/>
      <c r="K16" s="394"/>
      <c r="L16" s="394"/>
      <c r="M16" s="394"/>
      <c r="N16" s="395"/>
      <c r="O16" s="394"/>
      <c r="P16" s="394"/>
      <c r="Q16" s="396"/>
      <c r="R16" s="440"/>
      <c r="S16" s="171" t="str">
        <f>IFERROR(VLOOKUP(G16,ESTANDAR!A:N,13,0),"O.C.")</f>
        <v>O.C.</v>
      </c>
      <c r="U16" s="171"/>
      <c r="V16" s="171"/>
      <c r="W16" s="298" t="str">
        <f t="shared" si="1"/>
        <v/>
      </c>
    </row>
    <row r="17" spans="1:23" ht="14.25" customHeight="1">
      <c r="A17" s="300" t="str">
        <f t="shared" si="0"/>
        <v/>
      </c>
      <c r="B17" s="397"/>
      <c r="C17" s="397"/>
      <c r="D17" s="398"/>
      <c r="E17" s="398"/>
      <c r="F17" s="397"/>
      <c r="G17" s="606"/>
      <c r="H17" s="303"/>
      <c r="I17" s="439"/>
      <c r="J17" s="304"/>
      <c r="K17" s="394"/>
      <c r="L17" s="393"/>
      <c r="M17" s="394"/>
      <c r="N17" s="395"/>
      <c r="O17" s="394"/>
      <c r="P17" s="394"/>
      <c r="Q17" s="396"/>
      <c r="R17" s="440"/>
      <c r="S17" s="171" t="str">
        <f>IFERROR(VLOOKUP(G17,ESTANDAR!A:N,13,0),"O.C.")</f>
        <v>O.C.</v>
      </c>
      <c r="U17" s="171"/>
      <c r="V17" s="171"/>
      <c r="W17" s="298" t="str">
        <f t="shared" si="1"/>
        <v/>
      </c>
    </row>
    <row r="18" spans="1:23" ht="14.25" customHeight="1">
      <c r="A18" s="300" t="str">
        <f t="shared" si="0"/>
        <v/>
      </c>
      <c r="B18" s="397"/>
      <c r="C18" s="434"/>
      <c r="D18" s="435"/>
      <c r="E18" s="435"/>
      <c r="F18" s="435"/>
      <c r="G18" s="606"/>
      <c r="H18" s="303"/>
      <c r="I18" s="470"/>
      <c r="J18" s="304"/>
      <c r="K18" s="439"/>
      <c r="L18" s="394"/>
      <c r="M18" s="608"/>
      <c r="N18" s="395"/>
      <c r="O18" s="608"/>
      <c r="P18" s="608"/>
      <c r="Q18" s="396"/>
      <c r="R18" s="169"/>
      <c r="S18" s="171" t="str">
        <f>IFERROR(VLOOKUP(G18,ESTANDAR!A:N,13,0),"O.C.")</f>
        <v>O.C.</v>
      </c>
      <c r="U18" s="171"/>
      <c r="V18" s="171"/>
      <c r="W18" s="298" t="str">
        <f t="shared" si="1"/>
        <v/>
      </c>
    </row>
    <row r="19" spans="1:23" ht="14.25" customHeight="1">
      <c r="A19" s="300" t="str">
        <f t="shared" si="0"/>
        <v/>
      </c>
      <c r="B19" s="397"/>
      <c r="C19" s="397"/>
      <c r="D19" s="398"/>
      <c r="E19" s="398"/>
      <c r="F19" s="397"/>
      <c r="G19" s="606"/>
      <c r="H19" s="303"/>
      <c r="I19" s="439"/>
      <c r="J19" s="392"/>
      <c r="K19" s="394"/>
      <c r="L19" s="393"/>
      <c r="M19" s="394"/>
      <c r="N19" s="395"/>
      <c r="O19" s="394"/>
      <c r="P19" s="394"/>
      <c r="Q19" s="396"/>
      <c r="R19" s="169"/>
      <c r="S19" s="171" t="str">
        <f>IFERROR(VLOOKUP(G19,ESTANDAR!A:N,13,0),"O.C.")</f>
        <v>O.C.</v>
      </c>
      <c r="U19" s="171"/>
      <c r="V19" s="171"/>
      <c r="W19" s="298" t="str">
        <f t="shared" si="1"/>
        <v/>
      </c>
    </row>
    <row r="20" spans="1:23" ht="15" customHeight="1">
      <c r="A20" s="300" t="str">
        <f t="shared" si="0"/>
        <v/>
      </c>
      <c r="B20" s="397"/>
      <c r="C20" s="397"/>
      <c r="D20" s="435"/>
      <c r="E20" s="435"/>
      <c r="F20" s="435"/>
      <c r="G20" s="606"/>
      <c r="H20" s="303"/>
      <c r="I20" s="439"/>
      <c r="J20" s="392"/>
      <c r="K20" s="394"/>
      <c r="L20" s="394"/>
      <c r="M20" s="394"/>
      <c r="N20" s="395"/>
      <c r="O20" s="394"/>
      <c r="P20" s="394"/>
      <c r="Q20" s="396"/>
      <c r="R20" s="440"/>
      <c r="S20" s="171" t="str">
        <f>IFERROR(VLOOKUP(G20,ESTANDAR!A:N,13,0),"O.C.")</f>
        <v>O.C.</v>
      </c>
      <c r="U20" s="171"/>
      <c r="V20" s="171"/>
      <c r="W20" s="298" t="str">
        <f t="shared" si="1"/>
        <v/>
      </c>
    </row>
    <row r="21" spans="1:23" ht="14.25" customHeight="1">
      <c r="A21" s="300" t="str">
        <f t="shared" si="0"/>
        <v/>
      </c>
      <c r="B21" s="397"/>
      <c r="C21" s="397"/>
      <c r="D21" s="398"/>
      <c r="E21" s="398"/>
      <c r="F21" s="399"/>
      <c r="G21" s="606"/>
      <c r="H21" s="303"/>
      <c r="I21" s="439"/>
      <c r="J21" s="392"/>
      <c r="K21" s="394"/>
      <c r="L21" s="394"/>
      <c r="M21" s="394"/>
      <c r="N21" s="395"/>
      <c r="O21" s="394"/>
      <c r="P21" s="394"/>
      <c r="Q21" s="396"/>
      <c r="R21" s="389"/>
      <c r="S21" s="171" t="str">
        <f>IFERROR(VLOOKUP(G21,ESTANDAR!A:N,13,0),"O.C.")</f>
        <v>O.C.</v>
      </c>
      <c r="U21" s="171"/>
      <c r="V21" s="171"/>
      <c r="W21" s="298" t="str">
        <f t="shared" si="1"/>
        <v/>
      </c>
    </row>
    <row r="22" spans="1:23" ht="14.25" customHeight="1">
      <c r="A22" s="300" t="str">
        <f t="shared" si="0"/>
        <v/>
      </c>
      <c r="B22" s="397"/>
      <c r="C22" s="397"/>
      <c r="D22" s="398"/>
      <c r="E22" s="398"/>
      <c r="F22" s="399"/>
      <c r="G22" s="606"/>
      <c r="H22" s="303"/>
      <c r="I22" s="439"/>
      <c r="J22" s="392"/>
      <c r="K22" s="394"/>
      <c r="L22" s="394"/>
      <c r="M22" s="394"/>
      <c r="N22" s="395"/>
      <c r="O22" s="394"/>
      <c r="P22" s="394"/>
      <c r="Q22" s="396"/>
      <c r="R22" s="440"/>
      <c r="S22" s="171" t="str">
        <f>IFERROR(VLOOKUP(G22,ESTANDAR!A:N,13,0),"O.C.")</f>
        <v>O.C.</v>
      </c>
      <c r="U22" s="171"/>
      <c r="V22" s="171"/>
      <c r="W22" s="298" t="str">
        <f t="shared" si="1"/>
        <v/>
      </c>
    </row>
    <row r="23" spans="1:23" ht="14.25" customHeight="1">
      <c r="A23" s="300" t="str">
        <f t="shared" si="0"/>
        <v/>
      </c>
      <c r="B23" s="397"/>
      <c r="C23" s="397"/>
      <c r="D23" s="398"/>
      <c r="E23" s="398"/>
      <c r="F23" s="397"/>
      <c r="G23" s="584"/>
      <c r="H23" s="303"/>
      <c r="I23" s="439"/>
      <c r="J23" s="392"/>
      <c r="K23" s="394"/>
      <c r="L23" s="394"/>
      <c r="M23" s="394"/>
      <c r="N23" s="395"/>
      <c r="O23" s="394"/>
      <c r="P23" s="394"/>
      <c r="Q23" s="306"/>
      <c r="R23" s="440"/>
      <c r="S23" s="171" t="str">
        <f>IFERROR(VLOOKUP(G23,ESTANDAR!A:N,13,0),"O.C.")</f>
        <v>O.C.</v>
      </c>
      <c r="U23" s="171"/>
      <c r="V23" s="171"/>
      <c r="W23" s="298" t="str">
        <f t="shared" si="1"/>
        <v/>
      </c>
    </row>
    <row r="24" spans="1:23" ht="14.25" customHeight="1">
      <c r="A24" s="300" t="str">
        <f t="shared" si="0"/>
        <v/>
      </c>
      <c r="B24" s="397"/>
      <c r="C24" s="397"/>
      <c r="D24" s="398"/>
      <c r="E24" s="398"/>
      <c r="F24" s="397"/>
      <c r="G24" s="606"/>
      <c r="H24" s="303"/>
      <c r="I24" s="439"/>
      <c r="J24" s="304"/>
      <c r="K24" s="394"/>
      <c r="L24" s="394"/>
      <c r="M24" s="394"/>
      <c r="N24" s="395"/>
      <c r="O24" s="394"/>
      <c r="P24" s="394"/>
      <c r="Q24" s="396"/>
      <c r="R24" s="440"/>
      <c r="S24" s="171" t="str">
        <f>IFERROR(VLOOKUP(G24,ESTANDAR!A:N,13,0),"O.C.")</f>
        <v>O.C.</v>
      </c>
      <c r="U24" s="171"/>
      <c r="V24" s="171"/>
      <c r="W24" s="298" t="str">
        <f t="shared" si="1"/>
        <v/>
      </c>
    </row>
    <row r="25" spans="1:23" ht="15" customHeight="1">
      <c r="A25" s="300" t="str">
        <f t="shared" si="0"/>
        <v/>
      </c>
      <c r="B25" s="165"/>
      <c r="C25" s="166"/>
      <c r="D25" s="305"/>
      <c r="E25" s="306"/>
      <c r="F25" s="307"/>
      <c r="G25" s="606"/>
      <c r="H25" s="303"/>
      <c r="I25" s="306"/>
      <c r="J25" s="304"/>
      <c r="K25" s="306"/>
      <c r="L25" s="306"/>
      <c r="M25" s="306"/>
      <c r="N25" s="395"/>
      <c r="O25" s="306"/>
      <c r="P25" s="306"/>
      <c r="Q25" s="306"/>
      <c r="R25" s="170"/>
      <c r="S25" s="171" t="str">
        <f>IFERROR(VLOOKUP(G25,ESTANDAR!A:N,13,0),"O.C.")</f>
        <v>O.C.</v>
      </c>
      <c r="U25" s="171"/>
      <c r="V25" s="171"/>
      <c r="W25" s="298" t="str">
        <f t="shared" si="1"/>
        <v/>
      </c>
    </row>
    <row r="26" spans="1:23" ht="15" customHeight="1">
      <c r="A26" s="300" t="str">
        <f t="shared" si="0"/>
        <v/>
      </c>
      <c r="B26" s="397"/>
      <c r="C26" s="434"/>
      <c r="D26" s="434"/>
      <c r="E26" s="435"/>
      <c r="F26" s="434"/>
      <c r="G26" s="606"/>
      <c r="H26" s="303"/>
      <c r="I26" s="439"/>
      <c r="J26" s="304"/>
      <c r="K26" s="439"/>
      <c r="L26" s="394"/>
      <c r="M26" s="394"/>
      <c r="N26" s="395"/>
      <c r="O26" s="394"/>
      <c r="P26" s="394"/>
      <c r="Q26" s="396"/>
      <c r="R26" s="440"/>
      <c r="S26" s="171" t="str">
        <f>IFERROR(VLOOKUP(G26,ESTANDAR!A:N,13,0),"O.C.")</f>
        <v>O.C.</v>
      </c>
      <c r="U26" s="171"/>
      <c r="V26" s="171"/>
      <c r="W26" s="298" t="str">
        <f t="shared" si="1"/>
        <v/>
      </c>
    </row>
    <row r="27" spans="1:23" ht="15" customHeight="1">
      <c r="A27" s="300" t="str">
        <f t="shared" si="0"/>
        <v/>
      </c>
      <c r="B27" s="397"/>
      <c r="C27" s="434"/>
      <c r="D27" s="434"/>
      <c r="E27" s="435"/>
      <c r="F27" s="434"/>
      <c r="G27" s="606"/>
      <c r="H27" s="303"/>
      <c r="I27" s="439"/>
      <c r="J27" s="392"/>
      <c r="K27" s="439"/>
      <c r="L27" s="394"/>
      <c r="M27" s="394"/>
      <c r="N27" s="395"/>
      <c r="O27" s="394"/>
      <c r="P27" s="394"/>
      <c r="Q27" s="396"/>
      <c r="R27" s="389"/>
      <c r="S27" s="171" t="str">
        <f>IFERROR(VLOOKUP(G27,ESTANDAR!A:N,13,0),"O.C.")</f>
        <v>O.C.</v>
      </c>
      <c r="U27" s="171"/>
      <c r="V27" s="171"/>
      <c r="W27" s="298" t="str">
        <f t="shared" si="1"/>
        <v/>
      </c>
    </row>
    <row r="28" spans="1:23" ht="15" customHeight="1">
      <c r="A28" s="300" t="str">
        <f t="shared" si="0"/>
        <v/>
      </c>
      <c r="B28" s="397"/>
      <c r="C28" s="397"/>
      <c r="D28" s="398"/>
      <c r="E28" s="398"/>
      <c r="F28" s="397"/>
      <c r="G28" s="606"/>
      <c r="H28" s="303"/>
      <c r="I28" s="439"/>
      <c r="J28" s="467"/>
      <c r="K28" s="394"/>
      <c r="L28" s="393"/>
      <c r="M28" s="394"/>
      <c r="N28" s="605"/>
      <c r="O28" s="394"/>
      <c r="P28" s="394"/>
      <c r="Q28" s="396"/>
      <c r="R28" s="169"/>
      <c r="S28" s="171" t="str">
        <f>IFERROR(VLOOKUP(G28,ESTANDAR!A:N,13,0),"O.C.")</f>
        <v>O.C.</v>
      </c>
      <c r="U28" s="171"/>
      <c r="V28" s="171"/>
      <c r="W28" s="298" t="str">
        <f t="shared" si="1"/>
        <v/>
      </c>
    </row>
    <row r="29" spans="1:23" ht="15" customHeight="1">
      <c r="A29" s="300" t="str">
        <f t="shared" si="0"/>
        <v/>
      </c>
      <c r="B29" s="397"/>
      <c r="C29" s="434"/>
      <c r="D29" s="434"/>
      <c r="E29" s="435"/>
      <c r="F29" s="434"/>
      <c r="G29" s="606"/>
      <c r="H29" s="303"/>
      <c r="I29" s="439"/>
      <c r="J29" s="304"/>
      <c r="K29" s="394"/>
      <c r="L29" s="394"/>
      <c r="M29" s="394"/>
      <c r="N29" s="394"/>
      <c r="O29" s="394"/>
      <c r="P29" s="394"/>
      <c r="Q29" s="396"/>
      <c r="R29" s="169"/>
      <c r="S29" s="171" t="str">
        <f>IFERROR(VLOOKUP(G29,ESTANDAR!A:N,13,0),"O.C.")</f>
        <v>O.C.</v>
      </c>
      <c r="U29" s="171"/>
      <c r="V29" s="171"/>
      <c r="W29" s="298" t="str">
        <f t="shared" si="1"/>
        <v/>
      </c>
    </row>
    <row r="30" spans="1:23" ht="15" customHeight="1">
      <c r="A30" s="300" t="str">
        <f t="shared" si="0"/>
        <v/>
      </c>
      <c r="B30" s="397"/>
      <c r="C30" s="397"/>
      <c r="D30" s="443"/>
      <c r="E30" s="398"/>
      <c r="F30" s="397"/>
      <c r="G30" s="606"/>
      <c r="H30" s="303"/>
      <c r="I30" s="439"/>
      <c r="J30" s="304"/>
      <c r="K30" s="394"/>
      <c r="L30" s="394"/>
      <c r="M30" s="394"/>
      <c r="N30" s="394"/>
      <c r="O30" s="394"/>
      <c r="P30" s="394"/>
      <c r="Q30" s="396"/>
      <c r="R30" s="440"/>
      <c r="S30" s="171" t="str">
        <f>IFERROR(VLOOKUP(G30,ESTANDAR!A:N,13,0),"O.C.")</f>
        <v>O.C.</v>
      </c>
      <c r="U30" s="171"/>
      <c r="V30" s="171"/>
      <c r="W30" s="298" t="str">
        <f t="shared" si="1"/>
        <v/>
      </c>
    </row>
    <row r="31" spans="1:23" ht="15" customHeight="1">
      <c r="A31" s="300" t="str">
        <f t="shared" si="0"/>
        <v/>
      </c>
      <c r="B31" s="165"/>
      <c r="C31" s="397"/>
      <c r="D31" s="398"/>
      <c r="E31" s="398"/>
      <c r="F31" s="397"/>
      <c r="G31" s="581"/>
      <c r="H31" s="303"/>
      <c r="I31" s="439"/>
      <c r="J31" s="304"/>
      <c r="K31" s="394"/>
      <c r="L31" s="394"/>
      <c r="M31" s="394"/>
      <c r="N31" s="395"/>
      <c r="O31" s="394"/>
      <c r="P31" s="394"/>
      <c r="Q31" s="396"/>
      <c r="R31" s="440"/>
      <c r="S31" s="171" t="str">
        <f>IFERROR(VLOOKUP(G31,ESTANDAR!A:N,13,0),"O.C.")</f>
        <v>O.C.</v>
      </c>
      <c r="U31" s="171"/>
      <c r="V31" s="171"/>
      <c r="W31" s="298" t="str">
        <f t="shared" si="1"/>
        <v/>
      </c>
    </row>
    <row r="32" spans="1:23" ht="15" customHeight="1">
      <c r="A32" s="300" t="str">
        <f t="shared" si="0"/>
        <v/>
      </c>
      <c r="B32" s="397"/>
      <c r="C32" s="397"/>
      <c r="D32" s="398"/>
      <c r="E32" s="435"/>
      <c r="F32" s="397"/>
      <c r="G32" s="606"/>
      <c r="H32" s="303"/>
      <c r="I32" s="439"/>
      <c r="J32" s="304"/>
      <c r="K32" s="394"/>
      <c r="L32" s="394"/>
      <c r="M32" s="394"/>
      <c r="N32" s="395"/>
      <c r="O32" s="394"/>
      <c r="P32" s="394"/>
      <c r="Q32" s="396"/>
      <c r="R32" s="440"/>
      <c r="S32" s="171" t="str">
        <f>IFERROR(VLOOKUP(G32,ESTANDAR!A:N,13,0),"O.C.")</f>
        <v>O.C.</v>
      </c>
      <c r="U32" s="171"/>
      <c r="V32" s="171"/>
      <c r="W32" s="298" t="str">
        <f t="shared" si="1"/>
        <v/>
      </c>
    </row>
    <row r="33" spans="1:23" ht="15" customHeight="1">
      <c r="A33" s="300" t="str">
        <f t="shared" si="0"/>
        <v/>
      </c>
      <c r="B33" s="165"/>
      <c r="C33" s="397"/>
      <c r="D33" s="398"/>
      <c r="E33" s="398"/>
      <c r="F33" s="397"/>
      <c r="G33" s="606"/>
      <c r="H33" s="303"/>
      <c r="I33" s="439"/>
      <c r="J33" s="304"/>
      <c r="K33" s="394"/>
      <c r="L33" s="393"/>
      <c r="M33" s="394"/>
      <c r="N33" s="395"/>
      <c r="O33" s="394"/>
      <c r="P33" s="394"/>
      <c r="Q33" s="396"/>
      <c r="R33" s="170"/>
      <c r="S33" s="171" t="str">
        <f>IFERROR(VLOOKUP(G33,ESTANDAR!A:N,13,0),"O.C.")</f>
        <v>O.C.</v>
      </c>
      <c r="U33" s="171"/>
      <c r="V33" s="171"/>
      <c r="W33" s="298" t="str">
        <f t="shared" si="1"/>
        <v/>
      </c>
    </row>
    <row r="34" spans="1:23" ht="15" customHeight="1">
      <c r="A34" s="300" t="str">
        <f t="shared" si="0"/>
        <v/>
      </c>
      <c r="B34" s="165"/>
      <c r="C34" s="397"/>
      <c r="D34" s="435"/>
      <c r="E34" s="435"/>
      <c r="F34" s="435"/>
      <c r="G34" s="606"/>
      <c r="H34" s="303"/>
      <c r="I34" s="439"/>
      <c r="J34" s="392"/>
      <c r="K34" s="394"/>
      <c r="L34" s="394"/>
      <c r="M34" s="394"/>
      <c r="N34" s="605"/>
      <c r="O34" s="394"/>
      <c r="P34" s="394"/>
      <c r="Q34" s="396"/>
      <c r="R34" s="389"/>
      <c r="S34" s="171" t="str">
        <f>IFERROR(VLOOKUP(G34,ESTANDAR!A:N,13,0),"O.C.")</f>
        <v>O.C.</v>
      </c>
      <c r="U34" s="171"/>
      <c r="V34" s="171"/>
      <c r="W34" s="298" t="str">
        <f t="shared" si="1"/>
        <v/>
      </c>
    </row>
    <row r="35" spans="1:23" ht="15" customHeight="1">
      <c r="A35" s="300" t="str">
        <f t="shared" si="0"/>
        <v/>
      </c>
      <c r="B35" s="397"/>
      <c r="C35" s="434"/>
      <c r="D35" s="443"/>
      <c r="E35" s="435"/>
      <c r="F35" s="434"/>
      <c r="G35" s="584"/>
      <c r="H35" s="303"/>
      <c r="I35" s="439"/>
      <c r="J35" s="304"/>
      <c r="K35" s="439"/>
      <c r="L35" s="393"/>
      <c r="M35" s="393"/>
      <c r="N35" s="393"/>
      <c r="O35" s="393"/>
      <c r="P35" s="393"/>
      <c r="Q35" s="396"/>
      <c r="R35" s="440"/>
      <c r="S35" s="171" t="str">
        <f>IFERROR(VLOOKUP(G35,ESTANDAR!A:N,13,0),"O.C.")</f>
        <v>O.C.</v>
      </c>
      <c r="U35" s="171"/>
      <c r="V35" s="171"/>
      <c r="W35" s="298" t="str">
        <f t="shared" si="1"/>
        <v/>
      </c>
    </row>
    <row r="36" spans="1:23" ht="15" customHeight="1">
      <c r="A36" s="300" t="str">
        <f t="shared" si="0"/>
        <v/>
      </c>
      <c r="B36" s="397"/>
      <c r="C36" s="434"/>
      <c r="D36" s="398"/>
      <c r="E36" s="398"/>
      <c r="F36" s="397"/>
      <c r="G36" s="606"/>
      <c r="H36" s="303"/>
      <c r="I36" s="439"/>
      <c r="J36" s="392"/>
      <c r="K36" s="394"/>
      <c r="L36" s="394"/>
      <c r="M36" s="394"/>
      <c r="N36" s="605"/>
      <c r="O36" s="394"/>
      <c r="P36" s="394"/>
      <c r="Q36" s="396"/>
      <c r="R36" s="169"/>
      <c r="S36" s="171" t="str">
        <f>IFERROR(VLOOKUP(G36,ESTANDAR!A:N,13,0),"O.C.")</f>
        <v>O.C.</v>
      </c>
      <c r="U36" s="171"/>
      <c r="V36" s="171"/>
      <c r="W36" s="298" t="str">
        <f t="shared" si="1"/>
        <v/>
      </c>
    </row>
    <row r="37" spans="1:23" ht="15" customHeight="1">
      <c r="A37" s="300" t="str">
        <f t="shared" si="0"/>
        <v/>
      </c>
      <c r="B37" s="397"/>
      <c r="C37" s="434"/>
      <c r="D37" s="398"/>
      <c r="E37" s="398"/>
      <c r="F37" s="397"/>
      <c r="G37" s="606"/>
      <c r="H37" s="303"/>
      <c r="I37" s="391"/>
      <c r="J37" s="304"/>
      <c r="K37" s="394"/>
      <c r="L37" s="393"/>
      <c r="M37" s="394"/>
      <c r="N37" s="283"/>
      <c r="O37" s="394"/>
      <c r="P37" s="394"/>
      <c r="Q37" s="396"/>
      <c r="R37" s="169"/>
      <c r="S37" s="171" t="str">
        <f>IFERROR(VLOOKUP(G37,ESTANDAR!A:N,13,0),"O.C.")</f>
        <v>O.C.</v>
      </c>
      <c r="U37" s="171"/>
      <c r="V37" s="171"/>
      <c r="W37" s="298" t="str">
        <f t="shared" si="1"/>
        <v/>
      </c>
    </row>
    <row r="38" spans="1:23" ht="15" customHeight="1">
      <c r="A38" s="300" t="str">
        <f t="shared" si="0"/>
        <v/>
      </c>
      <c r="B38" s="397"/>
      <c r="C38" s="397"/>
      <c r="D38" s="390"/>
      <c r="E38" s="435"/>
      <c r="F38" s="397"/>
      <c r="G38" s="606"/>
      <c r="H38" s="303"/>
      <c r="I38" s="439"/>
      <c r="J38" s="304"/>
      <c r="K38" s="439"/>
      <c r="L38" s="394"/>
      <c r="M38" s="393"/>
      <c r="N38" s="395"/>
      <c r="O38" s="393"/>
      <c r="P38" s="393"/>
      <c r="Q38" s="394"/>
      <c r="R38" s="440"/>
      <c r="S38" s="171" t="str">
        <f>IFERROR(VLOOKUP(G38,ESTANDAR!A:N,13,0),"O.C.")</f>
        <v>O.C.</v>
      </c>
      <c r="U38" s="171"/>
      <c r="V38" s="171"/>
      <c r="W38" s="298" t="str">
        <f t="shared" si="1"/>
        <v/>
      </c>
    </row>
    <row r="39" spans="1:23" ht="15">
      <c r="A39" s="300" t="str">
        <f t="shared" si="0"/>
        <v/>
      </c>
      <c r="B39" s="397"/>
      <c r="C39" s="397"/>
      <c r="D39" s="398"/>
      <c r="E39" s="398"/>
      <c r="F39" s="397"/>
      <c r="G39" s="581"/>
      <c r="H39" s="303"/>
      <c r="I39" s="439"/>
      <c r="J39" s="304"/>
      <c r="K39" s="394"/>
      <c r="L39" s="394"/>
      <c r="M39" s="394"/>
      <c r="N39" s="605"/>
      <c r="O39" s="394"/>
      <c r="P39" s="394"/>
      <c r="Q39" s="396"/>
      <c r="R39" s="169"/>
      <c r="S39" s="171" t="str">
        <f>IFERROR(VLOOKUP(G39,ESTANDAR!A:N,13,0),"O.C.")</f>
        <v>O.C.</v>
      </c>
      <c r="U39" s="171"/>
      <c r="V39" s="171"/>
      <c r="W39" s="298" t="str">
        <f t="shared" si="1"/>
        <v/>
      </c>
    </row>
    <row r="40" spans="1:23" ht="15">
      <c r="A40" s="300" t="str">
        <f t="shared" si="0"/>
        <v/>
      </c>
      <c r="B40" s="397"/>
      <c r="C40" s="397"/>
      <c r="D40" s="443"/>
      <c r="E40" s="443"/>
      <c r="F40" s="397"/>
      <c r="G40" s="581"/>
      <c r="H40" s="303"/>
      <c r="I40" s="439"/>
      <c r="J40" s="304"/>
      <c r="K40" s="394"/>
      <c r="L40" s="394"/>
      <c r="M40" s="394"/>
      <c r="N40" s="394"/>
      <c r="O40" s="394"/>
      <c r="P40" s="394"/>
      <c r="Q40" s="396"/>
      <c r="R40" s="440"/>
      <c r="S40" s="171" t="str">
        <f>IFERROR(VLOOKUP(G40,ESTANDAR!A:N,13,0),"O.C.")</f>
        <v>O.C.</v>
      </c>
      <c r="U40" s="171"/>
      <c r="V40" s="171"/>
      <c r="W40" s="298" t="str">
        <f t="shared" si="1"/>
        <v/>
      </c>
    </row>
    <row r="41" spans="1:23" ht="15" customHeight="1">
      <c r="A41" s="300" t="str">
        <f t="shared" si="0"/>
        <v/>
      </c>
      <c r="B41" s="397"/>
      <c r="C41" s="397"/>
      <c r="D41" s="398"/>
      <c r="E41" s="443"/>
      <c r="F41" s="397"/>
      <c r="G41" s="581"/>
      <c r="H41" s="303"/>
      <c r="I41" s="439"/>
      <c r="J41" s="304"/>
      <c r="K41" s="394"/>
      <c r="L41" s="394"/>
      <c r="M41" s="394"/>
      <c r="N41" s="394"/>
      <c r="O41" s="394"/>
      <c r="P41" s="394"/>
      <c r="Q41" s="396"/>
      <c r="R41" s="440"/>
      <c r="S41" s="171" t="str">
        <f>IFERROR(VLOOKUP(G41,ESTANDAR!A:N,13,0),"O.C.")</f>
        <v>O.C.</v>
      </c>
      <c r="U41" s="171"/>
      <c r="V41" s="171"/>
      <c r="W41" s="298" t="str">
        <f t="shared" si="1"/>
        <v/>
      </c>
    </row>
    <row r="42" spans="1:23" ht="15" customHeight="1">
      <c r="A42" s="300" t="str">
        <f t="shared" si="0"/>
        <v/>
      </c>
      <c r="B42" s="397"/>
      <c r="C42" s="397"/>
      <c r="D42" s="398"/>
      <c r="E42" s="398"/>
      <c r="F42" s="397"/>
      <c r="G42" s="581"/>
      <c r="H42" s="303"/>
      <c r="I42" s="439"/>
      <c r="J42" s="304"/>
      <c r="K42" s="394"/>
      <c r="L42" s="394"/>
      <c r="M42" s="394"/>
      <c r="N42" s="395"/>
      <c r="O42" s="394"/>
      <c r="P42" s="394"/>
      <c r="Q42" s="396"/>
      <c r="R42" s="440"/>
      <c r="S42" s="171" t="str">
        <f>IFERROR(VLOOKUP(G42,ESTANDAR!A:N,13,0),"O.C.")</f>
        <v>O.C.</v>
      </c>
      <c r="U42" s="171"/>
      <c r="V42" s="171"/>
      <c r="W42" s="298" t="str">
        <f t="shared" si="1"/>
        <v/>
      </c>
    </row>
    <row r="43" spans="1:23" ht="15" customHeight="1">
      <c r="A43" s="300" t="str">
        <f t="shared" si="0"/>
        <v/>
      </c>
      <c r="B43" s="397"/>
      <c r="C43" s="397"/>
      <c r="D43" s="443"/>
      <c r="E43" s="398"/>
      <c r="F43" s="397"/>
      <c r="G43" s="581"/>
      <c r="H43" s="303"/>
      <c r="I43" s="391"/>
      <c r="J43" s="304"/>
      <c r="K43" s="394"/>
      <c r="L43" s="394"/>
      <c r="M43" s="394"/>
      <c r="N43" s="395"/>
      <c r="O43" s="394"/>
      <c r="P43" s="394"/>
      <c r="Q43" s="396"/>
      <c r="R43" s="440"/>
      <c r="S43" s="171" t="str">
        <f>IFERROR(VLOOKUP(G43,ESTANDAR!A:N,13,0),"O.C.")</f>
        <v>O.C.</v>
      </c>
      <c r="U43" s="171"/>
      <c r="V43" s="171"/>
      <c r="W43" s="298" t="str">
        <f t="shared" si="1"/>
        <v/>
      </c>
    </row>
    <row r="44" spans="1:23" ht="15" customHeight="1">
      <c r="A44" s="300" t="str">
        <f t="shared" si="0"/>
        <v/>
      </c>
      <c r="B44" s="165"/>
      <c r="C44" s="466"/>
      <c r="D44" s="305"/>
      <c r="E44" s="306"/>
      <c r="F44" s="307"/>
      <c r="G44" s="581"/>
      <c r="H44" s="303"/>
      <c r="I44" s="306"/>
      <c r="J44" s="304"/>
      <c r="K44" s="394"/>
      <c r="L44" s="394"/>
      <c r="M44" s="306"/>
      <c r="N44" s="308"/>
      <c r="O44" s="306"/>
      <c r="P44" s="306"/>
      <c r="Q44" s="396"/>
      <c r="R44" s="169"/>
      <c r="S44" s="171" t="str">
        <f>IFERROR(VLOOKUP(G44,ESTANDAR!A:N,13,0),"O.C.")</f>
        <v>O.C.</v>
      </c>
      <c r="U44" s="171"/>
      <c r="V44" s="171"/>
      <c r="W44" s="298" t="str">
        <f t="shared" si="1"/>
        <v/>
      </c>
    </row>
    <row r="45" spans="1:23" ht="15" customHeight="1">
      <c r="A45" s="300" t="str">
        <f t="shared" si="0"/>
        <v/>
      </c>
      <c r="B45" s="397"/>
      <c r="C45" s="397"/>
      <c r="D45" s="398"/>
      <c r="E45" s="398"/>
      <c r="F45" s="397"/>
      <c r="G45" s="581"/>
      <c r="H45" s="303"/>
      <c r="I45" s="439"/>
      <c r="J45" s="304"/>
      <c r="K45" s="394"/>
      <c r="L45" s="394"/>
      <c r="M45" s="394"/>
      <c r="N45" s="308"/>
      <c r="O45" s="394"/>
      <c r="P45" s="394"/>
      <c r="Q45" s="396"/>
      <c r="R45" s="169"/>
      <c r="S45" s="171" t="str">
        <f>IFERROR(VLOOKUP(G45,ESTANDAR!A:N,13,0),"O.C.")</f>
        <v>O.C.</v>
      </c>
      <c r="U45" s="171"/>
      <c r="V45" s="171"/>
      <c r="W45" s="298" t="str">
        <f t="shared" si="1"/>
        <v/>
      </c>
    </row>
    <row r="46" spans="1:23" ht="15" customHeight="1">
      <c r="A46" s="300" t="str">
        <f t="shared" si="0"/>
        <v/>
      </c>
      <c r="B46" s="397"/>
      <c r="C46" s="166"/>
      <c r="D46" s="167"/>
      <c r="E46" s="167"/>
      <c r="F46" s="165"/>
      <c r="G46" s="581"/>
      <c r="H46" s="209"/>
      <c r="I46" s="167"/>
      <c r="J46" s="304"/>
      <c r="K46" s="167"/>
      <c r="L46" s="394"/>
      <c r="M46" s="167"/>
      <c r="N46" s="168"/>
      <c r="O46" s="167"/>
      <c r="P46" s="167"/>
      <c r="Q46" s="306"/>
      <c r="R46" s="440"/>
      <c r="S46" s="171" t="str">
        <f>IFERROR(VLOOKUP(G46,ESTANDAR!A:N,13,0),"O.C.")</f>
        <v>O.C.</v>
      </c>
      <c r="U46" s="171"/>
      <c r="V46" s="171"/>
      <c r="W46" s="298" t="str">
        <f t="shared" si="1"/>
        <v/>
      </c>
    </row>
    <row r="47" spans="1:23" ht="15" customHeight="1">
      <c r="A47" s="300" t="str">
        <f t="shared" si="0"/>
        <v/>
      </c>
      <c r="B47" s="397"/>
      <c r="C47" s="434"/>
      <c r="D47" s="435"/>
      <c r="E47" s="435"/>
      <c r="F47" s="435"/>
      <c r="G47" s="581"/>
      <c r="H47" s="303"/>
      <c r="I47" s="397"/>
      <c r="J47" s="304"/>
      <c r="K47" s="397"/>
      <c r="L47" s="397"/>
      <c r="M47" s="397"/>
      <c r="N47" s="308"/>
      <c r="O47" s="397"/>
      <c r="P47" s="397"/>
      <c r="Q47" s="306"/>
      <c r="R47" s="440"/>
      <c r="S47" s="171" t="str">
        <f>IFERROR(VLOOKUP(G47,ESTANDAR!A:N,13,0),"O.C.")</f>
        <v>O.C.</v>
      </c>
      <c r="U47" s="171"/>
      <c r="V47" s="171"/>
      <c r="W47" s="298" t="str">
        <f t="shared" si="1"/>
        <v/>
      </c>
    </row>
    <row r="48" spans="1:23" ht="15" customHeight="1">
      <c r="A48" s="300" t="str">
        <f t="shared" si="0"/>
        <v/>
      </c>
      <c r="B48" s="165"/>
      <c r="C48" s="397"/>
      <c r="D48" s="435"/>
      <c r="E48" s="435"/>
      <c r="F48" s="435"/>
      <c r="G48" s="581"/>
      <c r="H48" s="303"/>
      <c r="I48" s="391"/>
      <c r="J48" s="304"/>
      <c r="K48" s="439"/>
      <c r="L48" s="393"/>
      <c r="M48" s="393"/>
      <c r="N48" s="308"/>
      <c r="O48" s="393"/>
      <c r="P48" s="393"/>
      <c r="Q48" s="306"/>
      <c r="R48" s="170"/>
      <c r="S48" s="171" t="str">
        <f>IFERROR(VLOOKUP(G48,ESTANDAR!A:N,13,0),"O.C.")</f>
        <v>O.C.</v>
      </c>
      <c r="U48" s="171"/>
      <c r="V48" s="171"/>
      <c r="W48" s="298" t="str">
        <f t="shared" si="1"/>
        <v/>
      </c>
    </row>
    <row r="49" spans="1:23" ht="15" customHeight="1">
      <c r="A49" s="300" t="str">
        <f t="shared" si="0"/>
        <v/>
      </c>
      <c r="B49" s="397"/>
      <c r="C49" s="397"/>
      <c r="D49" s="398"/>
      <c r="E49" s="398"/>
      <c r="F49" s="397"/>
      <c r="G49" s="581"/>
      <c r="H49" s="303"/>
      <c r="I49" s="391"/>
      <c r="J49" s="304"/>
      <c r="K49" s="394"/>
      <c r="L49" s="394"/>
      <c r="M49" s="394"/>
      <c r="N49" s="395"/>
      <c r="O49" s="394"/>
      <c r="P49" s="394"/>
      <c r="Q49" s="396"/>
      <c r="R49" s="440"/>
      <c r="S49" s="171" t="str">
        <f>IFERROR(VLOOKUP(G49,ESTANDAR!A:N,13,0),"O.C.")</f>
        <v>O.C.</v>
      </c>
      <c r="U49" s="171"/>
      <c r="V49" s="171"/>
      <c r="W49" s="298" t="str">
        <f t="shared" si="1"/>
        <v/>
      </c>
    </row>
    <row r="50" spans="1:23" ht="15" customHeight="1">
      <c r="A50" s="300" t="str">
        <f t="shared" si="0"/>
        <v/>
      </c>
      <c r="B50" s="397"/>
      <c r="C50" s="397"/>
      <c r="D50" s="443"/>
      <c r="E50" s="398"/>
      <c r="F50" s="397"/>
      <c r="G50" s="606"/>
      <c r="H50" s="303"/>
      <c r="I50" s="439"/>
      <c r="J50" s="304"/>
      <c r="K50" s="394"/>
      <c r="L50" s="394"/>
      <c r="M50" s="394"/>
      <c r="N50" s="605"/>
      <c r="O50" s="394"/>
      <c r="P50" s="394"/>
      <c r="Q50" s="396"/>
      <c r="R50" s="389"/>
      <c r="S50" s="171" t="str">
        <f>IFERROR(VLOOKUP(G50,ESTANDAR!A:N,13,0),"O.C.")</f>
        <v>O.C.</v>
      </c>
      <c r="U50" s="171"/>
      <c r="V50" s="171"/>
      <c r="W50" s="298" t="str">
        <f t="shared" si="1"/>
        <v/>
      </c>
    </row>
    <row r="51" spans="1:23" ht="15" customHeight="1">
      <c r="A51" s="300" t="str">
        <f t="shared" si="0"/>
        <v/>
      </c>
      <c r="B51" s="397"/>
      <c r="C51" s="397"/>
      <c r="D51" s="398"/>
      <c r="E51" s="398"/>
      <c r="F51" s="397"/>
      <c r="G51" s="606"/>
      <c r="H51" s="303"/>
      <c r="I51" s="391"/>
      <c r="J51" s="304"/>
      <c r="K51" s="394"/>
      <c r="L51" s="394"/>
      <c r="M51" s="394"/>
      <c r="N51" s="395"/>
      <c r="O51" s="394"/>
      <c r="P51" s="394"/>
      <c r="Q51" s="396"/>
      <c r="R51" s="440"/>
      <c r="S51" s="171" t="str">
        <f>IFERROR(VLOOKUP(G51,ESTANDAR!A:N,13,0),"O.C.")</f>
        <v>O.C.</v>
      </c>
      <c r="U51" s="171"/>
      <c r="V51" s="171"/>
      <c r="W51" s="298" t="str">
        <f t="shared" si="1"/>
        <v/>
      </c>
    </row>
    <row r="52" spans="1:23" ht="15" customHeight="1">
      <c r="A52" s="300" t="str">
        <f t="shared" si="0"/>
        <v/>
      </c>
      <c r="B52" s="397"/>
      <c r="C52" s="434"/>
      <c r="D52" s="434"/>
      <c r="E52" s="435"/>
      <c r="F52" s="434"/>
      <c r="G52" s="606"/>
      <c r="H52" s="303"/>
      <c r="I52" s="391"/>
      <c r="J52" s="392"/>
      <c r="K52" s="394"/>
      <c r="L52" s="394"/>
      <c r="M52" s="394"/>
      <c r="N52" s="394"/>
      <c r="O52" s="394"/>
      <c r="P52" s="394"/>
      <c r="Q52" s="396"/>
      <c r="R52" s="440"/>
      <c r="S52" s="171" t="str">
        <f>IFERROR(VLOOKUP(G52,ESTANDAR!A:N,13,0),"O.C.")</f>
        <v>O.C.</v>
      </c>
      <c r="U52" s="171"/>
      <c r="V52" s="171"/>
      <c r="W52" s="298" t="str">
        <f t="shared" si="1"/>
        <v/>
      </c>
    </row>
    <row r="53" spans="1:23" ht="15" customHeight="1">
      <c r="A53" s="300" t="str">
        <f t="shared" si="0"/>
        <v/>
      </c>
      <c r="B53" s="397"/>
      <c r="C53" s="397"/>
      <c r="D53" s="398"/>
      <c r="E53" s="398"/>
      <c r="F53" s="397"/>
      <c r="G53" s="606"/>
      <c r="H53" s="303"/>
      <c r="I53" s="391"/>
      <c r="J53" s="392"/>
      <c r="K53" s="394"/>
      <c r="L53" s="394"/>
      <c r="M53" s="394"/>
      <c r="N53" s="605"/>
      <c r="O53" s="394"/>
      <c r="P53" s="394"/>
      <c r="Q53" s="396"/>
      <c r="R53" s="169"/>
      <c r="S53" s="171" t="str">
        <f>IFERROR(VLOOKUP(G53,ESTANDAR!A:N,13,0),"O.C.")</f>
        <v>O.C.</v>
      </c>
      <c r="U53" s="171"/>
      <c r="V53" s="171"/>
      <c r="W53" s="298" t="str">
        <f t="shared" si="1"/>
        <v/>
      </c>
    </row>
    <row r="54" spans="1:23" ht="15" customHeight="1">
      <c r="A54" s="300" t="str">
        <f t="shared" si="0"/>
        <v/>
      </c>
      <c r="B54" s="397"/>
      <c r="C54" s="434"/>
      <c r="D54" s="434"/>
      <c r="E54" s="435"/>
      <c r="F54" s="434"/>
      <c r="G54" s="606"/>
      <c r="H54" s="303"/>
      <c r="I54" s="439"/>
      <c r="J54" s="464"/>
      <c r="K54" s="394"/>
      <c r="L54" s="394"/>
      <c r="M54" s="394"/>
      <c r="N54" s="394"/>
      <c r="O54" s="394"/>
      <c r="P54" s="394"/>
      <c r="Q54" s="396"/>
      <c r="R54" s="389"/>
      <c r="S54" s="171" t="str">
        <f>IFERROR(VLOOKUP(G54,ESTANDAR!A:N,13,0),"O.C.")</f>
        <v>O.C.</v>
      </c>
      <c r="U54" s="171"/>
      <c r="V54" s="171"/>
      <c r="W54" s="298" t="str">
        <f t="shared" si="1"/>
        <v/>
      </c>
    </row>
    <row r="55" spans="1:23" ht="15" customHeight="1">
      <c r="A55" s="300" t="str">
        <f t="shared" si="0"/>
        <v/>
      </c>
      <c r="B55" s="397"/>
      <c r="C55" s="434"/>
      <c r="D55" s="435"/>
      <c r="E55" s="435"/>
      <c r="F55" s="435"/>
      <c r="G55" s="606"/>
      <c r="H55" s="303"/>
      <c r="I55" s="439"/>
      <c r="J55" s="392"/>
      <c r="K55" s="394"/>
      <c r="L55" s="394"/>
      <c r="M55" s="394"/>
      <c r="N55" s="395"/>
      <c r="O55" s="394"/>
      <c r="P55" s="394"/>
      <c r="Q55" s="396"/>
      <c r="R55" s="440"/>
      <c r="S55" s="171" t="str">
        <f>IFERROR(VLOOKUP(G55,ESTANDAR!A:N,13,0),"O.C.")</f>
        <v>O.C.</v>
      </c>
      <c r="U55" s="171"/>
      <c r="V55" s="171"/>
      <c r="W55" s="298" t="str">
        <f t="shared" si="1"/>
        <v/>
      </c>
    </row>
    <row r="56" spans="1:23" ht="15" customHeight="1">
      <c r="A56" s="300" t="str">
        <f t="shared" si="0"/>
        <v/>
      </c>
      <c r="B56" s="397"/>
      <c r="C56" s="434"/>
      <c r="D56" s="434"/>
      <c r="E56" s="434"/>
      <c r="F56" s="434"/>
      <c r="G56" s="606"/>
      <c r="H56" s="303"/>
      <c r="I56" s="439"/>
      <c r="J56" s="304"/>
      <c r="K56" s="394"/>
      <c r="L56" s="394"/>
      <c r="M56" s="394"/>
      <c r="N56" s="605"/>
      <c r="O56" s="394"/>
      <c r="P56" s="394"/>
      <c r="Q56" s="396"/>
      <c r="R56" s="389"/>
      <c r="S56" s="171" t="str">
        <f>IFERROR(VLOOKUP(G56,ESTANDAR!A:N,13,0),"O.C.")</f>
        <v>O.C.</v>
      </c>
      <c r="U56" s="171"/>
      <c r="V56" s="171"/>
      <c r="W56" s="298" t="str">
        <f t="shared" si="1"/>
        <v/>
      </c>
    </row>
    <row r="57" spans="1:23" ht="15" customHeight="1">
      <c r="A57" s="300" t="str">
        <f t="shared" si="0"/>
        <v/>
      </c>
      <c r="B57" s="165"/>
      <c r="C57" s="397"/>
      <c r="D57" s="398"/>
      <c r="E57" s="398"/>
      <c r="F57" s="397"/>
      <c r="G57" s="606"/>
      <c r="H57" s="303"/>
      <c r="I57" s="391"/>
      <c r="J57" s="304"/>
      <c r="K57" s="394"/>
      <c r="L57" s="394"/>
      <c r="M57" s="394"/>
      <c r="N57" s="605"/>
      <c r="O57" s="394"/>
      <c r="P57" s="394"/>
      <c r="Q57" s="396"/>
      <c r="R57" s="169"/>
      <c r="S57" s="171" t="str">
        <f>IFERROR(VLOOKUP(G57,ESTANDAR!A:N,13,0),"O.C.")</f>
        <v>O.C.</v>
      </c>
      <c r="U57" s="171"/>
      <c r="V57" s="171"/>
      <c r="W57" s="298" t="str">
        <f t="shared" si="1"/>
        <v/>
      </c>
    </row>
    <row r="58" spans="1:23" ht="15" customHeight="1">
      <c r="A58" s="300" t="str">
        <f t="shared" si="0"/>
        <v/>
      </c>
      <c r="B58" s="165"/>
      <c r="C58" s="397"/>
      <c r="D58" s="435"/>
      <c r="E58" s="435"/>
      <c r="F58" s="435"/>
      <c r="G58" s="606"/>
      <c r="H58" s="303"/>
      <c r="I58" s="439"/>
      <c r="J58" s="392"/>
      <c r="K58" s="394"/>
      <c r="L58" s="394"/>
      <c r="M58" s="394"/>
      <c r="N58" s="308"/>
      <c r="O58" s="394"/>
      <c r="P58" s="394"/>
      <c r="Q58" s="396"/>
      <c r="R58" s="440"/>
      <c r="S58" s="171" t="str">
        <f>IFERROR(VLOOKUP(G58,ESTANDAR!A:N,13,0),"O.C.")</f>
        <v>O.C.</v>
      </c>
      <c r="U58" s="171"/>
      <c r="V58" s="171"/>
      <c r="W58" s="298" t="str">
        <f t="shared" si="1"/>
        <v/>
      </c>
    </row>
    <row r="59" spans="1:23" ht="15" customHeight="1">
      <c r="A59" s="300" t="str">
        <f t="shared" si="0"/>
        <v/>
      </c>
      <c r="B59" s="165"/>
      <c r="C59" s="166"/>
      <c r="D59" s="305"/>
      <c r="E59" s="306"/>
      <c r="F59" s="307"/>
      <c r="G59" s="584"/>
      <c r="H59" s="209"/>
      <c r="I59" s="167"/>
      <c r="J59" s="392"/>
      <c r="K59" s="167"/>
      <c r="L59" s="394"/>
      <c r="M59" s="167"/>
      <c r="N59" s="605"/>
      <c r="O59" s="167"/>
      <c r="P59" s="167"/>
      <c r="Q59" s="396"/>
      <c r="R59" s="169"/>
      <c r="S59" s="171" t="str">
        <f>IFERROR(VLOOKUP(G59,ESTANDAR!A:N,13,0),"O.C.")</f>
        <v>O.C.</v>
      </c>
      <c r="U59" s="171"/>
      <c r="V59" s="171"/>
      <c r="W59" s="298" t="str">
        <f t="shared" si="1"/>
        <v/>
      </c>
    </row>
    <row r="60" spans="1:23" ht="15" customHeight="1">
      <c r="A60" s="300" t="str">
        <f t="shared" si="0"/>
        <v/>
      </c>
      <c r="B60" s="397"/>
      <c r="C60" s="434"/>
      <c r="D60" s="443"/>
      <c r="E60" s="398"/>
      <c r="F60" s="397"/>
      <c r="G60" s="584"/>
      <c r="H60" s="303"/>
      <c r="I60" s="439"/>
      <c r="J60" s="392"/>
      <c r="K60" s="394"/>
      <c r="L60" s="394"/>
      <c r="M60" s="394"/>
      <c r="N60" s="605"/>
      <c r="O60" s="394"/>
      <c r="P60" s="394"/>
      <c r="Q60" s="396"/>
      <c r="R60" s="169"/>
      <c r="S60" s="171" t="str">
        <f>IFERROR(VLOOKUP(G60,ESTANDAR!A:N,13,0),"O.C.")</f>
        <v>O.C.</v>
      </c>
      <c r="U60" s="171"/>
      <c r="V60" s="171"/>
      <c r="W60" s="298" t="str">
        <f t="shared" si="1"/>
        <v/>
      </c>
    </row>
    <row r="61" spans="1:23" ht="15" customHeight="1">
      <c r="A61" s="300" t="str">
        <f t="shared" si="0"/>
        <v/>
      </c>
      <c r="B61" s="397"/>
      <c r="C61" s="397"/>
      <c r="D61" s="398"/>
      <c r="E61" s="398"/>
      <c r="F61" s="397"/>
      <c r="G61" s="584"/>
      <c r="H61" s="303"/>
      <c r="I61" s="391"/>
      <c r="J61" s="392"/>
      <c r="K61" s="394"/>
      <c r="L61" s="394"/>
      <c r="M61" s="394"/>
      <c r="N61" s="394"/>
      <c r="O61" s="394"/>
      <c r="P61" s="394"/>
      <c r="Q61" s="396"/>
      <c r="R61" s="440"/>
      <c r="S61" s="171" t="str">
        <f>IFERROR(VLOOKUP(G61,ESTANDAR!A:N,13,0),"O.C.")</f>
        <v>O.C.</v>
      </c>
      <c r="U61" s="171"/>
      <c r="V61" s="171"/>
      <c r="W61" s="298" t="str">
        <f t="shared" si="1"/>
        <v/>
      </c>
    </row>
    <row r="62" spans="1:23" ht="15" customHeight="1">
      <c r="A62" s="300" t="str">
        <f t="shared" si="0"/>
        <v/>
      </c>
      <c r="B62" s="165"/>
      <c r="C62" s="397"/>
      <c r="D62" s="398"/>
      <c r="E62" s="398"/>
      <c r="F62" s="397"/>
      <c r="G62" s="581"/>
      <c r="H62" s="303"/>
      <c r="I62" s="391"/>
      <c r="J62" s="304"/>
      <c r="K62" s="394"/>
      <c r="L62" s="394"/>
      <c r="M62" s="394"/>
      <c r="N62" s="394"/>
      <c r="O62" s="394"/>
      <c r="P62" s="394"/>
      <c r="Q62" s="169"/>
      <c r="R62" s="440"/>
      <c r="S62" s="171" t="str">
        <f>IFERROR(VLOOKUP(G62,ESTANDAR!A:N,13,0),"O.C.")</f>
        <v>O.C.</v>
      </c>
      <c r="U62" s="171"/>
      <c r="V62" s="171"/>
      <c r="W62" s="298" t="str">
        <f t="shared" si="1"/>
        <v/>
      </c>
    </row>
    <row r="63" spans="1:23" ht="15" customHeight="1">
      <c r="A63" s="300" t="str">
        <f t="shared" si="0"/>
        <v/>
      </c>
      <c r="B63" s="397"/>
      <c r="C63" s="397"/>
      <c r="D63" s="398"/>
      <c r="E63" s="398"/>
      <c r="F63" s="397"/>
      <c r="G63" s="581"/>
      <c r="H63" s="303"/>
      <c r="I63" s="439"/>
      <c r="J63" s="392"/>
      <c r="K63" s="394"/>
      <c r="L63" s="394"/>
      <c r="M63" s="394"/>
      <c r="N63" s="308"/>
      <c r="O63" s="394"/>
      <c r="P63" s="394"/>
      <c r="Q63" s="306"/>
      <c r="R63" s="440"/>
      <c r="S63" s="171" t="str">
        <f>IFERROR(VLOOKUP(G63,ESTANDAR!A:N,13,0),"O.C.")</f>
        <v>O.C.</v>
      </c>
      <c r="U63" s="171"/>
      <c r="V63" s="171"/>
      <c r="W63" s="298" t="str">
        <f t="shared" si="1"/>
        <v/>
      </c>
    </row>
    <row r="64" spans="1:23" ht="15" customHeight="1">
      <c r="A64" s="300" t="str">
        <f t="shared" si="0"/>
        <v/>
      </c>
      <c r="B64" s="165"/>
      <c r="C64" s="166"/>
      <c r="D64" s="167"/>
      <c r="E64" s="167"/>
      <c r="F64" s="165"/>
      <c r="G64" s="581"/>
      <c r="H64" s="209"/>
      <c r="I64" s="167"/>
      <c r="J64" s="304"/>
      <c r="K64" s="167"/>
      <c r="L64" s="167"/>
      <c r="M64" s="167"/>
      <c r="N64" s="394"/>
      <c r="O64" s="167"/>
      <c r="P64" s="167"/>
      <c r="Q64" s="306"/>
      <c r="R64" s="440"/>
      <c r="S64" s="171" t="str">
        <f>IFERROR(VLOOKUP(G64,ESTANDAR!A:N,13,0),"O.C.")</f>
        <v>O.C.</v>
      </c>
      <c r="U64" s="171"/>
      <c r="V64" s="171"/>
      <c r="W64" s="298" t="str">
        <f t="shared" si="1"/>
        <v/>
      </c>
    </row>
    <row r="65" spans="1:23" ht="15">
      <c r="A65" s="300" t="str">
        <f t="shared" si="0"/>
        <v/>
      </c>
      <c r="B65" s="165"/>
      <c r="C65" s="166"/>
      <c r="D65" s="305"/>
      <c r="E65" s="306"/>
      <c r="F65" s="307"/>
      <c r="G65" s="581"/>
      <c r="H65" s="303"/>
      <c r="I65" s="306"/>
      <c r="J65" s="304"/>
      <c r="K65" s="306"/>
      <c r="L65" s="306"/>
      <c r="M65" s="306"/>
      <c r="N65" s="308"/>
      <c r="O65" s="306"/>
      <c r="P65" s="306"/>
      <c r="Q65" s="306"/>
      <c r="R65" s="440"/>
      <c r="S65" s="171" t="str">
        <f>IFERROR(VLOOKUP(G65,ESTANDAR!A:N,13,0),"O.C.")</f>
        <v>O.C.</v>
      </c>
      <c r="U65" s="171"/>
      <c r="V65" s="171"/>
      <c r="W65" s="298" t="str">
        <f t="shared" si="1"/>
        <v/>
      </c>
    </row>
    <row r="66" spans="1:23" ht="15">
      <c r="A66" s="300" t="str">
        <f t="shared" si="0"/>
        <v/>
      </c>
      <c r="B66" s="397"/>
      <c r="C66" s="397"/>
      <c r="D66" s="443"/>
      <c r="E66" s="398"/>
      <c r="F66" s="397"/>
      <c r="G66" s="581"/>
      <c r="H66" s="303"/>
      <c r="I66" s="439"/>
      <c r="J66" s="304"/>
      <c r="K66" s="394"/>
      <c r="L66" s="394"/>
      <c r="M66" s="394"/>
      <c r="N66" s="394"/>
      <c r="O66" s="394"/>
      <c r="P66" s="394"/>
      <c r="Q66" s="396"/>
      <c r="R66" s="440"/>
      <c r="S66" s="171" t="str">
        <f>IFERROR(VLOOKUP(G66,ESTANDAR!A:N,13,0),"O.C.")</f>
        <v>O.C.</v>
      </c>
      <c r="U66" s="171"/>
      <c r="V66" s="171"/>
      <c r="W66" s="298" t="str">
        <f t="shared" si="1"/>
        <v/>
      </c>
    </row>
    <row r="67" spans="1:23" ht="15">
      <c r="A67" s="300" t="str">
        <f t="shared" si="0"/>
        <v/>
      </c>
      <c r="B67" s="397"/>
      <c r="C67" s="397"/>
      <c r="D67" s="435"/>
      <c r="E67" s="435"/>
      <c r="F67" s="435"/>
      <c r="G67" s="581"/>
      <c r="H67" s="303"/>
      <c r="I67" s="439"/>
      <c r="J67" s="392"/>
      <c r="K67" s="394"/>
      <c r="L67" s="394"/>
      <c r="M67" s="394"/>
      <c r="N67" s="395"/>
      <c r="O67" s="394"/>
      <c r="P67" s="394"/>
      <c r="Q67" s="396"/>
      <c r="R67" s="440"/>
      <c r="S67" s="171" t="str">
        <f>IFERROR(VLOOKUP(G67,ESTANDAR!A:N,13,0),"O.C.")</f>
        <v>O.C.</v>
      </c>
      <c r="U67" s="171"/>
      <c r="V67" s="171"/>
      <c r="W67" s="298" t="str">
        <f t="shared" si="1"/>
        <v/>
      </c>
    </row>
    <row r="68" spans="1:23" ht="15">
      <c r="A68" s="300" t="str">
        <f t="shared" si="0"/>
        <v/>
      </c>
      <c r="B68" s="397"/>
      <c r="C68" s="397"/>
      <c r="D68" s="443"/>
      <c r="E68" s="398"/>
      <c r="F68" s="397"/>
      <c r="G68" s="581"/>
      <c r="H68" s="303"/>
      <c r="I68" s="439"/>
      <c r="J68" s="392"/>
      <c r="K68" s="394"/>
      <c r="L68" s="394"/>
      <c r="M68" s="394"/>
      <c r="N68" s="395"/>
      <c r="O68" s="394"/>
      <c r="P68" s="394"/>
      <c r="Q68" s="396"/>
      <c r="R68" s="440"/>
      <c r="S68" s="171" t="str">
        <f>IFERROR(VLOOKUP(G68,ESTANDAR!A:N,13,0),"O.C.")</f>
        <v>O.C.</v>
      </c>
      <c r="U68" s="171"/>
      <c r="V68" s="171"/>
      <c r="W68" s="298" t="str">
        <f t="shared" si="1"/>
        <v/>
      </c>
    </row>
    <row r="69" spans="1:23" ht="15">
      <c r="A69" s="300" t="str">
        <f t="shared" si="0"/>
        <v/>
      </c>
      <c r="B69" s="165"/>
      <c r="C69" s="166"/>
      <c r="D69" s="305"/>
      <c r="E69" s="306"/>
      <c r="F69" s="307"/>
      <c r="G69" s="581"/>
      <c r="H69" s="209"/>
      <c r="I69" s="167"/>
      <c r="J69" s="304"/>
      <c r="K69" s="167"/>
      <c r="L69" s="167"/>
      <c r="M69" s="167"/>
      <c r="N69" s="168"/>
      <c r="O69" s="167"/>
      <c r="P69" s="167"/>
      <c r="Q69" s="306"/>
      <c r="R69" s="169"/>
      <c r="S69" s="171" t="str">
        <f>IFERROR(VLOOKUP(G69,ESTANDAR!A:N,13,0),"O.C.")</f>
        <v>O.C.</v>
      </c>
      <c r="U69" s="171"/>
      <c r="V69" s="171"/>
      <c r="W69" s="298" t="str">
        <f t="shared" si="1"/>
        <v/>
      </c>
    </row>
    <row r="70" spans="1:23" ht="15">
      <c r="A70" s="300" t="str">
        <f t="shared" si="0"/>
        <v/>
      </c>
      <c r="B70" s="165"/>
      <c r="C70" s="166"/>
      <c r="D70" s="305"/>
      <c r="E70" s="306"/>
      <c r="F70" s="307"/>
      <c r="G70" s="581"/>
      <c r="H70" s="303"/>
      <c r="I70" s="306"/>
      <c r="J70" s="304"/>
      <c r="K70" s="306"/>
      <c r="L70" s="306"/>
      <c r="M70" s="306"/>
      <c r="N70" s="308"/>
      <c r="O70" s="306"/>
      <c r="P70" s="306"/>
      <c r="Q70" s="169"/>
      <c r="R70" s="169"/>
      <c r="S70" s="171" t="str">
        <f>IFERROR(VLOOKUP(G70,ESTANDAR!A:N,13,0),"O.C.")</f>
        <v>O.C.</v>
      </c>
      <c r="U70" s="171"/>
      <c r="V70" s="171"/>
      <c r="W70" s="298" t="str">
        <f t="shared" si="1"/>
        <v/>
      </c>
    </row>
    <row r="71" spans="1:23" ht="15">
      <c r="A71" s="300" t="str">
        <f t="shared" si="0"/>
        <v/>
      </c>
      <c r="B71" s="165"/>
      <c r="C71" s="166"/>
      <c r="D71" s="305"/>
      <c r="E71" s="306"/>
      <c r="F71" s="307"/>
      <c r="G71" s="581"/>
      <c r="H71" s="303"/>
      <c r="I71" s="306"/>
      <c r="J71" s="304"/>
      <c r="K71" s="306"/>
      <c r="L71" s="306"/>
      <c r="M71" s="306"/>
      <c r="N71" s="308"/>
      <c r="O71" s="306"/>
      <c r="P71" s="306"/>
      <c r="Q71" s="306"/>
      <c r="R71" s="169"/>
      <c r="S71" s="171" t="str">
        <f>IFERROR(VLOOKUP(G71,ESTANDAR!A:N,13,0),"O.C.")</f>
        <v>O.C.</v>
      </c>
      <c r="U71" s="171"/>
      <c r="V71" s="171"/>
      <c r="W71" s="298" t="str">
        <f t="shared" si="1"/>
        <v/>
      </c>
    </row>
    <row r="72" spans="1:23" ht="15">
      <c r="A72" s="300" t="str">
        <f t="shared" si="0"/>
        <v/>
      </c>
      <c r="B72" s="165"/>
      <c r="C72" s="166"/>
      <c r="D72" s="305"/>
      <c r="E72" s="306"/>
      <c r="F72" s="307"/>
      <c r="G72" s="581"/>
      <c r="H72" s="209"/>
      <c r="I72" s="167"/>
      <c r="J72" s="304"/>
      <c r="K72" s="167"/>
      <c r="L72" s="167"/>
      <c r="M72" s="167"/>
      <c r="N72" s="168"/>
      <c r="O72" s="167"/>
      <c r="P72" s="167"/>
      <c r="Q72" s="306"/>
      <c r="R72" s="169"/>
      <c r="S72" s="171" t="str">
        <f>IFERROR(VLOOKUP(G72,ESTANDAR!A:N,13,0),"O.C.")</f>
        <v>O.C.</v>
      </c>
      <c r="U72" s="171"/>
      <c r="V72" s="171"/>
      <c r="W72" s="298" t="str">
        <f t="shared" si="1"/>
        <v/>
      </c>
    </row>
    <row r="73" spans="1:23" ht="15">
      <c r="A73" s="300" t="str">
        <f t="shared" si="0"/>
        <v/>
      </c>
      <c r="B73" s="397"/>
      <c r="C73" s="397"/>
      <c r="D73" s="443"/>
      <c r="E73" s="398"/>
      <c r="F73" s="397"/>
      <c r="G73" s="581"/>
      <c r="H73" s="303"/>
      <c r="I73" s="439"/>
      <c r="J73" s="304"/>
      <c r="K73" s="394"/>
      <c r="L73" s="394"/>
      <c r="M73" s="394"/>
      <c r="N73" s="395"/>
      <c r="O73" s="394"/>
      <c r="P73" s="394"/>
      <c r="Q73" s="396"/>
      <c r="R73" s="440"/>
      <c r="S73" s="171" t="str">
        <f>IFERROR(VLOOKUP(G73,ESTANDAR!A:N,13,0),"O.C.")</f>
        <v>O.C.</v>
      </c>
      <c r="U73" s="171"/>
      <c r="V73" s="171"/>
      <c r="W73" s="298" t="str">
        <f t="shared" si="1"/>
        <v/>
      </c>
    </row>
    <row r="74" spans="1:23" ht="15">
      <c r="A74" s="300" t="str">
        <f t="shared" si="0"/>
        <v/>
      </c>
      <c r="B74" s="397"/>
      <c r="C74" s="397"/>
      <c r="D74" s="398"/>
      <c r="E74" s="398"/>
      <c r="F74" s="397"/>
      <c r="G74" s="581"/>
      <c r="H74" s="303"/>
      <c r="I74" s="439"/>
      <c r="J74" s="304"/>
      <c r="K74" s="394"/>
      <c r="L74" s="394"/>
      <c r="M74" s="394"/>
      <c r="N74" s="395"/>
      <c r="O74" s="394"/>
      <c r="P74" s="394"/>
      <c r="Q74" s="394"/>
      <c r="R74" s="440"/>
      <c r="S74" s="171" t="str">
        <f>IFERROR(VLOOKUP(G74,ESTANDAR!A:N,13,0),"O.C.")</f>
        <v>O.C.</v>
      </c>
      <c r="U74" s="171"/>
      <c r="V74" s="171"/>
      <c r="W74" s="298" t="str">
        <f t="shared" si="1"/>
        <v/>
      </c>
    </row>
    <row r="75" spans="1:23" ht="15">
      <c r="A75" s="300" t="str">
        <f t="shared" si="0"/>
        <v/>
      </c>
      <c r="B75" s="165"/>
      <c r="C75" s="307"/>
      <c r="D75" s="305"/>
      <c r="E75" s="306"/>
      <c r="F75" s="307"/>
      <c r="G75" s="581"/>
      <c r="H75" s="303"/>
      <c r="I75" s="306"/>
      <c r="J75" s="304"/>
      <c r="K75" s="306"/>
      <c r="L75" s="306"/>
      <c r="M75" s="306"/>
      <c r="N75" s="308"/>
      <c r="O75" s="306"/>
      <c r="P75" s="306"/>
      <c r="Q75" s="306"/>
      <c r="R75" s="169"/>
      <c r="S75" s="171" t="str">
        <f>IFERROR(VLOOKUP(G75,ESTANDAR!A:N,13,0),"O.C.")</f>
        <v>O.C.</v>
      </c>
      <c r="U75" s="171"/>
      <c r="V75" s="171"/>
      <c r="W75" s="298" t="str">
        <f t="shared" si="1"/>
        <v/>
      </c>
    </row>
  </sheetData>
  <sheetProtection selectLockedCells="1"/>
  <sortState ref="B12:V75">
    <sortCondition ref="S12:S75"/>
    <sortCondition ref="J12:J75"/>
    <sortCondition ref="B12:B75"/>
  </sortState>
  <dataConsolidate/>
  <mergeCells count="14">
    <mergeCell ref="U10:V10"/>
    <mergeCell ref="A10:S10"/>
    <mergeCell ref="A1:B1"/>
    <mergeCell ref="G5:L5"/>
    <mergeCell ref="G6:L6"/>
    <mergeCell ref="G7:L7"/>
    <mergeCell ref="G8:L8"/>
    <mergeCell ref="F1:J1"/>
    <mergeCell ref="I2:J2"/>
    <mergeCell ref="F2:G2"/>
    <mergeCell ref="R1:R2"/>
    <mergeCell ref="N1:O2"/>
    <mergeCell ref="U6:U7"/>
    <mergeCell ref="O9:P9"/>
  </mergeCells>
  <conditionalFormatting sqref="S12">
    <cfRule type="cellIs" dxfId="168" priority="12" operator="equal">
      <formula>"O.C."</formula>
    </cfRule>
  </conditionalFormatting>
  <conditionalFormatting sqref="S37:S75 S13:S30">
    <cfRule type="cellIs" dxfId="167" priority="11" operator="equal">
      <formula>"O.C."</formula>
    </cfRule>
  </conditionalFormatting>
  <conditionalFormatting sqref="S31:S38">
    <cfRule type="cellIs" dxfId="166" priority="8" operator="equal">
      <formula>"O.C."</formula>
    </cfRule>
  </conditionalFormatting>
  <conditionalFormatting sqref="A6">
    <cfRule type="containsText" dxfId="165" priority="4" operator="containsText" text="a">
      <formula>NOT(ISERROR(SEARCH("a",A6)))</formula>
    </cfRule>
    <cfRule type="containsText" dxfId="164" priority="5" operator="containsText" text="n">
      <formula>NOT(ISERROR(SEARCH("n",A6)))</formula>
    </cfRule>
  </conditionalFormatting>
  <conditionalFormatting sqref="U8">
    <cfRule type="expression" dxfId="163" priority="3">
      <formula>$U$9="x"</formula>
    </cfRule>
  </conditionalFormatting>
  <conditionalFormatting sqref="V8">
    <cfRule type="expression" dxfId="162" priority="2">
      <formula>$V$9="x"</formula>
    </cfRule>
  </conditionalFormatting>
  <dataValidations count="1">
    <dataValidation type="list" allowBlank="1" showInputMessage="1" showErrorMessage="1" sqref="B6" xr:uid="{00000000-0002-0000-0400-000000000000}">
      <formula1>"ADULTOS,NEO+PED"</formula1>
    </dataValidation>
  </dataValidations>
  <printOptions horizontalCentered="1" verticalCentered="1"/>
  <pageMargins left="0.31496062992125984" right="0.95" top="0.39" bottom="0.55118110236220474" header="0" footer="0"/>
  <pageSetup scale="80" orientation="landscape" r:id="rId1"/>
  <drawing r:id="rId2"/>
  <legacyDrawing r:id="rId3"/>
  <controls>
    <mc:AlternateContent xmlns:mc="http://schemas.openxmlformats.org/markup-compatibility/2006">
      <mc:Choice Requires="x14">
        <control shapeId="4123" r:id="rId4" name="CommandButton2">
          <controlPr defaultSize="0" autoLine="0" r:id="rId5">
            <anchor moveWithCells="1">
              <from>
                <xdr:col>21</xdr:col>
                <xdr:colOff>19050</xdr:colOff>
                <xdr:row>8</xdr:row>
                <xdr:rowOff>28575</xdr:rowOff>
              </from>
              <to>
                <xdr:col>21</xdr:col>
                <xdr:colOff>647700</xdr:colOff>
                <xdr:row>9</xdr:row>
                <xdr:rowOff>0</xdr:rowOff>
              </to>
            </anchor>
          </controlPr>
        </control>
      </mc:Choice>
      <mc:Fallback>
        <control shapeId="4123" r:id="rId4" name="CommandButton2"/>
      </mc:Fallback>
    </mc:AlternateContent>
    <mc:AlternateContent xmlns:mc="http://schemas.openxmlformats.org/markup-compatibility/2006">
      <mc:Choice Requires="x14">
        <control shapeId="4122" r:id="rId6" name="CommandButton1">
          <controlPr defaultSize="0" autoLine="0" r:id="rId7">
            <anchor moveWithCells="1">
              <from>
                <xdr:col>20</xdr:col>
                <xdr:colOff>19050</xdr:colOff>
                <xdr:row>8</xdr:row>
                <xdr:rowOff>9525</xdr:rowOff>
              </from>
              <to>
                <xdr:col>21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4122" r:id="rId6" name="CommandButton1"/>
      </mc:Fallback>
    </mc:AlternateContent>
    <mc:AlternateContent xmlns:mc="http://schemas.openxmlformats.org/markup-compatibility/2006">
      <mc:Choice Requires="x14">
        <control shapeId="4100" r:id="rId8" name="ComboBox1">
          <controlPr defaultSize="0" autoLine="0" linkedCell="A1" listFillRange="No_CLIENTES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28575</xdr:colOff>
                <xdr:row>2</xdr:row>
                <xdr:rowOff>9525</xdr:rowOff>
              </to>
            </anchor>
          </controlPr>
        </control>
      </mc:Choice>
      <mc:Fallback>
        <control shapeId="4100" r:id="rId8" name="ComboBox1"/>
      </mc:Fallback>
    </mc:AlternateContent>
    <mc:AlternateContent xmlns:mc="http://schemas.openxmlformats.org/markup-compatibility/2006">
      <mc:Choice Requires="x14">
        <control shapeId="4112" r:id="rId10" name="ADULTO">
          <controlPr defaultSize="0" autoLine="0" r:id="rId11">
            <anchor moveWithCells="1">
              <from>
                <xdr:col>0</xdr:col>
                <xdr:colOff>1276350</xdr:colOff>
                <xdr:row>4</xdr:row>
                <xdr:rowOff>342900</xdr:rowOff>
              </from>
              <to>
                <xdr:col>1</xdr:col>
                <xdr:colOff>1009650</xdr:colOff>
                <xdr:row>6</xdr:row>
                <xdr:rowOff>19050</xdr:rowOff>
              </to>
            </anchor>
          </controlPr>
        </control>
      </mc:Choice>
      <mc:Fallback>
        <control shapeId="4112" r:id="rId10" name="ADULTO"/>
      </mc:Fallback>
    </mc:AlternateContent>
    <mc:AlternateContent xmlns:mc="http://schemas.openxmlformats.org/markup-compatibility/2006">
      <mc:Choice Requires="x14">
        <control shapeId="4121" r:id="rId12" name="NEO_PED">
          <controlPr defaultSize="0" autoLine="0" r:id="rId13">
            <anchor moveWithCells="1">
              <from>
                <xdr:col>1</xdr:col>
                <xdr:colOff>1009650</xdr:colOff>
                <xdr:row>4</xdr:row>
                <xdr:rowOff>342900</xdr:rowOff>
              </from>
              <to>
                <xdr:col>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4121" r:id="rId12" name="NEO_P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C4A0F7A-4A50-4DE5-A50B-90B8315504B9}">
            <xm:f>LEFT(VLOOKUP($G12,ESTANDAR!$A:$B,2,FALSE),9)=LEFT($H12,9)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G76:H1048576 H12:H30 H37:H75</xm:sqref>
        </x14:conditionalFormatting>
        <x14:conditionalFormatting xmlns:xm="http://schemas.microsoft.com/office/excel/2006/main">
          <x14:cfRule type="expression" priority="7" id="{3294FA68-AB7A-42DB-A6A0-144444172E4C}">
            <xm:f>LEFT(VLOOKUP($G31,ESTANDAR!$A:$B,2,FALSE),9)=LEFT($H31,9)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H31:H38</xm:sqref>
        </x14:conditionalFormatting>
        <x14:conditionalFormatting xmlns:xm="http://schemas.microsoft.com/office/excel/2006/main">
          <x14:cfRule type="expression" priority="1" id="{24986356-E744-4C7E-AD15-D31AD96CA6B5}">
            <xm:f>LEFT(VLOOKUP($G11,ESTANDAR!$A:$B,2,FALSE),9)=LEFT($H11,9)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m:sqref>G11:G75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LOTES!$H$29:$H$34</xm:f>
          </x14:formula1>
          <xm:sqref>C2</xm:sqref>
        </x14:dataValidation>
        <x14:dataValidation type="list" allowBlank="1" showInputMessage="1" showErrorMessage="1" xr:uid="{00000000-0002-0000-0400-000002000000}">
          <x14:formula1>
            <xm:f>LOTES!$J$4:$J$7</xm:f>
          </x14:formula1>
          <xm:sqref>B8</xm:sqref>
        </x14:dataValidation>
        <x14:dataValidation type="list" allowBlank="1" showInputMessage="1" showErrorMessage="1" xr:uid="{00000000-0002-0000-0400-000003000000}">
          <x14:formula1>
            <xm:f>LOTES!$H$4:$H$9</xm:f>
          </x14:formula1>
          <xm:sqref>B7</xm:sqref>
        </x14:dataValidation>
        <x14:dataValidation type="list" allowBlank="1" showInputMessage="1" showErrorMessage="1" xr:uid="{00000000-0002-0000-0400-000004000000}">
          <x14:formula1>
            <xm:f>LOTES!$I$4:$I$8</xm:f>
          </x14:formula1>
          <xm:sqref>B9</xm:sqref>
        </x14:dataValidation>
        <x14:dataValidation type="list" allowBlank="1" showInputMessage="1" showErrorMessage="1" xr:uid="{00000000-0002-0000-0400-000005000000}">
          <x14:formula1>
            <xm:f>LOTES!$N$3:$N$90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pageSetUpPr fitToPage="1"/>
  </sheetPr>
  <dimension ref="A1:AC144"/>
  <sheetViews>
    <sheetView view="pageBreakPreview" zoomScale="70" zoomScaleNormal="104" zoomScaleSheetLayoutView="70" workbookViewId="0">
      <selection activeCell="A2" sqref="A2:B3"/>
    </sheetView>
  </sheetViews>
  <sheetFormatPr defaultColWidth="11.42578125" defaultRowHeight="20.100000000000001" customHeight="1"/>
  <cols>
    <col min="1" max="1" width="20.85546875" style="62" customWidth="1"/>
    <col min="2" max="2" width="39.42578125" style="62" customWidth="1"/>
    <col min="3" max="3" width="11.5703125" style="205" bestFit="1" customWidth="1"/>
    <col min="4" max="4" width="2.7109375" style="206" customWidth="1"/>
    <col min="5" max="5" width="4.7109375" style="206" customWidth="1"/>
    <col min="6" max="6" width="2.7109375" style="206" customWidth="1"/>
    <col min="7" max="7" width="4.7109375" style="206" customWidth="1"/>
    <col min="8" max="8" width="33.7109375" style="62" bestFit="1" customWidth="1"/>
    <col min="9" max="9" width="4.42578125" style="62" customWidth="1"/>
    <col min="10" max="10" width="15.42578125" style="62" bestFit="1" customWidth="1"/>
    <col min="11" max="11" width="8.85546875" style="62" customWidth="1"/>
    <col min="12" max="12" width="17.28515625" style="62" bestFit="1" customWidth="1"/>
    <col min="13" max="13" width="13.7109375" style="62" customWidth="1"/>
    <col min="14" max="14" width="14.140625" style="63" customWidth="1"/>
    <col min="15" max="15" width="10.140625" style="62" customWidth="1"/>
    <col min="16" max="16" width="14" style="180" customWidth="1"/>
    <col min="17" max="17" width="14" style="62" bestFit="1" customWidth="1"/>
    <col min="18" max="18" width="19.28515625" style="64" customWidth="1"/>
    <col min="19" max="19" width="18.140625" style="65" customWidth="1"/>
    <col min="20" max="20" width="6.28515625" style="65" customWidth="1"/>
    <col min="21" max="21" width="6.5703125" style="62" customWidth="1"/>
    <col min="22" max="23" width="5.140625" style="62" customWidth="1"/>
    <col min="24" max="24" width="7.140625" style="62" hidden="1" customWidth="1"/>
    <col min="25" max="27" width="11.42578125" style="62" hidden="1" customWidth="1"/>
    <col min="28" max="28" width="4.7109375" style="62" customWidth="1"/>
    <col min="29" max="29" width="14.5703125" style="62" bestFit="1" customWidth="1"/>
    <col min="30" max="16384" width="11.42578125" style="62"/>
  </cols>
  <sheetData>
    <row r="1" spans="1:29" ht="12.75">
      <c r="A1" s="702" t="str">
        <f ca="1">"FR PD 001 "&amp;VLOOKUP('FORMATO DIL'!$B$2,LOTES!$N:$Q,4,FALSE)&amp;" "&amp;'FORMATO DIL'!$C$4&amp;" "&amp;TEXT(B70,"DDMMYY")&amp;"-"&amp;'FR PD 001 V1'!Q70</f>
        <v>FR PD 001 IV JPC SEXTO NORTE  040822-0</v>
      </c>
      <c r="B1" s="702"/>
      <c r="C1" s="421" t="s">
        <v>850</v>
      </c>
      <c r="D1" s="420">
        <v>2</v>
      </c>
      <c r="E1" s="420"/>
      <c r="F1" s="703" t="s">
        <v>851</v>
      </c>
      <c r="G1" s="703"/>
      <c r="H1" s="420" t="s">
        <v>840</v>
      </c>
      <c r="I1" s="420"/>
      <c r="J1" s="420"/>
      <c r="K1" s="702"/>
      <c r="L1" s="702"/>
      <c r="M1" s="702"/>
      <c r="N1" s="420"/>
      <c r="O1" s="420"/>
      <c r="P1" s="420"/>
      <c r="Q1" s="420"/>
      <c r="R1" s="420"/>
      <c r="V1" s="412"/>
      <c r="W1" s="412"/>
      <c r="X1" s="412"/>
    </row>
    <row r="2" spans="1:29" ht="20.100000000000001" customHeight="1">
      <c r="A2" s="709"/>
      <c r="B2" s="709"/>
      <c r="C2" s="710" t="s">
        <v>19</v>
      </c>
      <c r="D2" s="710"/>
      <c r="E2" s="710"/>
      <c r="F2" s="710"/>
      <c r="G2" s="710"/>
      <c r="H2" s="710"/>
      <c r="I2" s="710"/>
      <c r="J2" s="710"/>
      <c r="K2" s="710"/>
      <c r="L2" s="710"/>
      <c r="M2" s="710"/>
      <c r="N2" s="710"/>
      <c r="O2" s="704" t="s">
        <v>20</v>
      </c>
      <c r="P2" s="704"/>
      <c r="Q2" s="704"/>
      <c r="S2" s="62"/>
      <c r="T2" s="226" t="str">
        <f ca="1">"FR PD 001 "&amp;VLOOKUP('FORMATO DIL'!$B$2,LOTES!$N:$Q,4,FALSE)&amp;" "&amp;'FORMATO DIL'!$C$4&amp;" "&amp;TEXT(B70,"DDMMYY")&amp;"-"&amp;'FR PD 001 V1'!Q70</f>
        <v>FR PD 001 IV JPC SEXTO NORTE  040822-0</v>
      </c>
    </row>
    <row r="3" spans="1:29" ht="20.100000000000001" customHeight="1">
      <c r="A3" s="709"/>
      <c r="B3" s="709"/>
      <c r="C3" s="710"/>
      <c r="D3" s="710"/>
      <c r="E3" s="710"/>
      <c r="F3" s="710"/>
      <c r="G3" s="710"/>
      <c r="H3" s="710"/>
      <c r="I3" s="710"/>
      <c r="J3" s="710"/>
      <c r="K3" s="710"/>
      <c r="L3" s="710"/>
      <c r="M3" s="710"/>
      <c r="N3" s="710"/>
      <c r="O3" s="704"/>
      <c r="P3" s="704"/>
      <c r="Q3" s="704"/>
      <c r="R3" s="62"/>
      <c r="S3" s="62"/>
      <c r="T3" s="226" t="str">
        <f ca="1">VLOOKUP('FORMATO DIL'!$B$2,LOTES!$N:$U,8,FALSE)</f>
        <v>Z:\PRODUCCION ESTERILES\IV SCOOP JPC-MATERNO-VERAGUAS-CPOLICARPA SCOOP\2022\08 AGOSTO\040822\JPC\PEDIATRIA\</v>
      </c>
      <c r="U3"/>
      <c r="V3"/>
      <c r="W3"/>
      <c r="X3"/>
      <c r="Y3"/>
    </row>
    <row r="4" spans="1:29" s="67" customFormat="1" ht="20.100000000000001" customHeight="1">
      <c r="A4" s="672" t="s">
        <v>13</v>
      </c>
      <c r="B4" s="680" t="s">
        <v>269</v>
      </c>
      <c r="C4" s="711" t="s">
        <v>523</v>
      </c>
      <c r="D4" s="699" t="s">
        <v>521</v>
      </c>
      <c r="E4" s="697" t="s">
        <v>271</v>
      </c>
      <c r="F4" s="677" t="s">
        <v>97</v>
      </c>
      <c r="G4" s="699" t="s">
        <v>652</v>
      </c>
      <c r="H4" s="680" t="s">
        <v>268</v>
      </c>
      <c r="I4" s="677" t="s">
        <v>96</v>
      </c>
      <c r="J4" s="669" t="s">
        <v>267</v>
      </c>
      <c r="K4" s="672" t="s">
        <v>651</v>
      </c>
      <c r="L4" s="669" t="s">
        <v>270</v>
      </c>
      <c r="M4" s="669" t="s">
        <v>262</v>
      </c>
      <c r="N4" s="707" t="s">
        <v>524</v>
      </c>
      <c r="O4" s="672" t="s">
        <v>264</v>
      </c>
      <c r="P4" s="705" t="s">
        <v>265</v>
      </c>
      <c r="Q4" s="671" t="s">
        <v>657</v>
      </c>
      <c r="R4" s="674" t="s">
        <v>99</v>
      </c>
      <c r="S4" s="668" t="s">
        <v>251</v>
      </c>
      <c r="T4" s="675" t="s">
        <v>326</v>
      </c>
      <c r="U4" s="666" t="s">
        <v>282</v>
      </c>
      <c r="V4" s="422"/>
      <c r="W4" s="666" t="s">
        <v>836</v>
      </c>
      <c r="X4" s="419"/>
      <c r="Y4" s="67" t="s">
        <v>891</v>
      </c>
      <c r="Z4" s="67" t="s">
        <v>334</v>
      </c>
      <c r="AA4" s="67" t="s">
        <v>892</v>
      </c>
      <c r="AB4" s="437" t="s">
        <v>893</v>
      </c>
      <c r="AC4" s="701" t="s">
        <v>997</v>
      </c>
    </row>
    <row r="5" spans="1:29" s="67" customFormat="1" ht="20.100000000000001" customHeight="1">
      <c r="A5" s="673"/>
      <c r="B5" s="681"/>
      <c r="C5" s="712"/>
      <c r="D5" s="700"/>
      <c r="E5" s="698"/>
      <c r="F5" s="678"/>
      <c r="G5" s="700"/>
      <c r="H5" s="681"/>
      <c r="I5" s="678"/>
      <c r="J5" s="670"/>
      <c r="K5" s="673"/>
      <c r="L5" s="670"/>
      <c r="M5" s="670"/>
      <c r="N5" s="708"/>
      <c r="O5" s="673"/>
      <c r="P5" s="706"/>
      <c r="Q5" s="671"/>
      <c r="R5" s="674"/>
      <c r="S5" s="668"/>
      <c r="T5" s="676"/>
      <c r="U5" s="666"/>
      <c r="V5" s="408">
        <v>1</v>
      </c>
      <c r="W5" s="666"/>
      <c r="X5" s="419"/>
      <c r="AB5" s="437"/>
      <c r="AC5" s="701"/>
    </row>
    <row r="6" spans="1:29" s="66" customFormat="1" ht="18">
      <c r="A6" s="225">
        <f>'FORMATO DIL'!A12</f>
        <v>0</v>
      </c>
      <c r="B6" s="214" t="str">
        <f>UPPER(TRIM('FORMATO DIL'!B12))</f>
        <v/>
      </c>
      <c r="C6" s="215">
        <f>'FORMATO DIL'!C12</f>
        <v>0</v>
      </c>
      <c r="D6" s="218">
        <f>'FORMATO DIL'!D12</f>
        <v>0</v>
      </c>
      <c r="E6" s="217" t="str">
        <f>IF('FORMATO DIL'!E12&lt;&gt;"",'FORMATO DIL'!E12,"NA")</f>
        <v>NA</v>
      </c>
      <c r="F6" s="218">
        <f>'FORMATO DIL'!F12</f>
        <v>0</v>
      </c>
      <c r="G6" s="216">
        <f>'FORMATO DIL'!G12</f>
        <v>0</v>
      </c>
      <c r="H6" s="220">
        <f>IFERROR(IF(S6="L",VLOOKUP(G6,LOTES!A:E,2,0),VLOOKUP(G6,ESTANDAR!A:B,2,0)),0)</f>
        <v>0</v>
      </c>
      <c r="I6" s="219" t="e">
        <f>VLOOKUP(G6,ESTANDAR!A:N,3,0)</f>
        <v>#N/A</v>
      </c>
      <c r="J6" s="221">
        <f>VALUE('FORMATO DIL'!J12)</f>
        <v>0</v>
      </c>
      <c r="K6" s="228">
        <f>IFERROR(ROUNDUP((Q6*J6)/VLOOKUP(G6,ESTANDAR!A:M,5,0),0),0)</f>
        <v>0</v>
      </c>
      <c r="L6" s="309" t="str">
        <f>IFERROR(IF('FORMATO DIL'!B$6="NEO+PED",VLOOKUP(G6,ESTANDAR!A:N,6,0),VLOOKUP(G6,ESTANDAR!A:N,7,0)),"ERROR")</f>
        <v>ERROR</v>
      </c>
      <c r="M6" s="222" t="b">
        <f t="shared" ref="M6:M68" si="0">IFERROR(J6/L6,FALSE)</f>
        <v>0</v>
      </c>
      <c r="N6" s="223">
        <f>IF('FORMATO DIL'!N12=0,Q6,'FORMATO DIL'!N12)</f>
        <v>0</v>
      </c>
      <c r="O6" s="227">
        <f>IF(S6="L",VLOOKUP(G6,LOTES!A:E,4,0),A6)</f>
        <v>0</v>
      </c>
      <c r="P6" s="310" t="e">
        <f ca="1">IF(S6="L",VLOOKUP(G6,LOTES!A:E,5,0),B$70+VLOOKUP(G6,ESTANDAR!A:N,10,0))</f>
        <v>#N/A</v>
      </c>
      <c r="Q6" s="224">
        <f>VALUE('FORMATO DIL'!Q12)</f>
        <v>0</v>
      </c>
      <c r="R6" s="311" t="e">
        <f>IF('FORMATO DIL'!R12=0,"DIL 1/"&amp;'DATOS ETIQ'!P2,'FORMATO DIL'!R12)</f>
        <v>#N/A</v>
      </c>
      <c r="S6" s="224">
        <f>IFERROR(IF(VLOOKUP(G6,ESTANDAR!A:N,9,0)="L","L",IF(AND('FORMATO DIL'!B$6="NEO+PED",VLOOKUP(G6,ESTANDAR!A:N,8,0)="JERINGA",'FORMATO DIL'!$G$5="HOSPITAL SANTA CLARA",M6&gt;=20),"SSN 50mL",IF(OR('FORMATO DIL'!B$6="NEO+PED",VLOOKUP(G6,ESTANDAR!A:N,9,0)="JERINGA"),IF(M6&lt;0.5,"JER 1mL",IF(AND(M6&gt;=0.5,M6&lt;=2.5),"JER 3mL",IF(AND(M6&gt;2.5,M6&lt;=4),"JER 5mL",IF(AND(M6&gt;4,M6&lt;=8),"JER 10mL",IF(AND(M6&gt;8,M6&lt;=16),"JER 20mL","JER 50mL"))))),VLOOKUP(G6,ESTANDAR!A:N,9,0)))),0)</f>
        <v>0</v>
      </c>
      <c r="T6" s="68" t="e">
        <f>IF(VLOOKUP(G6,ESTANDAR!A:N,12,0)="SI",Q6+1,ROUNDUP((Q6+2)/2,0))</f>
        <v>#N/A</v>
      </c>
      <c r="U6" s="68" t="e">
        <f>VLOOKUP(G6,ESTANDAR!A$3:N$98,12,0)</f>
        <v>#N/A</v>
      </c>
      <c r="V6" s="241">
        <f>IFERROR(IF(AND(H6=H7,H6=H5),V5,IF(AND(H6&lt;&gt;H5,H6=H7),V5+1,IF(AND(H6=H5,H6&lt;&gt;H7),V5,IF(AND(H6&lt;&gt;H5,H6&lt;&gt;H7),V5+1)))),IF(H6=H5,V5,V5+1))</f>
        <v>1</v>
      </c>
      <c r="W6" s="66" t="e">
        <f ca="1">IF(OR(B6="",H6=0,M6=0,M6="FALSO",P6&lt;TODAY(),Q6=0,ISNUMBER(Q6)=FALSE),1,IF(OR(ISERROR(B6),B6="",ISERROR(J6),L6="ERROR",M6="FALSO",ISERROR(P6),ISNUMBER(Q6)=FALSE,ISERROR(R6)),1,2))</f>
        <v>#N/A</v>
      </c>
      <c r="Y6" s="66" t="b">
        <f>IF(AND(B6=B7,B6=B5),FALSE,IF(AND(B6&lt;&gt;B5,B6=B7),FALSE,IF(AND(B6=B5,B6&lt;&gt;B7),FALSE,"")))</f>
        <v>0</v>
      </c>
      <c r="Z6" s="66" t="b">
        <f>IF(AND(J6=J7,J6=J5),FALSE,IF(AND(J6&lt;&gt;J5,J6=J7),FALSE,IF(AND(J6=J5,J6&lt;&gt;J7),FALSE,"")))</f>
        <v>0</v>
      </c>
      <c r="AA6" s="66" t="b">
        <f>IF(AND(H6=H7,H6=H5),FALSE,IF(AND(H6&lt;&gt;H5,H6=H7),FALSE,IF(AND(H6=H5,H6&lt;&gt;H7),FALSE,"")))</f>
        <v>0</v>
      </c>
      <c r="AB6" s="436" t="str">
        <f>IF(H6=0,"",IF(AND(Y6=FALSE,Z6=FALSE,AA6=FALSE),FALSE,""))</f>
        <v/>
      </c>
      <c r="AC6" s="66" t="str">
        <f>IF('FORMATO DIL'!U12="","","VolTotal:  "&amp;'FORMATO DIL'!U12&amp;"mL")</f>
        <v/>
      </c>
    </row>
    <row r="7" spans="1:29" s="66" customFormat="1" ht="18">
      <c r="A7" s="225" t="str">
        <f>'FORMATO DIL'!A13</f>
        <v/>
      </c>
      <c r="B7" s="214" t="str">
        <f>UPPER(TRIM('FORMATO DIL'!B13))</f>
        <v/>
      </c>
      <c r="C7" s="215">
        <f>'FORMATO DIL'!C13</f>
        <v>0</v>
      </c>
      <c r="D7" s="218">
        <f>'FORMATO DIL'!D13</f>
        <v>0</v>
      </c>
      <c r="E7" s="217" t="str">
        <f>IF('FORMATO DIL'!E13&lt;&gt;"",'FORMATO DIL'!E13,"NA")</f>
        <v>NA</v>
      </c>
      <c r="F7" s="218">
        <f>'FORMATO DIL'!F13</f>
        <v>0</v>
      </c>
      <c r="G7" s="216">
        <f>'FORMATO DIL'!G13</f>
        <v>0</v>
      </c>
      <c r="H7" s="220">
        <f>IFERROR(IF(S7="L",VLOOKUP(G7,LOTES!A:E,2,0),VLOOKUP(G7,ESTANDAR!A:B,2,0)),0)</f>
        <v>0</v>
      </c>
      <c r="I7" s="219" t="e">
        <f>VLOOKUP(G7,ESTANDAR!A:N,3,0)</f>
        <v>#N/A</v>
      </c>
      <c r="J7" s="221">
        <f>VALUE('FORMATO DIL'!J13)</f>
        <v>0</v>
      </c>
      <c r="K7" s="228">
        <f>IFERROR(ROUNDUP((Q7*J7)/VLOOKUP(G7,ESTANDAR!A:M,5,0),0),0)</f>
        <v>0</v>
      </c>
      <c r="L7" s="309" t="str">
        <f>IFERROR(IF('FORMATO DIL'!B$6="NEO+PED",VLOOKUP(G7,ESTANDAR!A:N,6,0),VLOOKUP(G7,ESTANDAR!A:N,7,0)),"ERROR")</f>
        <v>ERROR</v>
      </c>
      <c r="M7" s="222" t="b">
        <f t="shared" si="0"/>
        <v>0</v>
      </c>
      <c r="N7" s="223">
        <f>IF('FORMATO DIL'!N13=0,Q7,'FORMATO DIL'!N13)</f>
        <v>0</v>
      </c>
      <c r="O7" s="227" t="str">
        <f>IF(S7="L",VLOOKUP(G7,LOTES!A:E,4,0),A7)</f>
        <v/>
      </c>
      <c r="P7" s="310" t="e">
        <f ca="1">IF(S7="L",VLOOKUP(G7,LOTES!A:E,5,0),B$70+VLOOKUP(G7,ESTANDAR!A:N,10,0))</f>
        <v>#N/A</v>
      </c>
      <c r="Q7" s="224">
        <f>VALUE('FORMATO DIL'!Q13)</f>
        <v>0</v>
      </c>
      <c r="R7" s="311" t="e">
        <f>IF('FORMATO DIL'!R13=0,"DIL 1/"&amp;'DATOS ETIQ'!P3,'FORMATO DIL'!R13)</f>
        <v>#N/A</v>
      </c>
      <c r="S7" s="224">
        <f>IFERROR(IF(VLOOKUP(G7,ESTANDAR!A:N,9,0)="L","L",IF(AND('FORMATO DIL'!B$6="NEO+PED",VLOOKUP(G7,ESTANDAR!A:N,8,0)="JERINGA",'FORMATO DIL'!$G$5="HOSPITAL SANTA CLARA",M7&gt;=20),"SSN 50mL",IF(OR('FORMATO DIL'!B$6="NEO+PED",VLOOKUP(G7,ESTANDAR!A:N,9,0)="JERINGA"),IF(M7&lt;0.5,"JER 1mL",IF(AND(M7&gt;=0.5,M7&lt;=2.5),"JER 3mL",IF(AND(M7&gt;2.5,M7&lt;=4),"JER 5mL",IF(AND(M7&gt;4,M7&lt;=8),"JER 10mL",IF(AND(M7&gt;8,M7&lt;=16),"JER 20mL","JER 50mL"))))),VLOOKUP(G7,ESTANDAR!A:N,9,0)))),0)</f>
        <v>0</v>
      </c>
      <c r="T7" s="68" t="e">
        <f>IF(VLOOKUP(G7,ESTANDAR!A:N,12,0)="SI",Q7+1,ROUNDUP((Q7+2)/2,0))</f>
        <v>#N/A</v>
      </c>
      <c r="U7" s="68" t="e">
        <f>VLOOKUP(G7,ESTANDAR!A$3:N$98,12,0)</f>
        <v>#N/A</v>
      </c>
      <c r="V7" s="241">
        <f t="shared" ref="V7:V69" si="1">IFERROR(IF(AND(H7=H8,H7=H6),V6,IF(AND(H7&lt;&gt;H6,H7=H8),V6+1,IF(AND(H7=H6,H7&lt;&gt;H8),V6,IF(AND(H7&lt;&gt;H6,H7&lt;&gt;H8),V6+1)))),IF(H7=H6,V6,V6+1))</f>
        <v>1</v>
      </c>
      <c r="W7" s="66" t="e">
        <f t="shared" ref="W7:W69" ca="1" si="2">IF(OR(B7="",H7=0,M7=0,M7="FALSO",P7&lt;TODAY(),Q7=0,ISNUMBER(Q7)=FALSE),1,IF(OR(ISERROR(B7),B7="",ISERROR(J7),L7="ERROR",M7="FALSO",ISERROR(P7),ISNUMBER(Q7)=FALSE,ISERROR(R7)),1,2))</f>
        <v>#N/A</v>
      </c>
      <c r="Y7" s="66" t="b">
        <f t="shared" ref="Y7:Y69" si="3">IF(AND(B7=B8,B7=B6),FALSE,IF(AND(B7&lt;&gt;B6,B7=B8),FALSE,IF(AND(B7=B6,B7&lt;&gt;B8),FALSE,"")))</f>
        <v>0</v>
      </c>
      <c r="Z7" s="66" t="b">
        <f t="shared" ref="Z7:Z69" si="4">IF(AND(J7=J8,J7=J6),FALSE,IF(AND(J7&lt;&gt;J6,J7=J8),FALSE,IF(AND(J7=J6,J7&lt;&gt;J8),FALSE,"")))</f>
        <v>0</v>
      </c>
      <c r="AA7" s="66" t="b">
        <f t="shared" ref="AA7:AA69" si="5">IF(AND(H7=H8,H7=H6),FALSE,IF(AND(H7&lt;&gt;H6,H7=H8),FALSE,IF(AND(H7=H6,H7&lt;&gt;H8),FALSE,"")))</f>
        <v>0</v>
      </c>
      <c r="AB7" s="436" t="str">
        <f t="shared" ref="AB7:AB69" si="6">IF(H7=0,"",IF(AND(Y7=FALSE,Z7=FALSE,AA7=FALSE),FALSE,""))</f>
        <v/>
      </c>
      <c r="AC7" s="66" t="str">
        <f>IF('FORMATO DIL'!U13="","","VolTotal:  "&amp;'FORMATO DIL'!U13&amp;"mL")</f>
        <v/>
      </c>
    </row>
    <row r="8" spans="1:29" s="69" customFormat="1" ht="18">
      <c r="A8" s="225" t="str">
        <f>'FORMATO DIL'!A14</f>
        <v/>
      </c>
      <c r="B8" s="214" t="str">
        <f>UPPER(TRIM('FORMATO DIL'!B14))</f>
        <v/>
      </c>
      <c r="C8" s="215">
        <f>'FORMATO DIL'!C14</f>
        <v>0</v>
      </c>
      <c r="D8" s="218">
        <f>'FORMATO DIL'!D14</f>
        <v>0</v>
      </c>
      <c r="E8" s="217" t="str">
        <f>IF('FORMATO DIL'!E14&lt;&gt;"",'FORMATO DIL'!E14,"NA")</f>
        <v>NA</v>
      </c>
      <c r="F8" s="218">
        <f>'FORMATO DIL'!F14</f>
        <v>0</v>
      </c>
      <c r="G8" s="216">
        <f>'FORMATO DIL'!G14</f>
        <v>0</v>
      </c>
      <c r="H8" s="220">
        <f>IFERROR(IF(S8="L",VLOOKUP(G8,LOTES!A:E,2,0),VLOOKUP(G8,ESTANDAR!A:B,2,0)),0)</f>
        <v>0</v>
      </c>
      <c r="I8" s="219" t="e">
        <f>VLOOKUP(G8,ESTANDAR!A:N,3,0)</f>
        <v>#N/A</v>
      </c>
      <c r="J8" s="221">
        <f>VALUE('FORMATO DIL'!J14)</f>
        <v>0</v>
      </c>
      <c r="K8" s="228">
        <f>IFERROR(ROUNDUP((Q8*J8)/VLOOKUP(G8,ESTANDAR!A:M,5,0),0),0)</f>
        <v>0</v>
      </c>
      <c r="L8" s="309" t="str">
        <f>IFERROR(IF('FORMATO DIL'!B$6="NEO+PED",VLOOKUP(G8,ESTANDAR!A:N,6,0),VLOOKUP(G8,ESTANDAR!A:N,7,0)),"ERROR")</f>
        <v>ERROR</v>
      </c>
      <c r="M8" s="222" t="b">
        <f t="shared" si="0"/>
        <v>0</v>
      </c>
      <c r="N8" s="223">
        <f>IF('FORMATO DIL'!N14=0,Q8,'FORMATO DIL'!N14)</f>
        <v>0</v>
      </c>
      <c r="O8" s="227" t="str">
        <f>IF(S8="L",VLOOKUP(G8,LOTES!A:E,4,0),A8)</f>
        <v/>
      </c>
      <c r="P8" s="310" t="e">
        <f ca="1">IF(S8="L",VLOOKUP(G8,LOTES!A:E,5,0),B$70+VLOOKUP(G8,ESTANDAR!A:N,10,0))</f>
        <v>#N/A</v>
      </c>
      <c r="Q8" s="224">
        <f>VALUE('FORMATO DIL'!Q14)</f>
        <v>0</v>
      </c>
      <c r="R8" s="311" t="e">
        <f>IF('FORMATO DIL'!R14=0,"DIL 1/"&amp;'DATOS ETIQ'!P4,'FORMATO DIL'!R14)</f>
        <v>#N/A</v>
      </c>
      <c r="S8" s="224">
        <f>IFERROR(IF(VLOOKUP(G8,ESTANDAR!A:N,9,0)="L","L",IF(AND('FORMATO DIL'!B$6="NEO+PED",VLOOKUP(G8,ESTANDAR!A:N,8,0)="JERINGA",'FORMATO DIL'!$G$5="HOSPITAL SANTA CLARA",M8&gt;=20),"SSN 50mL",IF(OR('FORMATO DIL'!B$6="NEO+PED",VLOOKUP(G8,ESTANDAR!A:N,9,0)="JERINGA"),IF(M8&lt;0.5,"JER 1mL",IF(AND(M8&gt;=0.5,M8&lt;=2.5),"JER 3mL",IF(AND(M8&gt;2.5,M8&lt;=4),"JER 5mL",IF(AND(M8&gt;4,M8&lt;=8),"JER 10mL",IF(AND(M8&gt;8,M8&lt;=16),"JER 20mL","JER 50mL"))))),VLOOKUP(G8,ESTANDAR!A:N,9,0)))),0)</f>
        <v>0</v>
      </c>
      <c r="T8" s="68" t="e">
        <f>IF(VLOOKUP(G8,ESTANDAR!A:N,12,0)="SI",Q8+1,ROUNDUP((Q8+2)/2,0))</f>
        <v>#N/A</v>
      </c>
      <c r="U8" s="68" t="e">
        <f>VLOOKUP(G8,ESTANDAR!A$3:N$98,12,0)</f>
        <v>#N/A</v>
      </c>
      <c r="V8" s="241">
        <f t="shared" si="1"/>
        <v>1</v>
      </c>
      <c r="W8" s="66" t="e">
        <f t="shared" ca="1" si="2"/>
        <v>#N/A</v>
      </c>
      <c r="X8" s="66"/>
      <c r="Y8" s="66" t="b">
        <f t="shared" si="3"/>
        <v>0</v>
      </c>
      <c r="Z8" s="66" t="b">
        <f t="shared" si="4"/>
        <v>0</v>
      </c>
      <c r="AA8" s="66" t="b">
        <f t="shared" si="5"/>
        <v>0</v>
      </c>
      <c r="AB8" s="436" t="str">
        <f t="shared" si="6"/>
        <v/>
      </c>
      <c r="AC8" s="66" t="str">
        <f>IF('FORMATO DIL'!U14="","","VolTotal:  "&amp;'FORMATO DIL'!U14&amp;"mL")</f>
        <v/>
      </c>
    </row>
    <row r="9" spans="1:29" s="66" customFormat="1" ht="18">
      <c r="A9" s="225" t="str">
        <f>'FORMATO DIL'!A15</f>
        <v/>
      </c>
      <c r="B9" s="214" t="str">
        <f>UPPER(TRIM('FORMATO DIL'!B15))</f>
        <v/>
      </c>
      <c r="C9" s="215">
        <f>'FORMATO DIL'!C15</f>
        <v>0</v>
      </c>
      <c r="D9" s="218">
        <f>'FORMATO DIL'!D15</f>
        <v>0</v>
      </c>
      <c r="E9" s="217" t="str">
        <f>IF('FORMATO DIL'!E15&lt;&gt;"",'FORMATO DIL'!E15,"NA")</f>
        <v>NA</v>
      </c>
      <c r="F9" s="218">
        <f>'FORMATO DIL'!F15</f>
        <v>0</v>
      </c>
      <c r="G9" s="216">
        <f>'FORMATO DIL'!G15</f>
        <v>0</v>
      </c>
      <c r="H9" s="220">
        <f>IFERROR(IF(S9="L",VLOOKUP(G9,LOTES!A:E,2,0),VLOOKUP(G9,ESTANDAR!A:B,2,0)),0)</f>
        <v>0</v>
      </c>
      <c r="I9" s="219" t="e">
        <f>VLOOKUP(G9,ESTANDAR!A:N,3,0)</f>
        <v>#N/A</v>
      </c>
      <c r="J9" s="221">
        <f>VALUE('FORMATO DIL'!J15)</f>
        <v>0</v>
      </c>
      <c r="K9" s="228">
        <f>IFERROR(ROUNDUP((Q9*J9)/VLOOKUP(G9,ESTANDAR!A:M,5,0),0),0)</f>
        <v>0</v>
      </c>
      <c r="L9" s="309" t="str">
        <f>IFERROR(IF('FORMATO DIL'!B$6="NEO+PED",VLOOKUP(G9,ESTANDAR!A:N,6,0),VLOOKUP(G9,ESTANDAR!A:N,7,0)),"ERROR")</f>
        <v>ERROR</v>
      </c>
      <c r="M9" s="222" t="b">
        <f t="shared" si="0"/>
        <v>0</v>
      </c>
      <c r="N9" s="223">
        <f>IF('FORMATO DIL'!N15=0,Q9,'FORMATO DIL'!N15)</f>
        <v>0</v>
      </c>
      <c r="O9" s="227" t="str">
        <f>IF(S9="L",VLOOKUP(G9,LOTES!A:E,4,0),A9)</f>
        <v/>
      </c>
      <c r="P9" s="310" t="e">
        <f ca="1">IF(S9="L",VLOOKUP(G9,LOTES!A:E,5,0),B$70+VLOOKUP(G9,ESTANDAR!A:N,10,0))</f>
        <v>#N/A</v>
      </c>
      <c r="Q9" s="224">
        <f>VALUE('FORMATO DIL'!Q15)</f>
        <v>0</v>
      </c>
      <c r="R9" s="311" t="e">
        <f>IF('FORMATO DIL'!R15=0,"DIL 1/"&amp;'DATOS ETIQ'!P5,'FORMATO DIL'!R15)</f>
        <v>#N/A</v>
      </c>
      <c r="S9" s="224">
        <f>IFERROR(IF(VLOOKUP(G9,ESTANDAR!A:N,9,0)="L","L",IF(AND('FORMATO DIL'!B$6="NEO+PED",VLOOKUP(G9,ESTANDAR!A:N,8,0)="JERINGA",'FORMATO DIL'!$G$5="HOSPITAL SANTA CLARA",M9&gt;=20),"SSN 50mL",IF(OR('FORMATO DIL'!B$6="NEO+PED",VLOOKUP(G9,ESTANDAR!A:N,9,0)="JERINGA"),IF(M9&lt;0.5,"JER 1mL",IF(AND(M9&gt;=0.5,M9&lt;=2.5),"JER 3mL",IF(AND(M9&gt;2.5,M9&lt;=4),"JER 5mL",IF(AND(M9&gt;4,M9&lt;=8),"JER 10mL",IF(AND(M9&gt;8,M9&lt;=16),"JER 20mL","JER 50mL"))))),VLOOKUP(G9,ESTANDAR!A:N,9,0)))),0)</f>
        <v>0</v>
      </c>
      <c r="T9" s="68" t="e">
        <f>IF(VLOOKUP(G9,ESTANDAR!A:N,12,0)="SI",Q9+1,ROUNDUP((Q9+2)/2,0))</f>
        <v>#N/A</v>
      </c>
      <c r="U9" s="68" t="e">
        <f>VLOOKUP(G9,ESTANDAR!A$3:N$98,12,0)</f>
        <v>#N/A</v>
      </c>
      <c r="V9" s="241">
        <f t="shared" si="1"/>
        <v>1</v>
      </c>
      <c r="W9" s="66" t="e">
        <f t="shared" ca="1" si="2"/>
        <v>#N/A</v>
      </c>
      <c r="X9" s="69"/>
      <c r="Y9" s="66" t="b">
        <f t="shared" si="3"/>
        <v>0</v>
      </c>
      <c r="Z9" s="66" t="b">
        <f t="shared" si="4"/>
        <v>0</v>
      </c>
      <c r="AA9" s="66" t="b">
        <f t="shared" si="5"/>
        <v>0</v>
      </c>
      <c r="AB9" s="436" t="str">
        <f t="shared" si="6"/>
        <v/>
      </c>
      <c r="AC9" s="66" t="str">
        <f>IF('FORMATO DIL'!U15="","","VolTotal:  "&amp;'FORMATO DIL'!U15&amp;"mL")</f>
        <v/>
      </c>
    </row>
    <row r="10" spans="1:29" s="66" customFormat="1" ht="18">
      <c r="A10" s="225" t="str">
        <f>'FORMATO DIL'!A16</f>
        <v/>
      </c>
      <c r="B10" s="214" t="str">
        <f>UPPER(TRIM('FORMATO DIL'!B16))</f>
        <v/>
      </c>
      <c r="C10" s="215">
        <f>'FORMATO DIL'!C16</f>
        <v>0</v>
      </c>
      <c r="D10" s="218">
        <f>'FORMATO DIL'!D16</f>
        <v>0</v>
      </c>
      <c r="E10" s="217" t="str">
        <f>IF('FORMATO DIL'!E16&lt;&gt;"",'FORMATO DIL'!E16,"NA")</f>
        <v>NA</v>
      </c>
      <c r="F10" s="218">
        <f>'FORMATO DIL'!F16</f>
        <v>0</v>
      </c>
      <c r="G10" s="216">
        <f>'FORMATO DIL'!G16</f>
        <v>0</v>
      </c>
      <c r="H10" s="220">
        <f>IFERROR(IF(S10="L",VLOOKUP(G10,LOTES!A:E,2,0),VLOOKUP(G10,ESTANDAR!A:B,2,0)),0)</f>
        <v>0</v>
      </c>
      <c r="I10" s="219" t="e">
        <f>VLOOKUP(G10,ESTANDAR!A:N,3,0)</f>
        <v>#N/A</v>
      </c>
      <c r="J10" s="221">
        <f>VALUE('FORMATO DIL'!J16)</f>
        <v>0</v>
      </c>
      <c r="K10" s="228">
        <f>IFERROR(ROUNDUP((Q10*J10)/VLOOKUP(G10,ESTANDAR!A:M,5,0),0),0)</f>
        <v>0</v>
      </c>
      <c r="L10" s="309" t="str">
        <f>IFERROR(IF('FORMATO DIL'!B$6="NEO+PED",VLOOKUP(G10,ESTANDAR!A:N,6,0),VLOOKUP(G10,ESTANDAR!A:N,7,0)),"ERROR")</f>
        <v>ERROR</v>
      </c>
      <c r="M10" s="222" t="b">
        <f t="shared" si="0"/>
        <v>0</v>
      </c>
      <c r="N10" s="223">
        <f>IF('FORMATO DIL'!N16=0,Q10,'FORMATO DIL'!N16)</f>
        <v>0</v>
      </c>
      <c r="O10" s="227" t="str">
        <f>IF(S10="L",VLOOKUP(G10,LOTES!A:E,4,0),A10)</f>
        <v/>
      </c>
      <c r="P10" s="310" t="e">
        <f ca="1">IF(S10="L",VLOOKUP(G10,LOTES!A:E,5,0),B$70+VLOOKUP(G10,ESTANDAR!A:N,10,0))</f>
        <v>#N/A</v>
      </c>
      <c r="Q10" s="224">
        <f>VALUE('FORMATO DIL'!Q16)</f>
        <v>0</v>
      </c>
      <c r="R10" s="311" t="e">
        <f>IF('FORMATO DIL'!R16=0,"DIL 1/"&amp;'DATOS ETIQ'!P6,'FORMATO DIL'!R16)</f>
        <v>#N/A</v>
      </c>
      <c r="S10" s="224">
        <f>IFERROR(IF(VLOOKUP(G10,ESTANDAR!A:N,9,0)="L","L",IF(AND('FORMATO DIL'!B$6="NEO+PED",VLOOKUP(G10,ESTANDAR!A:N,8,0)="JERINGA",'FORMATO DIL'!$G$5="HOSPITAL SANTA CLARA",M10&gt;=20),"SSN 50mL",IF(OR('FORMATO DIL'!B$6="NEO+PED",VLOOKUP(G10,ESTANDAR!A:N,9,0)="JERINGA"),IF(M10&lt;0.5,"JER 1mL",IF(AND(M10&gt;=0.5,M10&lt;=2.5),"JER 3mL",IF(AND(M10&gt;2.5,M10&lt;=4),"JER 5mL",IF(AND(M10&gt;4,M10&lt;=8),"JER 10mL",IF(AND(M10&gt;8,M10&lt;=16),"JER 20mL","JER 50mL"))))),VLOOKUP(G10,ESTANDAR!A:N,9,0)))),0)</f>
        <v>0</v>
      </c>
      <c r="T10" s="68" t="e">
        <f>IF(VLOOKUP(G10,ESTANDAR!A:N,12,0)="SI",Q10+1,ROUNDUP((Q10+2)/2,0))</f>
        <v>#N/A</v>
      </c>
      <c r="U10" s="68" t="e">
        <f>VLOOKUP(G10,ESTANDAR!A$3:N$98,12,0)</f>
        <v>#N/A</v>
      </c>
      <c r="V10" s="241">
        <f t="shared" si="1"/>
        <v>1</v>
      </c>
      <c r="W10" s="66" t="e">
        <f t="shared" ca="1" si="2"/>
        <v>#N/A</v>
      </c>
      <c r="Y10" s="66" t="b">
        <f t="shared" si="3"/>
        <v>0</v>
      </c>
      <c r="Z10" s="66" t="b">
        <f t="shared" si="4"/>
        <v>0</v>
      </c>
      <c r="AA10" s="66" t="b">
        <f t="shared" si="5"/>
        <v>0</v>
      </c>
      <c r="AB10" s="436" t="str">
        <f t="shared" si="6"/>
        <v/>
      </c>
      <c r="AC10" s="66" t="str">
        <f>IF('FORMATO DIL'!U16="","","VolTotal:  "&amp;'FORMATO DIL'!U16&amp;"mL")</f>
        <v/>
      </c>
    </row>
    <row r="11" spans="1:29" s="66" customFormat="1" ht="18">
      <c r="A11" s="225" t="str">
        <f>'FORMATO DIL'!A17</f>
        <v/>
      </c>
      <c r="B11" s="214" t="str">
        <f>UPPER(TRIM('FORMATO DIL'!B17))</f>
        <v/>
      </c>
      <c r="C11" s="215">
        <f>'FORMATO DIL'!C17</f>
        <v>0</v>
      </c>
      <c r="D11" s="218">
        <f>'FORMATO DIL'!D17</f>
        <v>0</v>
      </c>
      <c r="E11" s="217" t="str">
        <f>IF('FORMATO DIL'!E17&lt;&gt;"",'FORMATO DIL'!E17,"NA")</f>
        <v>NA</v>
      </c>
      <c r="F11" s="218">
        <f>'FORMATO DIL'!F17</f>
        <v>0</v>
      </c>
      <c r="G11" s="216">
        <f>'FORMATO DIL'!G17</f>
        <v>0</v>
      </c>
      <c r="H11" s="220">
        <f>IFERROR(IF(S11="L",VLOOKUP(G11,LOTES!A:E,2,0),VLOOKUP(G11,ESTANDAR!A:B,2,0)),0)</f>
        <v>0</v>
      </c>
      <c r="I11" s="219" t="e">
        <f>VLOOKUP(G11,ESTANDAR!A:N,3,0)</f>
        <v>#N/A</v>
      </c>
      <c r="J11" s="221">
        <f>VALUE('FORMATO DIL'!J17)</f>
        <v>0</v>
      </c>
      <c r="K11" s="228">
        <f>IFERROR(ROUNDUP((Q11*J11)/VLOOKUP(G11,ESTANDAR!A:M,5,0),0),0)</f>
        <v>0</v>
      </c>
      <c r="L11" s="309" t="str">
        <f>IFERROR(IF('FORMATO DIL'!B$6="NEO+PED",VLOOKUP(G11,ESTANDAR!A:N,6,0),VLOOKUP(G11,ESTANDAR!A:N,7,0)),"ERROR")</f>
        <v>ERROR</v>
      </c>
      <c r="M11" s="222" t="b">
        <f t="shared" si="0"/>
        <v>0</v>
      </c>
      <c r="N11" s="223">
        <f>IF('FORMATO DIL'!N17=0,Q11,'FORMATO DIL'!N17)</f>
        <v>0</v>
      </c>
      <c r="O11" s="227" t="str">
        <f>IF(S11="L",VLOOKUP(G11,LOTES!A:E,4,0),A11)</f>
        <v/>
      </c>
      <c r="P11" s="310" t="e">
        <f ca="1">IF(S11="L",VLOOKUP(G11,LOTES!A:E,5,0),B$70+VLOOKUP(G11,ESTANDAR!A:N,10,0))</f>
        <v>#N/A</v>
      </c>
      <c r="Q11" s="224">
        <f>VALUE('FORMATO DIL'!Q17)</f>
        <v>0</v>
      </c>
      <c r="R11" s="311" t="e">
        <f>IF('FORMATO DIL'!R17=0,"DIL 1/"&amp;'DATOS ETIQ'!P7,'FORMATO DIL'!R17)</f>
        <v>#N/A</v>
      </c>
      <c r="S11" s="224">
        <f>IFERROR(IF(VLOOKUP(G11,ESTANDAR!A:N,9,0)="L","L",IF(AND('FORMATO DIL'!B$6="NEO+PED",VLOOKUP(G11,ESTANDAR!A:N,8,0)="JERINGA",'FORMATO DIL'!$G$5="HOSPITAL SANTA CLARA",M11&gt;=20),"SSN 50mL",IF(OR('FORMATO DIL'!B$6="NEO+PED",VLOOKUP(G11,ESTANDAR!A:N,9,0)="JERINGA"),IF(M11&lt;0.5,"JER 1mL",IF(AND(M11&gt;=0.5,M11&lt;=2.5),"JER 3mL",IF(AND(M11&gt;2.5,M11&lt;=4),"JER 5mL",IF(AND(M11&gt;4,M11&lt;=8),"JER 10mL",IF(AND(M11&gt;8,M11&lt;=16),"JER 20mL","JER 50mL"))))),VLOOKUP(G11,ESTANDAR!A:N,9,0)))),0)</f>
        <v>0</v>
      </c>
      <c r="T11" s="68" t="e">
        <f>IF(VLOOKUP(G11,ESTANDAR!A:N,12,0)="SI",Q11+1,ROUNDUP((Q11+2)/2,0))</f>
        <v>#N/A</v>
      </c>
      <c r="U11" s="68" t="e">
        <f>VLOOKUP(G11,ESTANDAR!A$3:N$98,12,0)</f>
        <v>#N/A</v>
      </c>
      <c r="V11" s="241">
        <f t="shared" si="1"/>
        <v>1</v>
      </c>
      <c r="W11" s="66" t="e">
        <f t="shared" ca="1" si="2"/>
        <v>#N/A</v>
      </c>
      <c r="Y11" s="66" t="b">
        <f t="shared" si="3"/>
        <v>0</v>
      </c>
      <c r="Z11" s="66" t="b">
        <f t="shared" si="4"/>
        <v>0</v>
      </c>
      <c r="AA11" s="66" t="b">
        <f t="shared" si="5"/>
        <v>0</v>
      </c>
      <c r="AB11" s="436" t="str">
        <f t="shared" si="6"/>
        <v/>
      </c>
      <c r="AC11" s="66" t="str">
        <f>IF('FORMATO DIL'!U17="","","VolTotal:  "&amp;'FORMATO DIL'!U17&amp;"mL")</f>
        <v/>
      </c>
    </row>
    <row r="12" spans="1:29" s="66" customFormat="1" ht="18">
      <c r="A12" s="225" t="str">
        <f>'FORMATO DIL'!A18</f>
        <v/>
      </c>
      <c r="B12" s="214" t="str">
        <f>UPPER(TRIM('FORMATO DIL'!B18))</f>
        <v/>
      </c>
      <c r="C12" s="215">
        <f>'FORMATO DIL'!C18</f>
        <v>0</v>
      </c>
      <c r="D12" s="218">
        <f>'FORMATO DIL'!D18</f>
        <v>0</v>
      </c>
      <c r="E12" s="217" t="str">
        <f>IF('FORMATO DIL'!E18&lt;&gt;"",'FORMATO DIL'!E18,"NA")</f>
        <v>NA</v>
      </c>
      <c r="F12" s="218">
        <f>'FORMATO DIL'!F18</f>
        <v>0</v>
      </c>
      <c r="G12" s="216">
        <f>'FORMATO DIL'!G18</f>
        <v>0</v>
      </c>
      <c r="H12" s="220">
        <f>IFERROR(IF(S12="L",VLOOKUP(G12,LOTES!A:E,2,0),VLOOKUP(G12,ESTANDAR!A:B,2,0)),0)</f>
        <v>0</v>
      </c>
      <c r="I12" s="219" t="e">
        <f>VLOOKUP(G12,ESTANDAR!A:N,3,0)</f>
        <v>#N/A</v>
      </c>
      <c r="J12" s="221">
        <f>VALUE('FORMATO DIL'!J18)</f>
        <v>0</v>
      </c>
      <c r="K12" s="228">
        <f>IFERROR(ROUNDUP((Q12*J12)/VLOOKUP(G12,ESTANDAR!A:M,5,0),0),0)</f>
        <v>0</v>
      </c>
      <c r="L12" s="309" t="str">
        <f>IFERROR(IF('FORMATO DIL'!B$6="NEO+PED",VLOOKUP(G12,ESTANDAR!A:N,6,0),VLOOKUP(G12,ESTANDAR!A:N,7,0)),"ERROR")</f>
        <v>ERROR</v>
      </c>
      <c r="M12" s="222" t="b">
        <f t="shared" si="0"/>
        <v>0</v>
      </c>
      <c r="N12" s="223">
        <f>IF('FORMATO DIL'!N18=0,Q12,'FORMATO DIL'!N18)</f>
        <v>0</v>
      </c>
      <c r="O12" s="227" t="str">
        <f>IF(S12="L",VLOOKUP(G12,LOTES!A:E,4,0),A12)</f>
        <v/>
      </c>
      <c r="P12" s="310" t="e">
        <f ca="1">IF(S12="L",VLOOKUP(G12,LOTES!A:E,5,0),B$70+VLOOKUP(G12,ESTANDAR!A:N,10,0))</f>
        <v>#N/A</v>
      </c>
      <c r="Q12" s="224">
        <f>VALUE('FORMATO DIL'!Q18)</f>
        <v>0</v>
      </c>
      <c r="R12" s="311" t="e">
        <f>IF('FORMATO DIL'!R18=0,"DIL 1/"&amp;'DATOS ETIQ'!P8,'FORMATO DIL'!R18)</f>
        <v>#N/A</v>
      </c>
      <c r="S12" s="224">
        <f>IFERROR(IF(VLOOKUP(G12,ESTANDAR!A:N,9,0)="L","L",IF(AND('FORMATO DIL'!B$6="NEO+PED",VLOOKUP(G12,ESTANDAR!A:N,8,0)="JERINGA",'FORMATO DIL'!$G$5="HOSPITAL SANTA CLARA",M12&gt;=20),"SSN 50mL",IF(OR('FORMATO DIL'!B$6="NEO+PED",VLOOKUP(G12,ESTANDAR!A:N,9,0)="JERINGA"),IF(M12&lt;0.5,"JER 1mL",IF(AND(M12&gt;=0.5,M12&lt;=2.5),"JER 3mL",IF(AND(M12&gt;2.5,M12&lt;=4),"JER 5mL",IF(AND(M12&gt;4,M12&lt;=8),"JER 10mL",IF(AND(M12&gt;8,M12&lt;=16),"JER 20mL","JER 50mL"))))),VLOOKUP(G12,ESTANDAR!A:N,9,0)))),0)</f>
        <v>0</v>
      </c>
      <c r="T12" s="68" t="e">
        <f>IF(VLOOKUP(G12,ESTANDAR!A:N,12,0)="SI",Q12+1,ROUNDUP((Q12+2)/2,0))</f>
        <v>#N/A</v>
      </c>
      <c r="U12" s="68" t="e">
        <f>VLOOKUP(G12,ESTANDAR!A$3:N$98,12,0)</f>
        <v>#N/A</v>
      </c>
      <c r="V12" s="241">
        <f t="shared" si="1"/>
        <v>1</v>
      </c>
      <c r="W12" s="66" t="e">
        <f t="shared" ca="1" si="2"/>
        <v>#N/A</v>
      </c>
      <c r="Y12" s="66" t="b">
        <f t="shared" si="3"/>
        <v>0</v>
      </c>
      <c r="Z12" s="66" t="b">
        <f t="shared" si="4"/>
        <v>0</v>
      </c>
      <c r="AA12" s="66" t="b">
        <f t="shared" si="5"/>
        <v>0</v>
      </c>
      <c r="AB12" s="436" t="str">
        <f t="shared" si="6"/>
        <v/>
      </c>
      <c r="AC12" s="66" t="str">
        <f>IF('FORMATO DIL'!U18="","","VolTotal:  "&amp;'FORMATO DIL'!U18&amp;"mL")</f>
        <v/>
      </c>
    </row>
    <row r="13" spans="1:29" s="66" customFormat="1" ht="18">
      <c r="A13" s="225" t="str">
        <f>'FORMATO DIL'!A19</f>
        <v/>
      </c>
      <c r="B13" s="214" t="str">
        <f>UPPER(TRIM('FORMATO DIL'!B19))</f>
        <v/>
      </c>
      <c r="C13" s="215">
        <f>'FORMATO DIL'!C19</f>
        <v>0</v>
      </c>
      <c r="D13" s="218">
        <f>'FORMATO DIL'!D19</f>
        <v>0</v>
      </c>
      <c r="E13" s="217" t="str">
        <f>IF('FORMATO DIL'!E19&lt;&gt;"",'FORMATO DIL'!E19,"NA")</f>
        <v>NA</v>
      </c>
      <c r="F13" s="218">
        <f>'FORMATO DIL'!F19</f>
        <v>0</v>
      </c>
      <c r="G13" s="216">
        <f>'FORMATO DIL'!G19</f>
        <v>0</v>
      </c>
      <c r="H13" s="220">
        <f>IFERROR(IF(S13="L",VLOOKUP(G13,LOTES!A:E,2,0),VLOOKUP(G13,ESTANDAR!A:B,2,0)),0)</f>
        <v>0</v>
      </c>
      <c r="I13" s="219" t="e">
        <f>VLOOKUP(G13,ESTANDAR!A:N,3,0)</f>
        <v>#N/A</v>
      </c>
      <c r="J13" s="221">
        <f>VALUE('FORMATO DIL'!J19)</f>
        <v>0</v>
      </c>
      <c r="K13" s="228">
        <f>IFERROR(ROUNDUP((Q13*J13)/VLOOKUP(G13,ESTANDAR!A:M,5,0),0),0)</f>
        <v>0</v>
      </c>
      <c r="L13" s="309" t="str">
        <f>IFERROR(IF('FORMATO DIL'!B$6="NEO+PED",VLOOKUP(G13,ESTANDAR!A:N,6,0),VLOOKUP(G13,ESTANDAR!A:N,7,0)),"ERROR")</f>
        <v>ERROR</v>
      </c>
      <c r="M13" s="222" t="b">
        <f t="shared" si="0"/>
        <v>0</v>
      </c>
      <c r="N13" s="223">
        <f>IF('FORMATO DIL'!N19=0,Q13,'FORMATO DIL'!N19)</f>
        <v>0</v>
      </c>
      <c r="O13" s="227" t="str">
        <f>IF(S13="L",VLOOKUP(G13,LOTES!A:E,4,0),A13)</f>
        <v/>
      </c>
      <c r="P13" s="310" t="e">
        <f ca="1">IF(S13="L",VLOOKUP(G13,LOTES!A:E,5,0),B$70+VLOOKUP(G13,ESTANDAR!A:N,10,0))</f>
        <v>#N/A</v>
      </c>
      <c r="Q13" s="224">
        <f>VALUE('FORMATO DIL'!Q19)</f>
        <v>0</v>
      </c>
      <c r="R13" s="311" t="e">
        <f>IF('FORMATO DIL'!R19=0,"DIL 1/"&amp;'DATOS ETIQ'!P9,'FORMATO DIL'!R19)</f>
        <v>#N/A</v>
      </c>
      <c r="S13" s="224">
        <f>IFERROR(IF(VLOOKUP(G13,ESTANDAR!A:N,9,0)="L","L",IF(AND('FORMATO DIL'!B$6="NEO+PED",VLOOKUP(G13,ESTANDAR!A:N,8,0)="JERINGA",'FORMATO DIL'!$G$5="HOSPITAL SANTA CLARA",M13&gt;=20),"SSN 50mL",IF(OR('FORMATO DIL'!B$6="NEO+PED",VLOOKUP(G13,ESTANDAR!A:N,9,0)="JERINGA"),IF(M13&lt;0.5,"JER 1mL",IF(AND(M13&gt;=0.5,M13&lt;=2.5),"JER 3mL",IF(AND(M13&gt;2.5,M13&lt;=4),"JER 5mL",IF(AND(M13&gt;4,M13&lt;=8),"JER 10mL",IF(AND(M13&gt;8,M13&lt;=16),"JER 20mL","JER 50mL"))))),VLOOKUP(G13,ESTANDAR!A:N,9,0)))),0)</f>
        <v>0</v>
      </c>
      <c r="T13" s="68" t="e">
        <f>IF(VLOOKUP(G13,ESTANDAR!A:N,12,0)="SI",Q13+1,ROUNDUP((Q13+2)/2,0))</f>
        <v>#N/A</v>
      </c>
      <c r="U13" s="68" t="e">
        <f>VLOOKUP(G13,ESTANDAR!A$3:N$98,12,0)</f>
        <v>#N/A</v>
      </c>
      <c r="V13" s="241">
        <f t="shared" si="1"/>
        <v>1</v>
      </c>
      <c r="W13" s="66" t="e">
        <f t="shared" ca="1" si="2"/>
        <v>#N/A</v>
      </c>
      <c r="Y13" s="66" t="b">
        <f t="shared" si="3"/>
        <v>0</v>
      </c>
      <c r="Z13" s="66" t="b">
        <f t="shared" si="4"/>
        <v>0</v>
      </c>
      <c r="AA13" s="66" t="b">
        <f t="shared" si="5"/>
        <v>0</v>
      </c>
      <c r="AB13" s="436" t="str">
        <f t="shared" si="6"/>
        <v/>
      </c>
      <c r="AC13" s="66" t="str">
        <f>IF('FORMATO DIL'!U19="","","VolTotal:  "&amp;'FORMATO DIL'!U19&amp;"mL")</f>
        <v/>
      </c>
    </row>
    <row r="14" spans="1:29" s="69" customFormat="1" ht="18">
      <c r="A14" s="225" t="str">
        <f>'FORMATO DIL'!A20</f>
        <v/>
      </c>
      <c r="B14" s="214" t="str">
        <f>UPPER(TRIM('FORMATO DIL'!B20))</f>
        <v/>
      </c>
      <c r="C14" s="215">
        <f>'FORMATO DIL'!C20</f>
        <v>0</v>
      </c>
      <c r="D14" s="218">
        <f>'FORMATO DIL'!D20</f>
        <v>0</v>
      </c>
      <c r="E14" s="217" t="str">
        <f>IF('FORMATO DIL'!E20&lt;&gt;"",'FORMATO DIL'!E20,"NA")</f>
        <v>NA</v>
      </c>
      <c r="F14" s="218">
        <f>'FORMATO DIL'!F20</f>
        <v>0</v>
      </c>
      <c r="G14" s="216">
        <f>'FORMATO DIL'!G20</f>
        <v>0</v>
      </c>
      <c r="H14" s="220">
        <f>IFERROR(IF(S14="L",VLOOKUP(G14,LOTES!A:E,2,0),VLOOKUP(G14,ESTANDAR!A:B,2,0)),0)</f>
        <v>0</v>
      </c>
      <c r="I14" s="219" t="e">
        <f>VLOOKUP(G14,ESTANDAR!A:N,3,0)</f>
        <v>#N/A</v>
      </c>
      <c r="J14" s="221">
        <f>VALUE('FORMATO DIL'!J20)</f>
        <v>0</v>
      </c>
      <c r="K14" s="228">
        <f>IFERROR(ROUNDUP((Q14*J14)/VLOOKUP(G14,ESTANDAR!A:M,5,0),0),0)</f>
        <v>0</v>
      </c>
      <c r="L14" s="309" t="str">
        <f>IFERROR(IF('FORMATO DIL'!B$6="NEO+PED",VLOOKUP(G14,ESTANDAR!A:N,6,0),VLOOKUP(G14,ESTANDAR!A:N,7,0)),"ERROR")</f>
        <v>ERROR</v>
      </c>
      <c r="M14" s="222" t="b">
        <f t="shared" si="0"/>
        <v>0</v>
      </c>
      <c r="N14" s="223">
        <f>IF('FORMATO DIL'!N20=0,Q14,'FORMATO DIL'!N20)</f>
        <v>0</v>
      </c>
      <c r="O14" s="227" t="str">
        <f>IF(S14="L",VLOOKUP(G14,LOTES!A:E,4,0),A14)</f>
        <v/>
      </c>
      <c r="P14" s="310" t="e">
        <f ca="1">IF(S14="L",VLOOKUP(G14,LOTES!A:E,5,0),B$70+VLOOKUP(G14,ESTANDAR!A:N,10,0))</f>
        <v>#N/A</v>
      </c>
      <c r="Q14" s="224">
        <f>VALUE('FORMATO DIL'!Q20)</f>
        <v>0</v>
      </c>
      <c r="R14" s="311" t="e">
        <f>IF('FORMATO DIL'!R20=0,"DIL 1/"&amp;'DATOS ETIQ'!P10,'FORMATO DIL'!R20)</f>
        <v>#N/A</v>
      </c>
      <c r="S14" s="224">
        <f>IFERROR(IF(VLOOKUP(G14,ESTANDAR!A:N,9,0)="L","L",IF(AND('FORMATO DIL'!B$6="NEO+PED",VLOOKUP(G14,ESTANDAR!A:N,8,0)="JERINGA",'FORMATO DIL'!$G$5="HOSPITAL SANTA CLARA",M14&gt;=20),"SSN 50mL",IF(OR('FORMATO DIL'!B$6="NEO+PED",VLOOKUP(G14,ESTANDAR!A:N,9,0)="JERINGA"),IF(M14&lt;0.5,"JER 1mL",IF(AND(M14&gt;=0.5,M14&lt;=2.5),"JER 3mL",IF(AND(M14&gt;2.5,M14&lt;=4),"JER 5mL",IF(AND(M14&gt;4,M14&lt;=8),"JER 10mL",IF(AND(M14&gt;8,M14&lt;=16),"JER 20mL","JER 50mL"))))),VLOOKUP(G14,ESTANDAR!A:N,9,0)))),0)</f>
        <v>0</v>
      </c>
      <c r="T14" s="68" t="e">
        <f>IF(VLOOKUP(G14,ESTANDAR!A:N,12,0)="SI",Q14+1,ROUNDUP((Q14+2)/2,0))</f>
        <v>#N/A</v>
      </c>
      <c r="U14" s="68" t="e">
        <f>VLOOKUP(G14,ESTANDAR!A$3:N$98,12,0)</f>
        <v>#N/A</v>
      </c>
      <c r="V14" s="241">
        <f t="shared" si="1"/>
        <v>1</v>
      </c>
      <c r="W14" s="66" t="e">
        <f t="shared" ca="1" si="2"/>
        <v>#N/A</v>
      </c>
      <c r="Y14" s="66" t="b">
        <f t="shared" si="3"/>
        <v>0</v>
      </c>
      <c r="Z14" s="66" t="b">
        <f t="shared" si="4"/>
        <v>0</v>
      </c>
      <c r="AA14" s="66" t="b">
        <f t="shared" si="5"/>
        <v>0</v>
      </c>
      <c r="AB14" s="436" t="str">
        <f t="shared" si="6"/>
        <v/>
      </c>
      <c r="AC14" s="66" t="str">
        <f>IF('FORMATO DIL'!U20="","","VolTotal:  "&amp;'FORMATO DIL'!U20&amp;"mL")</f>
        <v/>
      </c>
    </row>
    <row r="15" spans="1:29" s="66" customFormat="1" ht="18">
      <c r="A15" s="225" t="str">
        <f>'FORMATO DIL'!A21</f>
        <v/>
      </c>
      <c r="B15" s="214" t="str">
        <f>UPPER(TRIM('FORMATO DIL'!B21))</f>
        <v/>
      </c>
      <c r="C15" s="215">
        <f>'FORMATO DIL'!C21</f>
        <v>0</v>
      </c>
      <c r="D15" s="218">
        <f>'FORMATO DIL'!D21</f>
        <v>0</v>
      </c>
      <c r="E15" s="217" t="str">
        <f>IF('FORMATO DIL'!E21&lt;&gt;"",'FORMATO DIL'!E21,"NA")</f>
        <v>NA</v>
      </c>
      <c r="F15" s="218">
        <f>'FORMATO DIL'!F21</f>
        <v>0</v>
      </c>
      <c r="G15" s="216">
        <f>'FORMATO DIL'!G21</f>
        <v>0</v>
      </c>
      <c r="H15" s="220">
        <f>IFERROR(IF(S15="L",VLOOKUP(G15,LOTES!A:E,2,0),VLOOKUP(G15,ESTANDAR!A:B,2,0)),0)</f>
        <v>0</v>
      </c>
      <c r="I15" s="219" t="e">
        <f>VLOOKUP(G15,ESTANDAR!A:N,3,0)</f>
        <v>#N/A</v>
      </c>
      <c r="J15" s="221">
        <f>VALUE('FORMATO DIL'!J21)</f>
        <v>0</v>
      </c>
      <c r="K15" s="228">
        <f>IFERROR(ROUNDUP((Q15*J15)/VLOOKUP(G15,ESTANDAR!A:M,5,0),0),0)</f>
        <v>0</v>
      </c>
      <c r="L15" s="309" t="str">
        <f>IFERROR(IF('FORMATO DIL'!B$6="NEO+PED",VLOOKUP(G15,ESTANDAR!A:N,6,0),VLOOKUP(G15,ESTANDAR!A:N,7,0)),"ERROR")</f>
        <v>ERROR</v>
      </c>
      <c r="M15" s="222" t="b">
        <f t="shared" si="0"/>
        <v>0</v>
      </c>
      <c r="N15" s="223">
        <f>IF('FORMATO DIL'!N21=0,Q15,'FORMATO DIL'!N21)</f>
        <v>0</v>
      </c>
      <c r="O15" s="227" t="str">
        <f>IF(S15="L",VLOOKUP(G15,LOTES!A:E,4,0),A15)</f>
        <v/>
      </c>
      <c r="P15" s="310" t="e">
        <f ca="1">IF(S15="L",VLOOKUP(G15,LOTES!A:E,5,0),B$70+VLOOKUP(G15,ESTANDAR!A:N,10,0))</f>
        <v>#N/A</v>
      </c>
      <c r="Q15" s="224">
        <f>VALUE('FORMATO DIL'!Q21)</f>
        <v>0</v>
      </c>
      <c r="R15" s="311" t="e">
        <f>IF('FORMATO DIL'!R21=0,"DIL 1/"&amp;'DATOS ETIQ'!P11,'FORMATO DIL'!R21)</f>
        <v>#N/A</v>
      </c>
      <c r="S15" s="224">
        <f>IFERROR(IF(VLOOKUP(G15,ESTANDAR!A:N,9,0)="L","L",IF(AND('FORMATO DIL'!B$6="NEO+PED",VLOOKUP(G15,ESTANDAR!A:N,8,0)="JERINGA",'FORMATO DIL'!$G$5="HOSPITAL SANTA CLARA",M15&gt;=20),"SSN 50mL",IF(OR('FORMATO DIL'!B$6="NEO+PED",VLOOKUP(G15,ESTANDAR!A:N,9,0)="JERINGA"),IF(M15&lt;0.5,"JER 1mL",IF(AND(M15&gt;=0.5,M15&lt;=2.5),"JER 3mL",IF(AND(M15&gt;2.5,M15&lt;=4),"JER 5mL",IF(AND(M15&gt;4,M15&lt;=8),"JER 10mL",IF(AND(M15&gt;8,M15&lt;=16),"JER 20mL","JER 50mL"))))),VLOOKUP(G15,ESTANDAR!A:N,9,0)))),0)</f>
        <v>0</v>
      </c>
      <c r="T15" s="68" t="e">
        <f>IF(VLOOKUP(G15,ESTANDAR!A:N,12,0)="SI",Q15+1,ROUNDUP((Q15+2)/2,0))</f>
        <v>#N/A</v>
      </c>
      <c r="U15" s="68" t="e">
        <f>VLOOKUP(G15,ESTANDAR!A$3:N$98,12,0)</f>
        <v>#N/A</v>
      </c>
      <c r="V15" s="241">
        <f t="shared" si="1"/>
        <v>1</v>
      </c>
      <c r="W15" s="66" t="e">
        <f t="shared" ca="1" si="2"/>
        <v>#N/A</v>
      </c>
      <c r="Y15" s="66" t="b">
        <f t="shared" si="3"/>
        <v>0</v>
      </c>
      <c r="Z15" s="66" t="b">
        <f t="shared" si="4"/>
        <v>0</v>
      </c>
      <c r="AA15" s="66" t="b">
        <f t="shared" si="5"/>
        <v>0</v>
      </c>
      <c r="AB15" s="436" t="str">
        <f t="shared" si="6"/>
        <v/>
      </c>
      <c r="AC15" s="66" t="str">
        <f>IF('FORMATO DIL'!U21="","","VolTotal:  "&amp;'FORMATO DIL'!U21&amp;"mL")</f>
        <v/>
      </c>
    </row>
    <row r="16" spans="1:29" s="69" customFormat="1" ht="18">
      <c r="A16" s="225" t="str">
        <f>'FORMATO DIL'!A22</f>
        <v/>
      </c>
      <c r="B16" s="214" t="str">
        <f>UPPER(TRIM('FORMATO DIL'!B22))</f>
        <v/>
      </c>
      <c r="C16" s="215">
        <f>'FORMATO DIL'!C22</f>
        <v>0</v>
      </c>
      <c r="D16" s="218">
        <f>'FORMATO DIL'!D22</f>
        <v>0</v>
      </c>
      <c r="E16" s="217" t="str">
        <f>IF('FORMATO DIL'!E22&lt;&gt;"",'FORMATO DIL'!E22,"NA")</f>
        <v>NA</v>
      </c>
      <c r="F16" s="218">
        <f>'FORMATO DIL'!F22</f>
        <v>0</v>
      </c>
      <c r="G16" s="216">
        <f>'FORMATO DIL'!G22</f>
        <v>0</v>
      </c>
      <c r="H16" s="220">
        <f>IFERROR(IF(S16="L",VLOOKUP(G16,LOTES!A:E,2,0),VLOOKUP(G16,ESTANDAR!A:B,2,0)),0)</f>
        <v>0</v>
      </c>
      <c r="I16" s="219" t="e">
        <f>VLOOKUP(G16,ESTANDAR!A:N,3,0)</f>
        <v>#N/A</v>
      </c>
      <c r="J16" s="221">
        <f>VALUE('FORMATO DIL'!J22)</f>
        <v>0</v>
      </c>
      <c r="K16" s="228">
        <f>IFERROR(ROUNDUP((Q16*J16)/VLOOKUP(G16,ESTANDAR!A:M,5,0),0),0)</f>
        <v>0</v>
      </c>
      <c r="L16" s="309" t="str">
        <f>IFERROR(IF('FORMATO DIL'!B$6="NEO+PED",VLOOKUP(G16,ESTANDAR!A:N,6,0),VLOOKUP(G16,ESTANDAR!A:N,7,0)),"ERROR")</f>
        <v>ERROR</v>
      </c>
      <c r="M16" s="222" t="b">
        <f t="shared" si="0"/>
        <v>0</v>
      </c>
      <c r="N16" s="223">
        <f>IF('FORMATO DIL'!N22=0,Q16,'FORMATO DIL'!N22)</f>
        <v>0</v>
      </c>
      <c r="O16" s="227" t="str">
        <f>IF(S16="L",VLOOKUP(G16,LOTES!A:E,4,0),A16)</f>
        <v/>
      </c>
      <c r="P16" s="310" t="e">
        <f ca="1">IF(S16="L",VLOOKUP(G16,LOTES!A:E,5,0),B$70+VLOOKUP(G16,ESTANDAR!A:N,10,0))</f>
        <v>#N/A</v>
      </c>
      <c r="Q16" s="224">
        <f>VALUE('FORMATO DIL'!Q22)</f>
        <v>0</v>
      </c>
      <c r="R16" s="311" t="e">
        <f>IF('FORMATO DIL'!R22=0,"DIL 1/"&amp;'DATOS ETIQ'!P12,'FORMATO DIL'!R22)</f>
        <v>#N/A</v>
      </c>
      <c r="S16" s="224">
        <f>IFERROR(IF(VLOOKUP(G16,ESTANDAR!A:N,9,0)="L","L",IF(AND('FORMATO DIL'!B$6="NEO+PED",VLOOKUP(G16,ESTANDAR!A:N,8,0)="JERINGA",'FORMATO DIL'!$G$5="HOSPITAL SANTA CLARA",M16&gt;=20),"SSN 50mL",IF(OR('FORMATO DIL'!B$6="NEO+PED",VLOOKUP(G16,ESTANDAR!A:N,9,0)="JERINGA"),IF(M16&lt;0.5,"JER 1mL",IF(AND(M16&gt;=0.5,M16&lt;=2.5),"JER 3mL",IF(AND(M16&gt;2.5,M16&lt;=4),"JER 5mL",IF(AND(M16&gt;4,M16&lt;=8),"JER 10mL",IF(AND(M16&gt;8,M16&lt;=16),"JER 20mL","JER 50mL"))))),VLOOKUP(G16,ESTANDAR!A:N,9,0)))),0)</f>
        <v>0</v>
      </c>
      <c r="T16" s="68" t="e">
        <f>IF(VLOOKUP(G16,ESTANDAR!A:N,12,0)="SI",Q16+1,ROUNDUP((Q16+2)/2,0))</f>
        <v>#N/A</v>
      </c>
      <c r="U16" s="68" t="e">
        <f>VLOOKUP(G16,ESTANDAR!A$3:N$98,12,0)</f>
        <v>#N/A</v>
      </c>
      <c r="V16" s="241">
        <f t="shared" si="1"/>
        <v>1</v>
      </c>
      <c r="W16" s="66" t="e">
        <f t="shared" ca="1" si="2"/>
        <v>#N/A</v>
      </c>
      <c r="Y16" s="66" t="b">
        <f t="shared" si="3"/>
        <v>0</v>
      </c>
      <c r="Z16" s="66" t="b">
        <f t="shared" si="4"/>
        <v>0</v>
      </c>
      <c r="AA16" s="66" t="b">
        <f t="shared" si="5"/>
        <v>0</v>
      </c>
      <c r="AB16" s="436" t="str">
        <f t="shared" si="6"/>
        <v/>
      </c>
      <c r="AC16" s="66" t="str">
        <f>IF('FORMATO DIL'!U22="","","VolTotal:  "&amp;'FORMATO DIL'!U22&amp;"mL")</f>
        <v/>
      </c>
    </row>
    <row r="17" spans="1:29" s="69" customFormat="1" ht="18">
      <c r="A17" s="225" t="str">
        <f>'FORMATO DIL'!A23</f>
        <v/>
      </c>
      <c r="B17" s="214" t="str">
        <f>UPPER(TRIM('FORMATO DIL'!B23))</f>
        <v/>
      </c>
      <c r="C17" s="215">
        <f>'FORMATO DIL'!C23</f>
        <v>0</v>
      </c>
      <c r="D17" s="218">
        <f>'FORMATO DIL'!D23</f>
        <v>0</v>
      </c>
      <c r="E17" s="217" t="str">
        <f>IF('FORMATO DIL'!E23&lt;&gt;"",'FORMATO DIL'!E23,"NA")</f>
        <v>NA</v>
      </c>
      <c r="F17" s="218">
        <f>'FORMATO DIL'!F23</f>
        <v>0</v>
      </c>
      <c r="G17" s="216">
        <f>'FORMATO DIL'!G23</f>
        <v>0</v>
      </c>
      <c r="H17" s="220">
        <f>IFERROR(IF(S17="L",VLOOKUP(G17,LOTES!A:E,2,0),VLOOKUP(G17,ESTANDAR!A:B,2,0)),0)</f>
        <v>0</v>
      </c>
      <c r="I17" s="219" t="e">
        <f>VLOOKUP(G17,ESTANDAR!A:N,3,0)</f>
        <v>#N/A</v>
      </c>
      <c r="J17" s="221">
        <f>VALUE('FORMATO DIL'!J23)</f>
        <v>0</v>
      </c>
      <c r="K17" s="228">
        <f>IFERROR(ROUNDUP((Q17*J17)/VLOOKUP(G17,ESTANDAR!A:M,5,0),0),0)</f>
        <v>0</v>
      </c>
      <c r="L17" s="309" t="str">
        <f>IFERROR(IF('FORMATO DIL'!B$6="NEO+PED",VLOOKUP(G17,ESTANDAR!A:N,6,0),VLOOKUP(G17,ESTANDAR!A:N,7,0)),"ERROR")</f>
        <v>ERROR</v>
      </c>
      <c r="M17" s="222" t="b">
        <f t="shared" si="0"/>
        <v>0</v>
      </c>
      <c r="N17" s="223">
        <f>IF('FORMATO DIL'!N23=0,Q17,'FORMATO DIL'!N23)</f>
        <v>0</v>
      </c>
      <c r="O17" s="227" t="str">
        <f>IF(S17="L",VLOOKUP(G17,LOTES!A:E,4,0),A17)</f>
        <v/>
      </c>
      <c r="P17" s="310" t="e">
        <f ca="1">IF(S17="L",VLOOKUP(G17,LOTES!A:E,5,0),B$70+VLOOKUP(G17,ESTANDAR!A:N,10,0))</f>
        <v>#N/A</v>
      </c>
      <c r="Q17" s="224">
        <f>VALUE('FORMATO DIL'!Q23)</f>
        <v>0</v>
      </c>
      <c r="R17" s="311" t="e">
        <f>IF('FORMATO DIL'!R23=0,"DIL 1/"&amp;'DATOS ETIQ'!P13,'FORMATO DIL'!R23)</f>
        <v>#N/A</v>
      </c>
      <c r="S17" s="224">
        <f>IFERROR(IF(VLOOKUP(G17,ESTANDAR!A:N,9,0)="L","L",IF(AND('FORMATO DIL'!B$6="NEO+PED",VLOOKUP(G17,ESTANDAR!A:N,8,0)="JERINGA",'FORMATO DIL'!$G$5="HOSPITAL SANTA CLARA",M17&gt;=20),"SSN 50mL",IF(OR('FORMATO DIL'!B$6="NEO+PED",VLOOKUP(G17,ESTANDAR!A:N,9,0)="JERINGA"),IF(M17&lt;0.5,"JER 1mL",IF(AND(M17&gt;=0.5,M17&lt;=2.5),"JER 3mL",IF(AND(M17&gt;2.5,M17&lt;=4),"JER 5mL",IF(AND(M17&gt;4,M17&lt;=8),"JER 10mL",IF(AND(M17&gt;8,M17&lt;=16),"JER 20mL","JER 50mL"))))),VLOOKUP(G17,ESTANDAR!A:N,9,0)))),0)</f>
        <v>0</v>
      </c>
      <c r="T17" s="68" t="e">
        <f>IF(VLOOKUP(G17,ESTANDAR!A:N,12,0)="SI",Q17+1,ROUNDUP((Q17+2)/2,0))</f>
        <v>#N/A</v>
      </c>
      <c r="U17" s="68" t="e">
        <f>VLOOKUP(G17,ESTANDAR!A$3:N$98,12,0)</f>
        <v>#N/A</v>
      </c>
      <c r="V17" s="241">
        <f t="shared" si="1"/>
        <v>1</v>
      </c>
      <c r="W17" s="66" t="e">
        <f t="shared" ca="1" si="2"/>
        <v>#N/A</v>
      </c>
      <c r="Y17" s="66" t="b">
        <f t="shared" si="3"/>
        <v>0</v>
      </c>
      <c r="Z17" s="66" t="b">
        <f t="shared" si="4"/>
        <v>0</v>
      </c>
      <c r="AA17" s="66" t="b">
        <f t="shared" si="5"/>
        <v>0</v>
      </c>
      <c r="AB17" s="436" t="str">
        <f t="shared" si="6"/>
        <v/>
      </c>
      <c r="AC17" s="66" t="str">
        <f>IF('FORMATO DIL'!U23="","","VolTotal:  "&amp;'FORMATO DIL'!U23&amp;"mL")</f>
        <v/>
      </c>
    </row>
    <row r="18" spans="1:29" s="69" customFormat="1" ht="18">
      <c r="A18" s="225" t="str">
        <f>'FORMATO DIL'!A24</f>
        <v/>
      </c>
      <c r="B18" s="214" t="str">
        <f>UPPER(TRIM('FORMATO DIL'!B24))</f>
        <v/>
      </c>
      <c r="C18" s="215">
        <f>'FORMATO DIL'!C24</f>
        <v>0</v>
      </c>
      <c r="D18" s="218">
        <f>'FORMATO DIL'!D24</f>
        <v>0</v>
      </c>
      <c r="E18" s="217" t="str">
        <f>IF('FORMATO DIL'!E24&lt;&gt;"",'FORMATO DIL'!E24,"NA")</f>
        <v>NA</v>
      </c>
      <c r="F18" s="218">
        <f>'FORMATO DIL'!F24</f>
        <v>0</v>
      </c>
      <c r="G18" s="216">
        <f>'FORMATO DIL'!G24</f>
        <v>0</v>
      </c>
      <c r="H18" s="220">
        <f>IFERROR(IF(S18="L",VLOOKUP(G18,LOTES!A:E,2,0),VLOOKUP(G18,ESTANDAR!A:B,2,0)),0)</f>
        <v>0</v>
      </c>
      <c r="I18" s="219" t="e">
        <f>VLOOKUP(G18,ESTANDAR!A:N,3,0)</f>
        <v>#N/A</v>
      </c>
      <c r="J18" s="221">
        <f>VALUE('FORMATO DIL'!J24)</f>
        <v>0</v>
      </c>
      <c r="K18" s="228">
        <f>IFERROR(ROUNDUP((Q18*J18)/VLOOKUP(G18,ESTANDAR!A:M,5,0),0),0)</f>
        <v>0</v>
      </c>
      <c r="L18" s="309" t="str">
        <f>IFERROR(IF('FORMATO DIL'!B$6="NEO+PED",VLOOKUP(G18,ESTANDAR!A:N,6,0),VLOOKUP(G18,ESTANDAR!A:N,7,0)),"ERROR")</f>
        <v>ERROR</v>
      </c>
      <c r="M18" s="222" t="b">
        <f t="shared" si="0"/>
        <v>0</v>
      </c>
      <c r="N18" s="223">
        <f>IF('FORMATO DIL'!N24=0,Q18,'FORMATO DIL'!N24)</f>
        <v>0</v>
      </c>
      <c r="O18" s="227" t="str">
        <f>IF(S18="L",VLOOKUP(G18,LOTES!A:E,4,0),A18)</f>
        <v/>
      </c>
      <c r="P18" s="310" t="e">
        <f ca="1">IF(S18="L",VLOOKUP(G18,LOTES!A:E,5,0),B$70+VLOOKUP(G18,ESTANDAR!A:N,10,0))</f>
        <v>#N/A</v>
      </c>
      <c r="Q18" s="224">
        <f>VALUE('FORMATO DIL'!Q24)</f>
        <v>0</v>
      </c>
      <c r="R18" s="311" t="e">
        <f>IF('FORMATO DIL'!R24=0,"DIL 1/"&amp;'DATOS ETIQ'!P14,'FORMATO DIL'!R24)</f>
        <v>#N/A</v>
      </c>
      <c r="S18" s="224">
        <f>IFERROR(IF(VLOOKUP(G18,ESTANDAR!A:N,9,0)="L","L",IF(AND('FORMATO DIL'!B$6="NEO+PED",VLOOKUP(G18,ESTANDAR!A:N,8,0)="JERINGA",'FORMATO DIL'!$G$5="HOSPITAL SANTA CLARA",M18&gt;=20),"SSN 50mL",IF(OR('FORMATO DIL'!B$6="NEO+PED",VLOOKUP(G18,ESTANDAR!A:N,9,0)="JERINGA"),IF(M18&lt;0.5,"JER 1mL",IF(AND(M18&gt;=0.5,M18&lt;=2.5),"JER 3mL",IF(AND(M18&gt;2.5,M18&lt;=4),"JER 5mL",IF(AND(M18&gt;4,M18&lt;=8),"JER 10mL",IF(AND(M18&gt;8,M18&lt;=16),"JER 20mL","JER 50mL"))))),VLOOKUP(G18,ESTANDAR!A:N,9,0)))),0)</f>
        <v>0</v>
      </c>
      <c r="T18" s="68" t="e">
        <f>IF(VLOOKUP(G18,ESTANDAR!A:N,12,0)="SI",Q18+1,ROUNDUP((Q18+2)/2,0))</f>
        <v>#N/A</v>
      </c>
      <c r="U18" s="68" t="e">
        <f>VLOOKUP(G18,ESTANDAR!A$3:N$98,12,0)</f>
        <v>#N/A</v>
      </c>
      <c r="V18" s="241">
        <f t="shared" si="1"/>
        <v>1</v>
      </c>
      <c r="W18" s="66" t="e">
        <f t="shared" ca="1" si="2"/>
        <v>#N/A</v>
      </c>
      <c r="Y18" s="66" t="b">
        <f t="shared" si="3"/>
        <v>0</v>
      </c>
      <c r="Z18" s="66" t="b">
        <f t="shared" si="4"/>
        <v>0</v>
      </c>
      <c r="AA18" s="66" t="b">
        <f t="shared" si="5"/>
        <v>0</v>
      </c>
      <c r="AB18" s="436" t="str">
        <f t="shared" si="6"/>
        <v/>
      </c>
      <c r="AC18" s="66" t="str">
        <f>IF('FORMATO DIL'!U24="","","VolTotal:  "&amp;'FORMATO DIL'!U24&amp;"mL")</f>
        <v/>
      </c>
    </row>
    <row r="19" spans="1:29" s="69" customFormat="1" ht="18">
      <c r="A19" s="225" t="str">
        <f>'FORMATO DIL'!A25</f>
        <v/>
      </c>
      <c r="B19" s="214" t="str">
        <f>UPPER(TRIM('FORMATO DIL'!B25))</f>
        <v/>
      </c>
      <c r="C19" s="215">
        <f>'FORMATO DIL'!C25</f>
        <v>0</v>
      </c>
      <c r="D19" s="218">
        <f>'FORMATO DIL'!D25</f>
        <v>0</v>
      </c>
      <c r="E19" s="217" t="str">
        <f>IF('FORMATO DIL'!E25&lt;&gt;"",'FORMATO DIL'!E25,"NA")</f>
        <v>NA</v>
      </c>
      <c r="F19" s="218">
        <f>'FORMATO DIL'!F25</f>
        <v>0</v>
      </c>
      <c r="G19" s="216">
        <f>'FORMATO DIL'!G25</f>
        <v>0</v>
      </c>
      <c r="H19" s="220">
        <f>IFERROR(IF(S19="L",VLOOKUP(G19,LOTES!A:E,2,0),VLOOKUP(G19,ESTANDAR!A:B,2,0)),0)</f>
        <v>0</v>
      </c>
      <c r="I19" s="219" t="e">
        <f>VLOOKUP(G19,ESTANDAR!A:N,3,0)</f>
        <v>#N/A</v>
      </c>
      <c r="J19" s="221">
        <f>VALUE('FORMATO DIL'!J25)</f>
        <v>0</v>
      </c>
      <c r="K19" s="228">
        <f>IFERROR(ROUNDUP((Q19*J19)/VLOOKUP(G19,ESTANDAR!A:M,5,0),0),0)</f>
        <v>0</v>
      </c>
      <c r="L19" s="309" t="str">
        <f>IFERROR(IF('FORMATO DIL'!B$6="NEO+PED",VLOOKUP(G19,ESTANDAR!A:N,6,0),VLOOKUP(G19,ESTANDAR!A:N,7,0)),"ERROR")</f>
        <v>ERROR</v>
      </c>
      <c r="M19" s="222" t="b">
        <f t="shared" si="0"/>
        <v>0</v>
      </c>
      <c r="N19" s="223">
        <f>IF('FORMATO DIL'!N25=0,Q19,'FORMATO DIL'!N25)</f>
        <v>0</v>
      </c>
      <c r="O19" s="227" t="str">
        <f>IF(S19="L",VLOOKUP(G19,LOTES!A:E,4,0),A19)</f>
        <v/>
      </c>
      <c r="P19" s="310" t="e">
        <f ca="1">IF(S19="L",VLOOKUP(G19,LOTES!A:E,5,0),B$70+VLOOKUP(G19,ESTANDAR!A:N,10,0))</f>
        <v>#N/A</v>
      </c>
      <c r="Q19" s="224">
        <f>VALUE('FORMATO DIL'!Q25)</f>
        <v>0</v>
      </c>
      <c r="R19" s="311" t="e">
        <f>IF('FORMATO DIL'!R25=0,"DIL 1/"&amp;'DATOS ETIQ'!P15,'FORMATO DIL'!R25)</f>
        <v>#N/A</v>
      </c>
      <c r="S19" s="224">
        <f>IFERROR(IF(VLOOKUP(G19,ESTANDAR!A:N,9,0)="L","L",IF(AND('FORMATO DIL'!B$6="NEO+PED",VLOOKUP(G19,ESTANDAR!A:N,8,0)="JERINGA",'FORMATO DIL'!$G$5="HOSPITAL SANTA CLARA",M19&gt;=20),"SSN 50mL",IF(OR('FORMATO DIL'!B$6="NEO+PED",VLOOKUP(G19,ESTANDAR!A:N,9,0)="JERINGA"),IF(M19&lt;0.5,"JER 1mL",IF(AND(M19&gt;=0.5,M19&lt;=2.5),"JER 3mL",IF(AND(M19&gt;2.5,M19&lt;=4),"JER 5mL",IF(AND(M19&gt;4,M19&lt;=8),"JER 10mL",IF(AND(M19&gt;8,M19&lt;=16),"JER 20mL","JER 50mL"))))),VLOOKUP(G19,ESTANDAR!A:N,9,0)))),0)</f>
        <v>0</v>
      </c>
      <c r="T19" s="68" t="e">
        <f>IF(VLOOKUP(G19,ESTANDAR!A:N,12,0)="SI",Q19+1,ROUNDUP((Q19+2)/2,0))</f>
        <v>#N/A</v>
      </c>
      <c r="U19" s="68" t="e">
        <f>VLOOKUP(G19,ESTANDAR!A$3:N$98,12,0)</f>
        <v>#N/A</v>
      </c>
      <c r="V19" s="241">
        <f t="shared" si="1"/>
        <v>1</v>
      </c>
      <c r="W19" s="66" t="e">
        <f t="shared" ca="1" si="2"/>
        <v>#N/A</v>
      </c>
      <c r="Y19" s="66" t="b">
        <f t="shared" si="3"/>
        <v>0</v>
      </c>
      <c r="Z19" s="66" t="b">
        <f t="shared" si="4"/>
        <v>0</v>
      </c>
      <c r="AA19" s="66" t="b">
        <f t="shared" si="5"/>
        <v>0</v>
      </c>
      <c r="AB19" s="436" t="str">
        <f t="shared" si="6"/>
        <v/>
      </c>
      <c r="AC19" s="66" t="str">
        <f>IF('FORMATO DIL'!U25="","","VolTotal:  "&amp;'FORMATO DIL'!U25&amp;"mL")</f>
        <v/>
      </c>
    </row>
    <row r="20" spans="1:29" s="66" customFormat="1" ht="18">
      <c r="A20" s="225" t="str">
        <f>'FORMATO DIL'!A26</f>
        <v/>
      </c>
      <c r="B20" s="214" t="str">
        <f>UPPER(TRIM('FORMATO DIL'!B26))</f>
        <v/>
      </c>
      <c r="C20" s="215">
        <f>'FORMATO DIL'!C26</f>
        <v>0</v>
      </c>
      <c r="D20" s="218">
        <f>'FORMATO DIL'!D26</f>
        <v>0</v>
      </c>
      <c r="E20" s="217" t="str">
        <f>IF('FORMATO DIL'!E26&lt;&gt;"",'FORMATO DIL'!E26,"NA")</f>
        <v>NA</v>
      </c>
      <c r="F20" s="218">
        <f>'FORMATO DIL'!F26</f>
        <v>0</v>
      </c>
      <c r="G20" s="216">
        <f>'FORMATO DIL'!G26</f>
        <v>0</v>
      </c>
      <c r="H20" s="220">
        <f>IFERROR(IF(S20="L",VLOOKUP(G20,LOTES!A:E,2,0),VLOOKUP(G20,ESTANDAR!A:B,2,0)),0)</f>
        <v>0</v>
      </c>
      <c r="I20" s="219" t="e">
        <f>VLOOKUP(G20,ESTANDAR!A:N,3,0)</f>
        <v>#N/A</v>
      </c>
      <c r="J20" s="221">
        <f>VALUE('FORMATO DIL'!J26)</f>
        <v>0</v>
      </c>
      <c r="K20" s="228">
        <f>IFERROR(ROUNDUP((Q20*J20)/VLOOKUP(G20,ESTANDAR!A:M,5,0),0),0)</f>
        <v>0</v>
      </c>
      <c r="L20" s="309" t="str">
        <f>IFERROR(IF('FORMATO DIL'!B$6="NEO+PED",VLOOKUP(G20,ESTANDAR!A:N,6,0),VLOOKUP(G20,ESTANDAR!A:N,7,0)),"ERROR")</f>
        <v>ERROR</v>
      </c>
      <c r="M20" s="222" t="b">
        <f t="shared" si="0"/>
        <v>0</v>
      </c>
      <c r="N20" s="223">
        <f>IF('FORMATO DIL'!N26=0,Q20,'FORMATO DIL'!N26)</f>
        <v>0</v>
      </c>
      <c r="O20" s="227" t="str">
        <f>IF(S20="L",VLOOKUP(G20,LOTES!A:E,4,0),A20)</f>
        <v/>
      </c>
      <c r="P20" s="310" t="e">
        <f ca="1">IF(S20="L",VLOOKUP(G20,LOTES!A:E,5,0),B$70+VLOOKUP(G20,ESTANDAR!A:N,10,0))</f>
        <v>#N/A</v>
      </c>
      <c r="Q20" s="224">
        <f>VALUE('FORMATO DIL'!Q26)</f>
        <v>0</v>
      </c>
      <c r="R20" s="311" t="e">
        <f>IF('FORMATO DIL'!R26=0,"DIL 1/"&amp;'DATOS ETIQ'!P16,'FORMATO DIL'!R26)</f>
        <v>#N/A</v>
      </c>
      <c r="S20" s="224">
        <f>IFERROR(IF(VLOOKUP(G20,ESTANDAR!A:N,9,0)="L","L",IF(AND('FORMATO DIL'!B$6="NEO+PED",VLOOKUP(G20,ESTANDAR!A:N,8,0)="JERINGA",'FORMATO DIL'!$G$5="HOSPITAL SANTA CLARA",M20&gt;=20),"SSN 50mL",IF(OR('FORMATO DIL'!B$6="NEO+PED",VLOOKUP(G20,ESTANDAR!A:N,9,0)="JERINGA"),IF(M20&lt;0.5,"JER 1mL",IF(AND(M20&gt;=0.5,M20&lt;=2.5),"JER 3mL",IF(AND(M20&gt;2.5,M20&lt;=4),"JER 5mL",IF(AND(M20&gt;4,M20&lt;=8),"JER 10mL",IF(AND(M20&gt;8,M20&lt;=16),"JER 20mL","JER 50mL"))))),VLOOKUP(G20,ESTANDAR!A:N,9,0)))),0)</f>
        <v>0</v>
      </c>
      <c r="T20" s="68" t="e">
        <f>IF(VLOOKUP(G20,ESTANDAR!A:N,12,0)="SI",Q20+1,ROUNDUP((Q20+2)/2,0))</f>
        <v>#N/A</v>
      </c>
      <c r="U20" s="68" t="e">
        <f>VLOOKUP(G20,ESTANDAR!A$3:N$98,12,0)</f>
        <v>#N/A</v>
      </c>
      <c r="V20" s="241">
        <f t="shared" si="1"/>
        <v>1</v>
      </c>
      <c r="W20" s="66" t="e">
        <f t="shared" ca="1" si="2"/>
        <v>#N/A</v>
      </c>
      <c r="Y20" s="66" t="b">
        <f t="shared" si="3"/>
        <v>0</v>
      </c>
      <c r="Z20" s="66" t="b">
        <f t="shared" si="4"/>
        <v>0</v>
      </c>
      <c r="AA20" s="66" t="b">
        <f t="shared" si="5"/>
        <v>0</v>
      </c>
      <c r="AB20" s="436" t="str">
        <f t="shared" si="6"/>
        <v/>
      </c>
      <c r="AC20" s="66" t="str">
        <f>IF('FORMATO DIL'!U26="","","VolTotal:  "&amp;'FORMATO DIL'!U26&amp;"mL")</f>
        <v/>
      </c>
    </row>
    <row r="21" spans="1:29" s="66" customFormat="1" ht="18">
      <c r="A21" s="225" t="str">
        <f>'FORMATO DIL'!A27</f>
        <v/>
      </c>
      <c r="B21" s="214" t="str">
        <f>UPPER(TRIM('FORMATO DIL'!B27))</f>
        <v/>
      </c>
      <c r="C21" s="215">
        <f>'FORMATO DIL'!C27</f>
        <v>0</v>
      </c>
      <c r="D21" s="218">
        <f>'FORMATO DIL'!D27</f>
        <v>0</v>
      </c>
      <c r="E21" s="217" t="str">
        <f>IF('FORMATO DIL'!E27&lt;&gt;"",'FORMATO DIL'!E27,"NA")</f>
        <v>NA</v>
      </c>
      <c r="F21" s="218">
        <f>'FORMATO DIL'!F27</f>
        <v>0</v>
      </c>
      <c r="G21" s="216">
        <f>'FORMATO DIL'!G27</f>
        <v>0</v>
      </c>
      <c r="H21" s="220">
        <f>IFERROR(IF(S21="L",VLOOKUP(G21,LOTES!A:E,2,0),VLOOKUP(G21,ESTANDAR!A:B,2,0)),0)</f>
        <v>0</v>
      </c>
      <c r="I21" s="219" t="e">
        <f>VLOOKUP(G21,ESTANDAR!A:N,3,0)</f>
        <v>#N/A</v>
      </c>
      <c r="J21" s="221">
        <f>VALUE('FORMATO DIL'!J27)</f>
        <v>0</v>
      </c>
      <c r="K21" s="228">
        <f>IFERROR(ROUNDUP((Q21*J21)/VLOOKUP(G21,ESTANDAR!A:M,5,0),0),0)</f>
        <v>0</v>
      </c>
      <c r="L21" s="309" t="str">
        <f>IFERROR(IF('FORMATO DIL'!B$6="NEO+PED",VLOOKUP(G21,ESTANDAR!A:N,6,0),VLOOKUP(G21,ESTANDAR!A:N,7,0)),"ERROR")</f>
        <v>ERROR</v>
      </c>
      <c r="M21" s="222" t="b">
        <f t="shared" si="0"/>
        <v>0</v>
      </c>
      <c r="N21" s="223">
        <f>IF('FORMATO DIL'!N27=0,Q21,'FORMATO DIL'!N27)</f>
        <v>0</v>
      </c>
      <c r="O21" s="227" t="str">
        <f>IF(S21="L",VLOOKUP(G21,LOTES!A:E,4,0),A21)</f>
        <v/>
      </c>
      <c r="P21" s="310" t="e">
        <f ca="1">IF(S21="L",VLOOKUP(G21,LOTES!A:E,5,0),B$70+VLOOKUP(G21,ESTANDAR!A:N,10,0))</f>
        <v>#N/A</v>
      </c>
      <c r="Q21" s="224">
        <f>VALUE('FORMATO DIL'!Q27)</f>
        <v>0</v>
      </c>
      <c r="R21" s="311" t="e">
        <f>IF('FORMATO DIL'!R27=0,"DIL 1/"&amp;'DATOS ETIQ'!P17,'FORMATO DIL'!R27)</f>
        <v>#N/A</v>
      </c>
      <c r="S21" s="224">
        <f>IFERROR(IF(VLOOKUP(G21,ESTANDAR!A:N,9,0)="L","L",IF(AND('FORMATO DIL'!B$6="NEO+PED",VLOOKUP(G21,ESTANDAR!A:N,8,0)="JERINGA",'FORMATO DIL'!$G$5="HOSPITAL SANTA CLARA",M21&gt;=20),"SSN 50mL",IF(OR('FORMATO DIL'!B$6="NEO+PED",VLOOKUP(G21,ESTANDAR!A:N,9,0)="JERINGA"),IF(M21&lt;0.5,"JER 1mL",IF(AND(M21&gt;=0.5,M21&lt;=2.5),"JER 3mL",IF(AND(M21&gt;2.5,M21&lt;=4),"JER 5mL",IF(AND(M21&gt;4,M21&lt;=8),"JER 10mL",IF(AND(M21&gt;8,M21&lt;=16),"JER 20mL","JER 50mL"))))),VLOOKUP(G21,ESTANDAR!A:N,9,0)))),0)</f>
        <v>0</v>
      </c>
      <c r="T21" s="68" t="e">
        <f>IF(VLOOKUP(G21,ESTANDAR!A:N,12,0)="SI",Q21+1,ROUNDUP((Q21+2)/2,0))</f>
        <v>#N/A</v>
      </c>
      <c r="U21" s="68" t="e">
        <f>VLOOKUP(G21,ESTANDAR!A$3:N$98,12,0)</f>
        <v>#N/A</v>
      </c>
      <c r="V21" s="241">
        <f t="shared" si="1"/>
        <v>1</v>
      </c>
      <c r="W21" s="66" t="e">
        <f t="shared" ca="1" si="2"/>
        <v>#N/A</v>
      </c>
      <c r="Y21" s="66" t="b">
        <f t="shared" si="3"/>
        <v>0</v>
      </c>
      <c r="Z21" s="66" t="b">
        <f t="shared" si="4"/>
        <v>0</v>
      </c>
      <c r="AA21" s="66" t="b">
        <f t="shared" si="5"/>
        <v>0</v>
      </c>
      <c r="AB21" s="436" t="str">
        <f t="shared" si="6"/>
        <v/>
      </c>
      <c r="AC21" s="66" t="str">
        <f>IF('FORMATO DIL'!U27="","","VolTotal:  "&amp;'FORMATO DIL'!U27&amp;"mL")</f>
        <v/>
      </c>
    </row>
    <row r="22" spans="1:29" s="66" customFormat="1" ht="18">
      <c r="A22" s="225" t="str">
        <f>'FORMATO DIL'!A28</f>
        <v/>
      </c>
      <c r="B22" s="214" t="str">
        <f>UPPER(TRIM('FORMATO DIL'!B28))</f>
        <v/>
      </c>
      <c r="C22" s="215">
        <f>'FORMATO DIL'!C28</f>
        <v>0</v>
      </c>
      <c r="D22" s="218">
        <f>'FORMATO DIL'!D28</f>
        <v>0</v>
      </c>
      <c r="E22" s="217" t="str">
        <f>IF('FORMATO DIL'!E28&lt;&gt;"",'FORMATO DIL'!E28,"NA")</f>
        <v>NA</v>
      </c>
      <c r="F22" s="218">
        <f>'FORMATO DIL'!F28</f>
        <v>0</v>
      </c>
      <c r="G22" s="216">
        <f>'FORMATO DIL'!G28</f>
        <v>0</v>
      </c>
      <c r="H22" s="220">
        <f>IFERROR(IF(S22="L",VLOOKUP(G22,LOTES!A:E,2,0),VLOOKUP(G22,ESTANDAR!A:B,2,0)),0)</f>
        <v>0</v>
      </c>
      <c r="I22" s="219" t="e">
        <f>VLOOKUP(G22,ESTANDAR!A:N,3,0)</f>
        <v>#N/A</v>
      </c>
      <c r="J22" s="221">
        <f>VALUE('FORMATO DIL'!J28)</f>
        <v>0</v>
      </c>
      <c r="K22" s="228">
        <f>IFERROR(ROUNDUP((Q22*J22)/VLOOKUP(G22,ESTANDAR!A:M,5,0),0),0)</f>
        <v>0</v>
      </c>
      <c r="L22" s="309" t="str">
        <f>IFERROR(IF('FORMATO DIL'!B$6="NEO+PED",VLOOKUP(G22,ESTANDAR!A:N,6,0),VLOOKUP(G22,ESTANDAR!A:N,7,0)),"ERROR")</f>
        <v>ERROR</v>
      </c>
      <c r="M22" s="222" t="b">
        <f t="shared" si="0"/>
        <v>0</v>
      </c>
      <c r="N22" s="223">
        <f>IF('FORMATO DIL'!N28=0,Q22,'FORMATO DIL'!N28)</f>
        <v>0</v>
      </c>
      <c r="O22" s="227" t="str">
        <f>IF(S22="L",VLOOKUP(G22,LOTES!A:E,4,0),A22)</f>
        <v/>
      </c>
      <c r="P22" s="310" t="e">
        <f ca="1">IF(S22="L",VLOOKUP(G22,LOTES!A:E,5,0),B$70+VLOOKUP(G22,ESTANDAR!A:N,10,0))</f>
        <v>#N/A</v>
      </c>
      <c r="Q22" s="224">
        <f>VALUE('FORMATO DIL'!Q28)</f>
        <v>0</v>
      </c>
      <c r="R22" s="311" t="e">
        <f>IF('FORMATO DIL'!R28=0,"DIL 1/"&amp;'DATOS ETIQ'!P18,'FORMATO DIL'!R28)</f>
        <v>#N/A</v>
      </c>
      <c r="S22" s="224">
        <f>IFERROR(IF(VLOOKUP(G22,ESTANDAR!A:N,9,0)="L","L",IF(AND('FORMATO DIL'!B$6="NEO+PED",VLOOKUP(G22,ESTANDAR!A:N,8,0)="JERINGA",'FORMATO DIL'!$G$5="HOSPITAL SANTA CLARA",M22&gt;=20),"SSN 50mL",IF(OR('FORMATO DIL'!B$6="NEO+PED",VLOOKUP(G22,ESTANDAR!A:N,9,0)="JERINGA"),IF(M22&lt;0.5,"JER 1mL",IF(AND(M22&gt;=0.5,M22&lt;=2.5),"JER 3mL",IF(AND(M22&gt;2.5,M22&lt;=4),"JER 5mL",IF(AND(M22&gt;4,M22&lt;=8),"JER 10mL",IF(AND(M22&gt;8,M22&lt;=16),"JER 20mL","JER 50mL"))))),VLOOKUP(G22,ESTANDAR!A:N,9,0)))),0)</f>
        <v>0</v>
      </c>
      <c r="T22" s="68" t="e">
        <f>IF(VLOOKUP(G22,ESTANDAR!A:N,12,0)="SI",Q22+1,ROUNDUP((Q22+2)/2,0))</f>
        <v>#N/A</v>
      </c>
      <c r="U22" s="68" t="e">
        <f>VLOOKUP(G22,ESTANDAR!A$3:N$98,12,0)</f>
        <v>#N/A</v>
      </c>
      <c r="V22" s="241">
        <f t="shared" si="1"/>
        <v>1</v>
      </c>
      <c r="W22" s="66" t="e">
        <f t="shared" ca="1" si="2"/>
        <v>#N/A</v>
      </c>
      <c r="Y22" s="66" t="b">
        <f t="shared" si="3"/>
        <v>0</v>
      </c>
      <c r="Z22" s="66" t="b">
        <f t="shared" si="4"/>
        <v>0</v>
      </c>
      <c r="AA22" s="66" t="b">
        <f t="shared" si="5"/>
        <v>0</v>
      </c>
      <c r="AB22" s="436" t="str">
        <f t="shared" si="6"/>
        <v/>
      </c>
      <c r="AC22" s="66" t="str">
        <f>IF('FORMATO DIL'!U28="","","VolTotal:  "&amp;'FORMATO DIL'!U28&amp;"mL")</f>
        <v/>
      </c>
    </row>
    <row r="23" spans="1:29" s="66" customFormat="1" ht="20.100000000000001" customHeight="1">
      <c r="A23" s="225" t="str">
        <f>'FORMATO DIL'!A29</f>
        <v/>
      </c>
      <c r="B23" s="214" t="str">
        <f>UPPER(TRIM('FORMATO DIL'!B29))</f>
        <v/>
      </c>
      <c r="C23" s="215">
        <f>'FORMATO DIL'!C29</f>
        <v>0</v>
      </c>
      <c r="D23" s="218">
        <f>'FORMATO DIL'!D29</f>
        <v>0</v>
      </c>
      <c r="E23" s="217" t="str">
        <f>IF('FORMATO DIL'!E29&lt;&gt;"",'FORMATO DIL'!E29,"NA")</f>
        <v>NA</v>
      </c>
      <c r="F23" s="218">
        <f>'FORMATO DIL'!F29</f>
        <v>0</v>
      </c>
      <c r="G23" s="216">
        <f>'FORMATO DIL'!G29</f>
        <v>0</v>
      </c>
      <c r="H23" s="220">
        <f>IFERROR(IF(S23="L",VLOOKUP(G23,LOTES!A:E,2,0),VLOOKUP(G23,ESTANDAR!A:B,2,0)),0)</f>
        <v>0</v>
      </c>
      <c r="I23" s="219" t="e">
        <f>VLOOKUP(G23,ESTANDAR!A:N,3,0)</f>
        <v>#N/A</v>
      </c>
      <c r="J23" s="221">
        <f>VALUE('FORMATO DIL'!J29)</f>
        <v>0</v>
      </c>
      <c r="K23" s="228">
        <f>IFERROR(ROUNDUP((Q23*J23)/VLOOKUP(G23,ESTANDAR!A:M,5,0),0),0)</f>
        <v>0</v>
      </c>
      <c r="L23" s="309" t="str">
        <f>IFERROR(IF('FORMATO DIL'!B$6="NEO+PED",VLOOKUP(G23,ESTANDAR!A:N,6,0),VLOOKUP(G23,ESTANDAR!A:N,7,0)),"ERROR")</f>
        <v>ERROR</v>
      </c>
      <c r="M23" s="222" t="b">
        <f t="shared" si="0"/>
        <v>0</v>
      </c>
      <c r="N23" s="223">
        <f>IF('FORMATO DIL'!N29=0,Q23,'FORMATO DIL'!N29)</f>
        <v>0</v>
      </c>
      <c r="O23" s="227" t="str">
        <f>IF(S23="L",VLOOKUP(G23,LOTES!A:E,4,0),A23)</f>
        <v/>
      </c>
      <c r="P23" s="310" t="e">
        <f ca="1">IF(S23="L",VLOOKUP(G23,LOTES!A:E,5,0),B$70+VLOOKUP(G23,ESTANDAR!A:N,10,0))</f>
        <v>#N/A</v>
      </c>
      <c r="Q23" s="224">
        <f>VALUE('FORMATO DIL'!Q29)</f>
        <v>0</v>
      </c>
      <c r="R23" s="311" t="e">
        <f>IF('FORMATO DIL'!R29=0,"DIL 1/"&amp;'DATOS ETIQ'!P19,'FORMATO DIL'!R29)</f>
        <v>#N/A</v>
      </c>
      <c r="S23" s="224">
        <f>IFERROR(IF(VLOOKUP(G23,ESTANDAR!A:N,9,0)="L","L",IF(AND('FORMATO DIL'!B$6="NEO+PED",VLOOKUP(G23,ESTANDAR!A:N,8,0)="JERINGA",'FORMATO DIL'!$G$5="HOSPITAL SANTA CLARA",M23&gt;=20),"SSN 50mL",IF(OR('FORMATO DIL'!B$6="NEO+PED",VLOOKUP(G23,ESTANDAR!A:N,9,0)="JERINGA"),IF(M23&lt;0.5,"JER 1mL",IF(AND(M23&gt;=0.5,M23&lt;=2.5),"JER 3mL",IF(AND(M23&gt;2.5,M23&lt;=4),"JER 5mL",IF(AND(M23&gt;4,M23&lt;=8),"JER 10mL",IF(AND(M23&gt;8,M23&lt;=16),"JER 20mL","JER 50mL"))))),VLOOKUP(G23,ESTANDAR!A:N,9,0)))),0)</f>
        <v>0</v>
      </c>
      <c r="T23" s="68" t="e">
        <f>IF(VLOOKUP(G23,ESTANDAR!A:N,12,0)="SI",Q23+1,ROUNDUP((Q23+2)/2,0))</f>
        <v>#N/A</v>
      </c>
      <c r="U23" s="68" t="e">
        <f>VLOOKUP(G23,ESTANDAR!A$3:N$98,12,0)</f>
        <v>#N/A</v>
      </c>
      <c r="V23" s="241">
        <f t="shared" si="1"/>
        <v>1</v>
      </c>
      <c r="W23" s="66" t="e">
        <f t="shared" ca="1" si="2"/>
        <v>#N/A</v>
      </c>
      <c r="Y23" s="66" t="b">
        <f t="shared" si="3"/>
        <v>0</v>
      </c>
      <c r="Z23" s="66" t="b">
        <f t="shared" si="4"/>
        <v>0</v>
      </c>
      <c r="AA23" s="66" t="b">
        <f t="shared" si="5"/>
        <v>0</v>
      </c>
      <c r="AB23" s="436" t="str">
        <f t="shared" si="6"/>
        <v/>
      </c>
      <c r="AC23" s="66" t="str">
        <f>IF('FORMATO DIL'!U29="","","VolTotal:  "&amp;'FORMATO DIL'!U29&amp;"mL")</f>
        <v/>
      </c>
    </row>
    <row r="24" spans="1:29" s="66" customFormat="1" ht="20.100000000000001" customHeight="1">
      <c r="A24" s="225" t="str">
        <f>'FORMATO DIL'!A30</f>
        <v/>
      </c>
      <c r="B24" s="214" t="str">
        <f>UPPER(TRIM('FORMATO DIL'!B30))</f>
        <v/>
      </c>
      <c r="C24" s="215">
        <f>'FORMATO DIL'!C30</f>
        <v>0</v>
      </c>
      <c r="D24" s="218">
        <f>'FORMATO DIL'!D30</f>
        <v>0</v>
      </c>
      <c r="E24" s="217" t="str">
        <f>IF('FORMATO DIL'!E30&lt;&gt;"",'FORMATO DIL'!E30,"NA")</f>
        <v>NA</v>
      </c>
      <c r="F24" s="218">
        <f>'FORMATO DIL'!F30</f>
        <v>0</v>
      </c>
      <c r="G24" s="216">
        <f>'FORMATO DIL'!G30</f>
        <v>0</v>
      </c>
      <c r="H24" s="220">
        <f>IFERROR(IF(S24="L",VLOOKUP(G24,LOTES!A:E,2,0),VLOOKUP(G24,ESTANDAR!A:B,2,0)),0)</f>
        <v>0</v>
      </c>
      <c r="I24" s="219" t="e">
        <f>VLOOKUP(G24,ESTANDAR!A:N,3,0)</f>
        <v>#N/A</v>
      </c>
      <c r="J24" s="221">
        <f>VALUE('FORMATO DIL'!J30)</f>
        <v>0</v>
      </c>
      <c r="K24" s="228">
        <f>IFERROR(ROUNDUP((Q24*J24)/VLOOKUP(G24,ESTANDAR!A:M,5,0),0),0)</f>
        <v>0</v>
      </c>
      <c r="L24" s="309" t="str">
        <f>IFERROR(IF('FORMATO DIL'!B$6="NEO+PED",VLOOKUP(G24,ESTANDAR!A:N,6,0),VLOOKUP(G24,ESTANDAR!A:N,7,0)),"ERROR")</f>
        <v>ERROR</v>
      </c>
      <c r="M24" s="222" t="b">
        <f t="shared" si="0"/>
        <v>0</v>
      </c>
      <c r="N24" s="223">
        <f>IF('FORMATO DIL'!N30=0,Q24,'FORMATO DIL'!N30)</f>
        <v>0</v>
      </c>
      <c r="O24" s="227" t="str">
        <f>IF(S24="L",VLOOKUP(G24,LOTES!A:E,4,0),A24)</f>
        <v/>
      </c>
      <c r="P24" s="310" t="e">
        <f ca="1">IF(S24="L",VLOOKUP(G24,LOTES!A:E,5,0),B$70+VLOOKUP(G24,ESTANDAR!A:N,10,0))</f>
        <v>#N/A</v>
      </c>
      <c r="Q24" s="224">
        <f>VALUE('FORMATO DIL'!Q30)</f>
        <v>0</v>
      </c>
      <c r="R24" s="311" t="e">
        <f>IF('FORMATO DIL'!R30=0,"DIL 1/"&amp;'DATOS ETIQ'!P20,'FORMATO DIL'!R30)</f>
        <v>#N/A</v>
      </c>
      <c r="S24" s="224">
        <f>IFERROR(IF(VLOOKUP(G24,ESTANDAR!A:N,9,0)="L","L",IF(AND('FORMATO DIL'!B$6="NEO+PED",VLOOKUP(G24,ESTANDAR!A:N,8,0)="JERINGA",'FORMATO DIL'!$G$5="HOSPITAL SANTA CLARA",M24&gt;=20),"SSN 50mL",IF(OR('FORMATO DIL'!B$6="NEO+PED",VLOOKUP(G24,ESTANDAR!A:N,9,0)="JERINGA"),IF(M24&lt;0.5,"JER 1mL",IF(AND(M24&gt;=0.5,M24&lt;=2.5),"JER 3mL",IF(AND(M24&gt;2.5,M24&lt;=4),"JER 5mL",IF(AND(M24&gt;4,M24&lt;=8),"JER 10mL",IF(AND(M24&gt;8,M24&lt;=16),"JER 20mL","JER 50mL"))))),VLOOKUP(G24,ESTANDAR!A:N,9,0)))),0)</f>
        <v>0</v>
      </c>
      <c r="T24" s="68" t="e">
        <f>IF(VLOOKUP(G24,ESTANDAR!A:N,12,0)="SI",Q24+1,ROUNDUP((Q24+2)/2,0))</f>
        <v>#N/A</v>
      </c>
      <c r="U24" s="68" t="e">
        <f>VLOOKUP(G24,ESTANDAR!A$3:N$98,12,0)</f>
        <v>#N/A</v>
      </c>
      <c r="V24" s="241">
        <f t="shared" si="1"/>
        <v>1</v>
      </c>
      <c r="W24" s="66" t="e">
        <f t="shared" ca="1" si="2"/>
        <v>#N/A</v>
      </c>
      <c r="Y24" s="66" t="b">
        <f t="shared" si="3"/>
        <v>0</v>
      </c>
      <c r="Z24" s="66" t="b">
        <f t="shared" si="4"/>
        <v>0</v>
      </c>
      <c r="AA24" s="66" t="b">
        <f t="shared" si="5"/>
        <v>0</v>
      </c>
      <c r="AB24" s="436" t="str">
        <f t="shared" si="6"/>
        <v/>
      </c>
      <c r="AC24" s="66" t="str">
        <f>IF('FORMATO DIL'!U30="","","VolTotal:  "&amp;'FORMATO DIL'!U30&amp;"mL")</f>
        <v/>
      </c>
    </row>
    <row r="25" spans="1:29" s="66" customFormat="1" ht="20.100000000000001" customHeight="1">
      <c r="A25" s="225" t="str">
        <f>'FORMATO DIL'!A31</f>
        <v/>
      </c>
      <c r="B25" s="214" t="str">
        <f>UPPER(TRIM('FORMATO DIL'!B31))</f>
        <v/>
      </c>
      <c r="C25" s="215">
        <f>'FORMATO DIL'!C31</f>
        <v>0</v>
      </c>
      <c r="D25" s="218">
        <f>'FORMATO DIL'!D31</f>
        <v>0</v>
      </c>
      <c r="E25" s="217" t="str">
        <f>IF('FORMATO DIL'!E31&lt;&gt;"",'FORMATO DIL'!E31,"NA")</f>
        <v>NA</v>
      </c>
      <c r="F25" s="218">
        <f>'FORMATO DIL'!F31</f>
        <v>0</v>
      </c>
      <c r="G25" s="216">
        <f>'FORMATO DIL'!G31</f>
        <v>0</v>
      </c>
      <c r="H25" s="220">
        <f>IFERROR(IF(S25="L",VLOOKUP(G25,LOTES!A:E,2,0),VLOOKUP(G25,ESTANDAR!A:B,2,0)),0)</f>
        <v>0</v>
      </c>
      <c r="I25" s="219" t="e">
        <f>VLOOKUP(G25,ESTANDAR!A:N,3,0)</f>
        <v>#N/A</v>
      </c>
      <c r="J25" s="221">
        <f>VALUE('FORMATO DIL'!J31)</f>
        <v>0</v>
      </c>
      <c r="K25" s="228">
        <f>IFERROR(ROUNDUP((Q25*J25)/VLOOKUP(G25,ESTANDAR!A:M,5,0),0),0)</f>
        <v>0</v>
      </c>
      <c r="L25" s="309" t="str">
        <f>IFERROR(IF('FORMATO DIL'!B$6="NEO+PED",VLOOKUP(G25,ESTANDAR!A:N,6,0),VLOOKUP(G25,ESTANDAR!A:N,7,0)),"ERROR")</f>
        <v>ERROR</v>
      </c>
      <c r="M25" s="222" t="b">
        <f t="shared" si="0"/>
        <v>0</v>
      </c>
      <c r="N25" s="223">
        <f>IF('FORMATO DIL'!N31=0,Q25,'FORMATO DIL'!N31)</f>
        <v>0</v>
      </c>
      <c r="O25" s="227" t="str">
        <f>IF(S25="L",VLOOKUP(G25,LOTES!A:E,4,0),A25)</f>
        <v/>
      </c>
      <c r="P25" s="310" t="e">
        <f ca="1">IF(S25="L",VLOOKUP(G25,LOTES!A:E,5,0),B$70+VLOOKUP(G25,ESTANDAR!A:N,10,0))</f>
        <v>#N/A</v>
      </c>
      <c r="Q25" s="224">
        <f>VALUE('FORMATO DIL'!Q31)</f>
        <v>0</v>
      </c>
      <c r="R25" s="311" t="e">
        <f>IF('FORMATO DIL'!R31=0,"DIL 1/"&amp;'DATOS ETIQ'!P21,'FORMATO DIL'!R31)</f>
        <v>#N/A</v>
      </c>
      <c r="S25" s="224">
        <f>IFERROR(IF(VLOOKUP(G25,ESTANDAR!A:N,9,0)="L","L",IF(AND('FORMATO DIL'!B$6="NEO+PED",VLOOKUP(G25,ESTANDAR!A:N,8,0)="JERINGA",'FORMATO DIL'!$G$5="HOSPITAL SANTA CLARA",M25&gt;=20),"SSN 50mL",IF(OR('FORMATO DIL'!B$6="NEO+PED",VLOOKUP(G25,ESTANDAR!A:N,9,0)="JERINGA"),IF(M25&lt;0.5,"JER 1mL",IF(AND(M25&gt;=0.5,M25&lt;=2.5),"JER 3mL",IF(AND(M25&gt;2.5,M25&lt;=4),"JER 5mL",IF(AND(M25&gt;4,M25&lt;=8),"JER 10mL",IF(AND(M25&gt;8,M25&lt;=16),"JER 20mL","JER 50mL"))))),VLOOKUP(G25,ESTANDAR!A:N,9,0)))),0)</f>
        <v>0</v>
      </c>
      <c r="T25" s="68" t="e">
        <f>IF(VLOOKUP(G25,ESTANDAR!A:N,12,0)="SI",Q25+1,ROUNDUP((Q25+2)/2,0))</f>
        <v>#N/A</v>
      </c>
      <c r="U25" s="68" t="e">
        <f>VLOOKUP(G25,ESTANDAR!A$3:N$98,12,0)</f>
        <v>#N/A</v>
      </c>
      <c r="V25" s="241">
        <f t="shared" si="1"/>
        <v>1</v>
      </c>
      <c r="W25" s="66" t="e">
        <f t="shared" ca="1" si="2"/>
        <v>#N/A</v>
      </c>
      <c r="Y25" s="66" t="b">
        <f t="shared" si="3"/>
        <v>0</v>
      </c>
      <c r="Z25" s="66" t="b">
        <f t="shared" si="4"/>
        <v>0</v>
      </c>
      <c r="AA25" s="66" t="b">
        <f t="shared" si="5"/>
        <v>0</v>
      </c>
      <c r="AB25" s="436" t="str">
        <f t="shared" si="6"/>
        <v/>
      </c>
      <c r="AC25" s="66" t="str">
        <f>IF('FORMATO DIL'!U31="","","VolTotal:  "&amp;'FORMATO DIL'!U31&amp;"mL")</f>
        <v/>
      </c>
    </row>
    <row r="26" spans="1:29" s="66" customFormat="1" ht="20.100000000000001" customHeight="1">
      <c r="A26" s="225" t="str">
        <f>'FORMATO DIL'!A32</f>
        <v/>
      </c>
      <c r="B26" s="214" t="str">
        <f>UPPER(TRIM('FORMATO DIL'!B32))</f>
        <v/>
      </c>
      <c r="C26" s="215">
        <f>'FORMATO DIL'!C32</f>
        <v>0</v>
      </c>
      <c r="D26" s="218">
        <f>'FORMATO DIL'!D32</f>
        <v>0</v>
      </c>
      <c r="E26" s="217" t="str">
        <f>IF('FORMATO DIL'!E32&lt;&gt;"",'FORMATO DIL'!E32,"NA")</f>
        <v>NA</v>
      </c>
      <c r="F26" s="218">
        <f>'FORMATO DIL'!F32</f>
        <v>0</v>
      </c>
      <c r="G26" s="216">
        <f>'FORMATO DIL'!G32</f>
        <v>0</v>
      </c>
      <c r="H26" s="220">
        <f>IFERROR(IF(S26="L",VLOOKUP(G26,LOTES!A:E,2,0),VLOOKUP(G26,ESTANDAR!A:B,2,0)),0)</f>
        <v>0</v>
      </c>
      <c r="I26" s="219" t="e">
        <f>VLOOKUP(G26,ESTANDAR!A:N,3,0)</f>
        <v>#N/A</v>
      </c>
      <c r="J26" s="221">
        <f>VALUE('FORMATO DIL'!J32)</f>
        <v>0</v>
      </c>
      <c r="K26" s="228">
        <f>IFERROR(ROUNDUP((Q26*J26)/VLOOKUP(G26,ESTANDAR!A:M,5,0),0),0)</f>
        <v>0</v>
      </c>
      <c r="L26" s="309" t="str">
        <f>IFERROR(IF('FORMATO DIL'!B$6="NEO+PED",VLOOKUP(G26,ESTANDAR!A:N,6,0),VLOOKUP(G26,ESTANDAR!A:N,7,0)),"ERROR")</f>
        <v>ERROR</v>
      </c>
      <c r="M26" s="222" t="b">
        <f t="shared" si="0"/>
        <v>0</v>
      </c>
      <c r="N26" s="223">
        <f>IF('FORMATO DIL'!N32=0,Q26,'FORMATO DIL'!N32)</f>
        <v>0</v>
      </c>
      <c r="O26" s="227" t="str">
        <f>IF(S26="L",VLOOKUP(G26,LOTES!A:E,4,0),A26)</f>
        <v/>
      </c>
      <c r="P26" s="310" t="e">
        <f ca="1">IF(S26="L",VLOOKUP(G26,LOTES!A:E,5,0),B$70+VLOOKUP(G26,ESTANDAR!A:N,10,0))</f>
        <v>#N/A</v>
      </c>
      <c r="Q26" s="224">
        <f>VALUE('FORMATO DIL'!Q32)</f>
        <v>0</v>
      </c>
      <c r="R26" s="311" t="e">
        <f>IF('FORMATO DIL'!R32=0,"DIL 1/"&amp;'DATOS ETIQ'!P22,'FORMATO DIL'!R32)</f>
        <v>#N/A</v>
      </c>
      <c r="S26" s="224">
        <f>IFERROR(IF(VLOOKUP(G26,ESTANDAR!A:N,9,0)="L","L",IF(AND('FORMATO DIL'!B$6="NEO+PED",VLOOKUP(G26,ESTANDAR!A:N,8,0)="JERINGA",'FORMATO DIL'!$G$5="HOSPITAL SANTA CLARA",M26&gt;=20),"SSN 50mL",IF(OR('FORMATO DIL'!B$6="NEO+PED",VLOOKUP(G26,ESTANDAR!A:N,9,0)="JERINGA"),IF(M26&lt;0.5,"JER 1mL",IF(AND(M26&gt;=0.5,M26&lt;=2.5),"JER 3mL",IF(AND(M26&gt;2.5,M26&lt;=4),"JER 5mL",IF(AND(M26&gt;4,M26&lt;=8),"JER 10mL",IF(AND(M26&gt;8,M26&lt;=16),"JER 20mL","JER 50mL"))))),VLOOKUP(G26,ESTANDAR!A:N,9,0)))),0)</f>
        <v>0</v>
      </c>
      <c r="T26" s="68" t="e">
        <f>IF(VLOOKUP(G26,ESTANDAR!A:N,12,0)="SI",Q26+1,ROUNDUP((Q26+2)/2,0))</f>
        <v>#N/A</v>
      </c>
      <c r="U26" s="68" t="e">
        <f>VLOOKUP(G26,ESTANDAR!A$3:N$98,12,0)</f>
        <v>#N/A</v>
      </c>
      <c r="V26" s="241">
        <f t="shared" si="1"/>
        <v>1</v>
      </c>
      <c r="W26" s="66" t="e">
        <f t="shared" ca="1" si="2"/>
        <v>#N/A</v>
      </c>
      <c r="Y26" s="66" t="b">
        <f t="shared" si="3"/>
        <v>0</v>
      </c>
      <c r="Z26" s="66" t="b">
        <f t="shared" si="4"/>
        <v>0</v>
      </c>
      <c r="AA26" s="66" t="b">
        <f t="shared" si="5"/>
        <v>0</v>
      </c>
      <c r="AB26" s="436" t="str">
        <f t="shared" si="6"/>
        <v/>
      </c>
      <c r="AC26" s="66" t="str">
        <f>IF('FORMATO DIL'!U32="","","VolTotal:  "&amp;'FORMATO DIL'!U32&amp;"mL")</f>
        <v/>
      </c>
    </row>
    <row r="27" spans="1:29" s="66" customFormat="1" ht="20.100000000000001" customHeight="1">
      <c r="A27" s="225" t="str">
        <f>'FORMATO DIL'!A33</f>
        <v/>
      </c>
      <c r="B27" s="214" t="str">
        <f>UPPER(TRIM('FORMATO DIL'!B33))</f>
        <v/>
      </c>
      <c r="C27" s="215">
        <f>'FORMATO DIL'!C33</f>
        <v>0</v>
      </c>
      <c r="D27" s="218">
        <f>'FORMATO DIL'!D33</f>
        <v>0</v>
      </c>
      <c r="E27" s="217" t="str">
        <f>IF('FORMATO DIL'!E33&lt;&gt;"",'FORMATO DIL'!E33,"NA")</f>
        <v>NA</v>
      </c>
      <c r="F27" s="218">
        <f>'FORMATO DIL'!F33</f>
        <v>0</v>
      </c>
      <c r="G27" s="216">
        <f>'FORMATO DIL'!G33</f>
        <v>0</v>
      </c>
      <c r="H27" s="220">
        <f>IFERROR(IF(S27="L",VLOOKUP(G27,LOTES!A:E,2,0),VLOOKUP(G27,ESTANDAR!A:B,2,0)),0)</f>
        <v>0</v>
      </c>
      <c r="I27" s="219" t="e">
        <f>VLOOKUP(G27,ESTANDAR!A:N,3,0)</f>
        <v>#N/A</v>
      </c>
      <c r="J27" s="221">
        <f>VALUE('FORMATO DIL'!J33)</f>
        <v>0</v>
      </c>
      <c r="K27" s="228">
        <f>IFERROR(ROUNDUP((Q27*J27)/VLOOKUP(G27,ESTANDAR!A:M,5,0),0),0)</f>
        <v>0</v>
      </c>
      <c r="L27" s="309" t="str">
        <f>IFERROR(IF('FORMATO DIL'!B$6="NEO+PED",VLOOKUP(G27,ESTANDAR!A:N,6,0),VLOOKUP(G27,ESTANDAR!A:N,7,0)),"ERROR")</f>
        <v>ERROR</v>
      </c>
      <c r="M27" s="222" t="b">
        <f t="shared" si="0"/>
        <v>0</v>
      </c>
      <c r="N27" s="223">
        <f>IF('FORMATO DIL'!N33=0,Q27,'FORMATO DIL'!N33)</f>
        <v>0</v>
      </c>
      <c r="O27" s="227" t="str">
        <f>IF(S27="L",VLOOKUP(G27,LOTES!A:E,4,0),A27)</f>
        <v/>
      </c>
      <c r="P27" s="310" t="e">
        <f ca="1">IF(S27="L",VLOOKUP(G27,LOTES!A:E,5,0),B$70+VLOOKUP(G27,ESTANDAR!A:N,10,0))</f>
        <v>#N/A</v>
      </c>
      <c r="Q27" s="224">
        <f>VALUE('FORMATO DIL'!Q33)</f>
        <v>0</v>
      </c>
      <c r="R27" s="311" t="e">
        <f>IF('FORMATO DIL'!R33=0,"DIL 1/"&amp;'DATOS ETIQ'!P23,'FORMATO DIL'!R33)</f>
        <v>#N/A</v>
      </c>
      <c r="S27" s="224">
        <f>IFERROR(IF(VLOOKUP(G27,ESTANDAR!A:N,9,0)="L","L",IF(AND('FORMATO DIL'!B$6="NEO+PED",VLOOKUP(G27,ESTANDAR!A:N,8,0)="JERINGA",'FORMATO DIL'!$G$5="HOSPITAL SANTA CLARA",M27&gt;=20),"SSN 50mL",IF(OR('FORMATO DIL'!B$6="NEO+PED",VLOOKUP(G27,ESTANDAR!A:N,9,0)="JERINGA"),IF(M27&lt;0.5,"JER 1mL",IF(AND(M27&gt;=0.5,M27&lt;=2.5),"JER 3mL",IF(AND(M27&gt;2.5,M27&lt;=4),"JER 5mL",IF(AND(M27&gt;4,M27&lt;=8),"JER 10mL",IF(AND(M27&gt;8,M27&lt;=16),"JER 20mL","JER 50mL"))))),VLOOKUP(G27,ESTANDAR!A:N,9,0)))),0)</f>
        <v>0</v>
      </c>
      <c r="T27" s="68" t="e">
        <f>IF(VLOOKUP(G27,ESTANDAR!A:N,12,0)="SI",Q27+1,ROUNDUP((Q27+2)/2,0))</f>
        <v>#N/A</v>
      </c>
      <c r="U27" s="68" t="e">
        <f>VLOOKUP(G27,ESTANDAR!A$3:N$98,12,0)</f>
        <v>#N/A</v>
      </c>
      <c r="V27" s="241">
        <f t="shared" si="1"/>
        <v>1</v>
      </c>
      <c r="W27" s="66" t="e">
        <f t="shared" ca="1" si="2"/>
        <v>#N/A</v>
      </c>
      <c r="Y27" s="66" t="b">
        <f t="shared" si="3"/>
        <v>0</v>
      </c>
      <c r="Z27" s="66" t="b">
        <f t="shared" si="4"/>
        <v>0</v>
      </c>
      <c r="AA27" s="66" t="b">
        <f t="shared" si="5"/>
        <v>0</v>
      </c>
      <c r="AB27" s="436" t="str">
        <f t="shared" si="6"/>
        <v/>
      </c>
      <c r="AC27" s="66" t="str">
        <f>IF('FORMATO DIL'!U33="","","VolTotal:  "&amp;'FORMATO DIL'!U33&amp;"mL")</f>
        <v/>
      </c>
    </row>
    <row r="28" spans="1:29" s="66" customFormat="1" ht="20.100000000000001" customHeight="1">
      <c r="A28" s="225" t="str">
        <f>'FORMATO DIL'!A34</f>
        <v/>
      </c>
      <c r="B28" s="214" t="str">
        <f>UPPER(TRIM('FORMATO DIL'!B34))</f>
        <v/>
      </c>
      <c r="C28" s="215">
        <f>'FORMATO DIL'!C34</f>
        <v>0</v>
      </c>
      <c r="D28" s="218">
        <f>'FORMATO DIL'!D34</f>
        <v>0</v>
      </c>
      <c r="E28" s="217" t="str">
        <f>IF('FORMATO DIL'!E34&lt;&gt;"",'FORMATO DIL'!E34,"NA")</f>
        <v>NA</v>
      </c>
      <c r="F28" s="218">
        <f>'FORMATO DIL'!F34</f>
        <v>0</v>
      </c>
      <c r="G28" s="216">
        <f>'FORMATO DIL'!G34</f>
        <v>0</v>
      </c>
      <c r="H28" s="220">
        <f>IFERROR(IF(S28="L",VLOOKUP(G28,LOTES!A:E,2,0),VLOOKUP(G28,ESTANDAR!A:B,2,0)),0)</f>
        <v>0</v>
      </c>
      <c r="I28" s="219" t="e">
        <f>VLOOKUP(G28,ESTANDAR!A:N,3,0)</f>
        <v>#N/A</v>
      </c>
      <c r="J28" s="221">
        <f>VALUE('FORMATO DIL'!J34)</f>
        <v>0</v>
      </c>
      <c r="K28" s="228">
        <f>IFERROR(ROUNDUP((Q28*J28)/VLOOKUP(G28,ESTANDAR!A:M,5,0),0),0)</f>
        <v>0</v>
      </c>
      <c r="L28" s="309" t="str">
        <f>IFERROR(IF('FORMATO DIL'!B$6="NEO+PED",VLOOKUP(G28,ESTANDAR!A:N,6,0),VLOOKUP(G28,ESTANDAR!A:N,7,0)),"ERROR")</f>
        <v>ERROR</v>
      </c>
      <c r="M28" s="222" t="b">
        <f t="shared" si="0"/>
        <v>0</v>
      </c>
      <c r="N28" s="223">
        <f>IF('FORMATO DIL'!N34=0,Q28,'FORMATO DIL'!N34)</f>
        <v>0</v>
      </c>
      <c r="O28" s="227" t="str">
        <f>IF(S28="L",VLOOKUP(G28,LOTES!A:E,4,0),A28)</f>
        <v/>
      </c>
      <c r="P28" s="310" t="e">
        <f ca="1">IF(S28="L",VLOOKUP(G28,LOTES!A:E,5,0),B$70+VLOOKUP(G28,ESTANDAR!A:N,10,0))</f>
        <v>#N/A</v>
      </c>
      <c r="Q28" s="224">
        <f>VALUE('FORMATO DIL'!Q34)</f>
        <v>0</v>
      </c>
      <c r="R28" s="311" t="e">
        <f>IF('FORMATO DIL'!R34=0,"DIL 1/"&amp;'DATOS ETIQ'!P24,'FORMATO DIL'!R34)</f>
        <v>#N/A</v>
      </c>
      <c r="S28" s="224">
        <f>IFERROR(IF(VLOOKUP(G28,ESTANDAR!A:N,9,0)="L","L",IF(AND('FORMATO DIL'!B$6="NEO+PED",VLOOKUP(G28,ESTANDAR!A:N,8,0)="JERINGA",'FORMATO DIL'!$G$5="HOSPITAL SANTA CLARA",M28&gt;=20),"SSN 50mL",IF(OR('FORMATO DIL'!B$6="NEO+PED",VLOOKUP(G28,ESTANDAR!A:N,9,0)="JERINGA"),IF(M28&lt;0.5,"JER 1mL",IF(AND(M28&gt;=0.5,M28&lt;=2.5),"JER 3mL",IF(AND(M28&gt;2.5,M28&lt;=4),"JER 5mL",IF(AND(M28&gt;4,M28&lt;=8),"JER 10mL",IF(AND(M28&gt;8,M28&lt;=16),"JER 20mL","JER 50mL"))))),VLOOKUP(G28,ESTANDAR!A:N,9,0)))),0)</f>
        <v>0</v>
      </c>
      <c r="T28" s="68" t="e">
        <f>IF(VLOOKUP(G28,ESTANDAR!A:N,12,0)="SI",Q28+1,ROUNDUP((Q28+2)/2,0))</f>
        <v>#N/A</v>
      </c>
      <c r="U28" s="68" t="e">
        <f>VLOOKUP(G28,ESTANDAR!A$3:N$98,12,0)</f>
        <v>#N/A</v>
      </c>
      <c r="V28" s="241">
        <f t="shared" si="1"/>
        <v>1</v>
      </c>
      <c r="W28" s="66" t="e">
        <f t="shared" ca="1" si="2"/>
        <v>#N/A</v>
      </c>
      <c r="Y28" s="66" t="b">
        <f t="shared" si="3"/>
        <v>0</v>
      </c>
      <c r="Z28" s="66" t="b">
        <f t="shared" si="4"/>
        <v>0</v>
      </c>
      <c r="AA28" s="66" t="b">
        <f t="shared" si="5"/>
        <v>0</v>
      </c>
      <c r="AB28" s="436" t="str">
        <f t="shared" si="6"/>
        <v/>
      </c>
      <c r="AC28" s="66" t="str">
        <f>IF('FORMATO DIL'!U34="","","VolTotal:  "&amp;'FORMATO DIL'!U34&amp;"mL")</f>
        <v/>
      </c>
    </row>
    <row r="29" spans="1:29" s="66" customFormat="1" ht="20.100000000000001" customHeight="1">
      <c r="A29" s="225" t="str">
        <f>'FORMATO DIL'!A35</f>
        <v/>
      </c>
      <c r="B29" s="214" t="str">
        <f>UPPER(TRIM('FORMATO DIL'!B35))</f>
        <v/>
      </c>
      <c r="C29" s="215">
        <f>'FORMATO DIL'!C35</f>
        <v>0</v>
      </c>
      <c r="D29" s="218">
        <f>'FORMATO DIL'!D35</f>
        <v>0</v>
      </c>
      <c r="E29" s="217" t="str">
        <f>IF('FORMATO DIL'!E35&lt;&gt;"",'FORMATO DIL'!E35,"NA")</f>
        <v>NA</v>
      </c>
      <c r="F29" s="218">
        <f>'FORMATO DIL'!F35</f>
        <v>0</v>
      </c>
      <c r="G29" s="216">
        <f>'FORMATO DIL'!G35</f>
        <v>0</v>
      </c>
      <c r="H29" s="220">
        <f>IFERROR(IF(S29="L",VLOOKUP(G29,LOTES!A:E,2,0),VLOOKUP(G29,ESTANDAR!A:B,2,0)),0)</f>
        <v>0</v>
      </c>
      <c r="I29" s="219" t="e">
        <f>VLOOKUP(G29,ESTANDAR!A:N,3,0)</f>
        <v>#N/A</v>
      </c>
      <c r="J29" s="221">
        <f>VALUE('FORMATO DIL'!J35)</f>
        <v>0</v>
      </c>
      <c r="K29" s="228">
        <f>IFERROR(ROUNDUP((Q29*J29)/VLOOKUP(G29,ESTANDAR!A:M,5,0),0),0)</f>
        <v>0</v>
      </c>
      <c r="L29" s="309" t="str">
        <f>IFERROR(IF('FORMATO DIL'!B$6="NEO+PED",VLOOKUP(G29,ESTANDAR!A:N,6,0),VLOOKUP(G29,ESTANDAR!A:N,7,0)),"ERROR")</f>
        <v>ERROR</v>
      </c>
      <c r="M29" s="222" t="b">
        <f t="shared" si="0"/>
        <v>0</v>
      </c>
      <c r="N29" s="223">
        <f>IF('FORMATO DIL'!N35=0,Q29,'FORMATO DIL'!N35)</f>
        <v>0</v>
      </c>
      <c r="O29" s="227" t="str">
        <f>IF(S29="L",VLOOKUP(G29,LOTES!A:E,4,0),A29)</f>
        <v/>
      </c>
      <c r="P29" s="310" t="e">
        <f ca="1">IF(S29="L",VLOOKUP(G29,LOTES!A:E,5,0),B$70+VLOOKUP(G29,ESTANDAR!A:N,10,0))</f>
        <v>#N/A</v>
      </c>
      <c r="Q29" s="224">
        <f>VALUE('FORMATO DIL'!Q35)</f>
        <v>0</v>
      </c>
      <c r="R29" s="311" t="e">
        <f>IF('FORMATO DIL'!R35=0,"DIL 1/"&amp;'DATOS ETIQ'!P25,'FORMATO DIL'!R35)</f>
        <v>#N/A</v>
      </c>
      <c r="S29" s="224">
        <f>IFERROR(IF(VLOOKUP(G29,ESTANDAR!A:N,9,0)="L","L",IF(AND('FORMATO DIL'!B$6="NEO+PED",VLOOKUP(G29,ESTANDAR!A:N,8,0)="JERINGA",'FORMATO DIL'!$G$5="HOSPITAL SANTA CLARA",M29&gt;=20),"SSN 50mL",IF(OR('FORMATO DIL'!B$6="NEO+PED",VLOOKUP(G29,ESTANDAR!A:N,9,0)="JERINGA"),IF(M29&lt;0.5,"JER 1mL",IF(AND(M29&gt;=0.5,M29&lt;=2.5),"JER 3mL",IF(AND(M29&gt;2.5,M29&lt;=4),"JER 5mL",IF(AND(M29&gt;4,M29&lt;=8),"JER 10mL",IF(AND(M29&gt;8,M29&lt;=16),"JER 20mL","JER 50mL"))))),VLOOKUP(G29,ESTANDAR!A:N,9,0)))),0)</f>
        <v>0</v>
      </c>
      <c r="T29" s="68" t="e">
        <f>IF(VLOOKUP(G29,ESTANDAR!A:N,12,0)="SI",Q29+1,ROUNDUP((Q29+2)/2,0))</f>
        <v>#N/A</v>
      </c>
      <c r="U29" s="68" t="e">
        <f>VLOOKUP(G29,ESTANDAR!A$3:N$98,12,0)</f>
        <v>#N/A</v>
      </c>
      <c r="V29" s="241">
        <f t="shared" si="1"/>
        <v>1</v>
      </c>
      <c r="W29" s="66" t="e">
        <f t="shared" ca="1" si="2"/>
        <v>#N/A</v>
      </c>
      <c r="Y29" s="66" t="b">
        <f t="shared" si="3"/>
        <v>0</v>
      </c>
      <c r="Z29" s="66" t="b">
        <f t="shared" si="4"/>
        <v>0</v>
      </c>
      <c r="AA29" s="66" t="b">
        <f t="shared" si="5"/>
        <v>0</v>
      </c>
      <c r="AB29" s="436" t="str">
        <f t="shared" si="6"/>
        <v/>
      </c>
      <c r="AC29" s="66" t="str">
        <f>IF('FORMATO DIL'!U35="","","VolTotal:  "&amp;'FORMATO DIL'!U35&amp;"mL")</f>
        <v/>
      </c>
    </row>
    <row r="30" spans="1:29" s="66" customFormat="1" ht="20.100000000000001" customHeight="1">
      <c r="A30" s="225" t="str">
        <f>'FORMATO DIL'!A36</f>
        <v/>
      </c>
      <c r="B30" s="214" t="str">
        <f>UPPER(TRIM('FORMATO DIL'!B36))</f>
        <v/>
      </c>
      <c r="C30" s="215">
        <f>'FORMATO DIL'!C36</f>
        <v>0</v>
      </c>
      <c r="D30" s="218">
        <f>'FORMATO DIL'!D36</f>
        <v>0</v>
      </c>
      <c r="E30" s="217" t="str">
        <f>IF('FORMATO DIL'!E36&lt;&gt;"",'FORMATO DIL'!E36,"NA")</f>
        <v>NA</v>
      </c>
      <c r="F30" s="218">
        <f>'FORMATO DIL'!F36</f>
        <v>0</v>
      </c>
      <c r="G30" s="216">
        <f>'FORMATO DIL'!G36</f>
        <v>0</v>
      </c>
      <c r="H30" s="220">
        <f>IFERROR(IF(S30="L",VLOOKUP(G30,LOTES!A:E,2,0),VLOOKUP(G30,ESTANDAR!A:B,2,0)),0)</f>
        <v>0</v>
      </c>
      <c r="I30" s="219" t="e">
        <f>VLOOKUP(G30,ESTANDAR!A:N,3,0)</f>
        <v>#N/A</v>
      </c>
      <c r="J30" s="221">
        <f>VALUE('FORMATO DIL'!J36)</f>
        <v>0</v>
      </c>
      <c r="K30" s="228">
        <f>IFERROR(ROUNDUP((Q30*J30)/VLOOKUP(G30,ESTANDAR!A:M,5,0),0),0)</f>
        <v>0</v>
      </c>
      <c r="L30" s="309" t="str">
        <f>IFERROR(IF('FORMATO DIL'!B$6="NEO+PED",VLOOKUP(G30,ESTANDAR!A:N,6,0),VLOOKUP(G30,ESTANDAR!A:N,7,0)),"ERROR")</f>
        <v>ERROR</v>
      </c>
      <c r="M30" s="222" t="b">
        <f t="shared" si="0"/>
        <v>0</v>
      </c>
      <c r="N30" s="223">
        <f>IF('FORMATO DIL'!N36=0,Q30,'FORMATO DIL'!N36)</f>
        <v>0</v>
      </c>
      <c r="O30" s="227" t="str">
        <f>IF(S30="L",VLOOKUP(G30,LOTES!A:E,4,0),A30)</f>
        <v/>
      </c>
      <c r="P30" s="310" t="e">
        <f ca="1">IF(S30="L",VLOOKUP(G30,LOTES!A:E,5,0),B$70+VLOOKUP(G30,ESTANDAR!A:N,10,0))</f>
        <v>#N/A</v>
      </c>
      <c r="Q30" s="224">
        <f>VALUE('FORMATO DIL'!Q36)</f>
        <v>0</v>
      </c>
      <c r="R30" s="311" t="e">
        <f>IF('FORMATO DIL'!R36=0,"DIL 1/"&amp;'DATOS ETIQ'!P26,'FORMATO DIL'!R36)</f>
        <v>#N/A</v>
      </c>
      <c r="S30" s="224">
        <f>IFERROR(IF(VLOOKUP(G30,ESTANDAR!A:N,9,0)="L","L",IF(AND('FORMATO DIL'!B$6="NEO+PED",VLOOKUP(G30,ESTANDAR!A:N,8,0)="JERINGA",'FORMATO DIL'!$G$5="HOSPITAL SANTA CLARA",M30&gt;=20),"SSN 50mL",IF(OR('FORMATO DIL'!B$6="NEO+PED",VLOOKUP(G30,ESTANDAR!A:N,9,0)="JERINGA"),IF(M30&lt;0.5,"JER 1mL",IF(AND(M30&gt;=0.5,M30&lt;=2.5),"JER 3mL",IF(AND(M30&gt;2.5,M30&lt;=4),"JER 5mL",IF(AND(M30&gt;4,M30&lt;=8),"JER 10mL",IF(AND(M30&gt;8,M30&lt;=16),"JER 20mL","JER 50mL"))))),VLOOKUP(G30,ESTANDAR!A:N,9,0)))),0)</f>
        <v>0</v>
      </c>
      <c r="T30" s="68" t="e">
        <f>IF(VLOOKUP(G30,ESTANDAR!A:N,12,0)="SI",Q30+1,ROUNDUP((Q30+2)/2,0))</f>
        <v>#N/A</v>
      </c>
      <c r="U30" s="68" t="e">
        <f>VLOOKUP(G30,ESTANDAR!A$3:N$98,12,0)</f>
        <v>#N/A</v>
      </c>
      <c r="V30" s="241">
        <f t="shared" si="1"/>
        <v>1</v>
      </c>
      <c r="W30" s="66" t="e">
        <f t="shared" ca="1" si="2"/>
        <v>#N/A</v>
      </c>
      <c r="Y30" s="66" t="b">
        <f t="shared" si="3"/>
        <v>0</v>
      </c>
      <c r="Z30" s="66" t="b">
        <f t="shared" si="4"/>
        <v>0</v>
      </c>
      <c r="AA30" s="66" t="b">
        <f t="shared" si="5"/>
        <v>0</v>
      </c>
      <c r="AB30" s="436" t="str">
        <f t="shared" si="6"/>
        <v/>
      </c>
      <c r="AC30" s="66" t="str">
        <f>IF('FORMATO DIL'!U36="","","VolTotal:  "&amp;'FORMATO DIL'!U36&amp;"mL")</f>
        <v/>
      </c>
    </row>
    <row r="31" spans="1:29" s="66" customFormat="1" ht="20.100000000000001" customHeight="1">
      <c r="A31" s="225" t="str">
        <f>'FORMATO DIL'!A37</f>
        <v/>
      </c>
      <c r="B31" s="214" t="str">
        <f>UPPER(TRIM('FORMATO DIL'!B37))</f>
        <v/>
      </c>
      <c r="C31" s="215">
        <f>'FORMATO DIL'!C37</f>
        <v>0</v>
      </c>
      <c r="D31" s="218">
        <f>'FORMATO DIL'!D37</f>
        <v>0</v>
      </c>
      <c r="E31" s="217" t="str">
        <f>IF('FORMATO DIL'!E37&lt;&gt;"",'FORMATO DIL'!E37,"NA")</f>
        <v>NA</v>
      </c>
      <c r="F31" s="218">
        <f>'FORMATO DIL'!F37</f>
        <v>0</v>
      </c>
      <c r="G31" s="216">
        <f>'FORMATO DIL'!G37</f>
        <v>0</v>
      </c>
      <c r="H31" s="220">
        <f>IFERROR(IF(S31="L",VLOOKUP(G31,LOTES!A:E,2,0),VLOOKUP(G31,ESTANDAR!A:B,2,0)),0)</f>
        <v>0</v>
      </c>
      <c r="I31" s="219" t="e">
        <f>VLOOKUP(G31,ESTANDAR!A:N,3,0)</f>
        <v>#N/A</v>
      </c>
      <c r="J31" s="221">
        <f>VALUE('FORMATO DIL'!J37)</f>
        <v>0</v>
      </c>
      <c r="K31" s="228">
        <f>IFERROR(ROUNDUP((Q31*J31)/VLOOKUP(G31,ESTANDAR!A:M,5,0),0),0)</f>
        <v>0</v>
      </c>
      <c r="L31" s="309" t="str">
        <f>IFERROR(IF('FORMATO DIL'!B$6="NEO+PED",VLOOKUP(G31,ESTANDAR!A:N,6,0),VLOOKUP(G31,ESTANDAR!A:N,7,0)),"ERROR")</f>
        <v>ERROR</v>
      </c>
      <c r="M31" s="222" t="b">
        <f t="shared" si="0"/>
        <v>0</v>
      </c>
      <c r="N31" s="223">
        <f>IF('FORMATO DIL'!N37=0,Q31,'FORMATO DIL'!N37)</f>
        <v>0</v>
      </c>
      <c r="O31" s="227" t="str">
        <f>IF(S31="L",VLOOKUP(G31,LOTES!A:E,4,0),A31)</f>
        <v/>
      </c>
      <c r="P31" s="310" t="e">
        <f ca="1">IF(S31="L",VLOOKUP(G31,LOTES!A:E,5,0),B$70+VLOOKUP(G31,ESTANDAR!A:N,10,0))</f>
        <v>#N/A</v>
      </c>
      <c r="Q31" s="224">
        <f>VALUE('FORMATO DIL'!Q37)</f>
        <v>0</v>
      </c>
      <c r="R31" s="311" t="e">
        <f>IF('FORMATO DIL'!R37=0,"DIL 1/"&amp;'DATOS ETIQ'!P27,'FORMATO DIL'!R37)</f>
        <v>#N/A</v>
      </c>
      <c r="S31" s="224">
        <f>IFERROR(IF(VLOOKUP(G31,ESTANDAR!A:N,9,0)="L","L",IF(AND('FORMATO DIL'!B$6="NEO+PED",VLOOKUP(G31,ESTANDAR!A:N,8,0)="JERINGA",'FORMATO DIL'!$G$5="HOSPITAL SANTA CLARA",M31&gt;=20),"SSN 50mL",IF(OR('FORMATO DIL'!B$6="NEO+PED",VLOOKUP(G31,ESTANDAR!A:N,9,0)="JERINGA"),IF(M31&lt;0.5,"JER 1mL",IF(AND(M31&gt;=0.5,M31&lt;=2.5),"JER 3mL",IF(AND(M31&gt;2.5,M31&lt;=4),"JER 5mL",IF(AND(M31&gt;4,M31&lt;=8),"JER 10mL",IF(AND(M31&gt;8,M31&lt;=16),"JER 20mL","JER 50mL"))))),VLOOKUP(G31,ESTANDAR!A:N,9,0)))),0)</f>
        <v>0</v>
      </c>
      <c r="T31" s="68" t="e">
        <f>IF(VLOOKUP(G31,ESTANDAR!A:N,12,0)="SI",Q31+1,ROUNDUP((Q31+2)/2,0))</f>
        <v>#N/A</v>
      </c>
      <c r="U31" s="68" t="e">
        <f>VLOOKUP(G31,ESTANDAR!A$3:N$98,12,0)</f>
        <v>#N/A</v>
      </c>
      <c r="V31" s="241">
        <f t="shared" si="1"/>
        <v>1</v>
      </c>
      <c r="W31" s="66" t="e">
        <f t="shared" ca="1" si="2"/>
        <v>#N/A</v>
      </c>
      <c r="Y31" s="66" t="b">
        <f t="shared" si="3"/>
        <v>0</v>
      </c>
      <c r="Z31" s="66" t="b">
        <f t="shared" si="4"/>
        <v>0</v>
      </c>
      <c r="AA31" s="66" t="b">
        <f t="shared" si="5"/>
        <v>0</v>
      </c>
      <c r="AB31" s="436" t="str">
        <f t="shared" si="6"/>
        <v/>
      </c>
      <c r="AC31" s="66" t="str">
        <f>IF('FORMATO DIL'!U37="","","VolTotal:  "&amp;'FORMATO DIL'!U37&amp;"mL")</f>
        <v/>
      </c>
    </row>
    <row r="32" spans="1:29" s="66" customFormat="1" ht="20.100000000000001" customHeight="1">
      <c r="A32" s="225" t="str">
        <f>'FORMATO DIL'!A38</f>
        <v/>
      </c>
      <c r="B32" s="214" t="str">
        <f>UPPER(TRIM('FORMATO DIL'!B38))</f>
        <v/>
      </c>
      <c r="C32" s="215">
        <f>'FORMATO DIL'!C38</f>
        <v>0</v>
      </c>
      <c r="D32" s="218">
        <f>'FORMATO DIL'!D38</f>
        <v>0</v>
      </c>
      <c r="E32" s="217" t="str">
        <f>IF('FORMATO DIL'!E38&lt;&gt;"",'FORMATO DIL'!E38,"NA")</f>
        <v>NA</v>
      </c>
      <c r="F32" s="218">
        <f>'FORMATO DIL'!F38</f>
        <v>0</v>
      </c>
      <c r="G32" s="216">
        <f>'FORMATO DIL'!G38</f>
        <v>0</v>
      </c>
      <c r="H32" s="220">
        <f>IFERROR(IF(S32="L",VLOOKUP(G32,LOTES!A:E,2,0),VLOOKUP(G32,ESTANDAR!A:B,2,0)),0)</f>
        <v>0</v>
      </c>
      <c r="I32" s="219" t="e">
        <f>VLOOKUP(G32,ESTANDAR!A:N,3,0)</f>
        <v>#N/A</v>
      </c>
      <c r="J32" s="221">
        <f>VALUE('FORMATO DIL'!J38)</f>
        <v>0</v>
      </c>
      <c r="K32" s="228">
        <f>IFERROR(ROUNDUP((Q32*J32)/VLOOKUP(G32,ESTANDAR!A:M,5,0),0),0)</f>
        <v>0</v>
      </c>
      <c r="L32" s="309" t="str">
        <f>IFERROR(IF('FORMATO DIL'!B$6="NEO+PED",VLOOKUP(G32,ESTANDAR!A:N,6,0),VLOOKUP(G32,ESTANDAR!A:N,7,0)),"ERROR")</f>
        <v>ERROR</v>
      </c>
      <c r="M32" s="222" t="b">
        <f t="shared" si="0"/>
        <v>0</v>
      </c>
      <c r="N32" s="223">
        <f>IF('FORMATO DIL'!N38=0,Q32,'FORMATO DIL'!N38)</f>
        <v>0</v>
      </c>
      <c r="O32" s="227" t="str">
        <f>IF(S32="L",VLOOKUP(G32,LOTES!A:E,4,0),A32)</f>
        <v/>
      </c>
      <c r="P32" s="310" t="e">
        <f ca="1">IF(S32="L",VLOOKUP(G32,LOTES!A:E,5,0),B$70+VLOOKUP(G32,ESTANDAR!A:N,10,0))</f>
        <v>#N/A</v>
      </c>
      <c r="Q32" s="224">
        <f>VALUE('FORMATO DIL'!Q38)</f>
        <v>0</v>
      </c>
      <c r="R32" s="311" t="e">
        <f>IF('FORMATO DIL'!R38=0,"DIL 1/"&amp;'DATOS ETIQ'!P28,'FORMATO DIL'!R38)</f>
        <v>#N/A</v>
      </c>
      <c r="S32" s="224">
        <f>IFERROR(IF(VLOOKUP(G32,ESTANDAR!A:N,9,0)="L","L",IF(AND('FORMATO DIL'!B$6="NEO+PED",VLOOKUP(G32,ESTANDAR!A:N,8,0)="JERINGA",'FORMATO DIL'!$G$5="HOSPITAL SANTA CLARA",M32&gt;=20),"SSN 50mL",IF(OR('FORMATO DIL'!B$6="NEO+PED",VLOOKUP(G32,ESTANDAR!A:N,9,0)="JERINGA"),IF(M32&lt;0.5,"JER 1mL",IF(AND(M32&gt;=0.5,M32&lt;=2.5),"JER 3mL",IF(AND(M32&gt;2.5,M32&lt;=4),"JER 5mL",IF(AND(M32&gt;4,M32&lt;=8),"JER 10mL",IF(AND(M32&gt;8,M32&lt;=16),"JER 20mL","JER 50mL"))))),VLOOKUP(G32,ESTANDAR!A:N,9,0)))),0)</f>
        <v>0</v>
      </c>
      <c r="T32" s="68" t="e">
        <f>IF(VLOOKUP(G32,ESTANDAR!A:N,12,0)="SI",Q32+1,ROUNDUP((Q32+2)/2,0))</f>
        <v>#N/A</v>
      </c>
      <c r="U32" s="68" t="e">
        <f>VLOOKUP(G32,ESTANDAR!A$3:N$98,12,0)</f>
        <v>#N/A</v>
      </c>
      <c r="V32" s="241">
        <f t="shared" si="1"/>
        <v>1</v>
      </c>
      <c r="W32" s="66" t="e">
        <f t="shared" ca="1" si="2"/>
        <v>#N/A</v>
      </c>
      <c r="Y32" s="66" t="b">
        <f t="shared" si="3"/>
        <v>0</v>
      </c>
      <c r="Z32" s="66" t="b">
        <f t="shared" si="4"/>
        <v>0</v>
      </c>
      <c r="AA32" s="66" t="b">
        <f t="shared" si="5"/>
        <v>0</v>
      </c>
      <c r="AB32" s="436" t="str">
        <f t="shared" si="6"/>
        <v/>
      </c>
      <c r="AC32" s="66" t="str">
        <f>IF('FORMATO DIL'!U38="","","VolTotal:  "&amp;'FORMATO DIL'!U38&amp;"mL")</f>
        <v/>
      </c>
    </row>
    <row r="33" spans="1:29" s="66" customFormat="1" ht="20.100000000000001" customHeight="1">
      <c r="A33" s="225" t="str">
        <f>'FORMATO DIL'!A39</f>
        <v/>
      </c>
      <c r="B33" s="214" t="str">
        <f>UPPER(TRIM('FORMATO DIL'!B39))</f>
        <v/>
      </c>
      <c r="C33" s="215">
        <f>'FORMATO DIL'!C39</f>
        <v>0</v>
      </c>
      <c r="D33" s="218">
        <f>'FORMATO DIL'!D39</f>
        <v>0</v>
      </c>
      <c r="E33" s="217" t="str">
        <f>IF('FORMATO DIL'!E39&lt;&gt;"",'FORMATO DIL'!E39,"NA")</f>
        <v>NA</v>
      </c>
      <c r="F33" s="218">
        <f>'FORMATO DIL'!F39</f>
        <v>0</v>
      </c>
      <c r="G33" s="216">
        <f>'FORMATO DIL'!G39</f>
        <v>0</v>
      </c>
      <c r="H33" s="220">
        <f>IFERROR(IF(S33="L",VLOOKUP(G33,LOTES!A:E,2,0),VLOOKUP(G33,ESTANDAR!A:B,2,0)),0)</f>
        <v>0</v>
      </c>
      <c r="I33" s="219" t="e">
        <f>VLOOKUP(G33,ESTANDAR!A:N,3,0)</f>
        <v>#N/A</v>
      </c>
      <c r="J33" s="221">
        <f>VALUE('FORMATO DIL'!J39)</f>
        <v>0</v>
      </c>
      <c r="K33" s="228">
        <f>IFERROR(ROUNDUP((Q33*J33)/VLOOKUP(G33,ESTANDAR!A:M,5,0),0),0)</f>
        <v>0</v>
      </c>
      <c r="L33" s="309" t="str">
        <f>IFERROR(IF('FORMATO DIL'!B$6="NEO+PED",VLOOKUP(G33,ESTANDAR!A:N,6,0),VLOOKUP(G33,ESTANDAR!A:N,7,0)),"ERROR")</f>
        <v>ERROR</v>
      </c>
      <c r="M33" s="222" t="b">
        <f t="shared" si="0"/>
        <v>0</v>
      </c>
      <c r="N33" s="223">
        <f>IF('FORMATO DIL'!N39=0,Q33,'FORMATO DIL'!N39)</f>
        <v>0</v>
      </c>
      <c r="O33" s="227" t="str">
        <f>IF(S33="L",VLOOKUP(G33,LOTES!A:E,4,0),A33)</f>
        <v/>
      </c>
      <c r="P33" s="310" t="e">
        <f ca="1">IF(S33="L",VLOOKUP(G33,LOTES!A:E,5,0),B$70+VLOOKUP(G33,ESTANDAR!A:N,10,0))</f>
        <v>#N/A</v>
      </c>
      <c r="Q33" s="224">
        <f>VALUE('FORMATO DIL'!Q39)</f>
        <v>0</v>
      </c>
      <c r="R33" s="311" t="e">
        <f>IF('FORMATO DIL'!R39=0,"DIL 1/"&amp;'DATOS ETIQ'!P29,'FORMATO DIL'!R39)</f>
        <v>#N/A</v>
      </c>
      <c r="S33" s="224">
        <f>IFERROR(IF(VLOOKUP(G33,ESTANDAR!A:N,9,0)="L","L",IF(AND('FORMATO DIL'!B$6="NEO+PED",VLOOKUP(G33,ESTANDAR!A:N,8,0)="JERINGA",'FORMATO DIL'!$G$5="HOSPITAL SANTA CLARA",M33&gt;=20),"SSN 50mL",IF(OR('FORMATO DIL'!B$6="NEO+PED",VLOOKUP(G33,ESTANDAR!A:N,9,0)="JERINGA"),IF(M33&lt;0.5,"JER 1mL",IF(AND(M33&gt;=0.5,M33&lt;=2.5),"JER 3mL",IF(AND(M33&gt;2.5,M33&lt;=4),"JER 5mL",IF(AND(M33&gt;4,M33&lt;=8),"JER 10mL",IF(AND(M33&gt;8,M33&lt;=16),"JER 20mL","JER 50mL"))))),VLOOKUP(G33,ESTANDAR!A:N,9,0)))),0)</f>
        <v>0</v>
      </c>
      <c r="T33" s="68" t="e">
        <f>IF(VLOOKUP(G33,ESTANDAR!A:N,12,0)="SI",Q33+1,ROUNDUP((Q33+2)/2,0))</f>
        <v>#N/A</v>
      </c>
      <c r="U33" s="68" t="e">
        <f>VLOOKUP(G33,ESTANDAR!A$3:N$98,12,0)</f>
        <v>#N/A</v>
      </c>
      <c r="V33" s="241">
        <f t="shared" si="1"/>
        <v>1</v>
      </c>
      <c r="W33" s="66" t="e">
        <f t="shared" ca="1" si="2"/>
        <v>#N/A</v>
      </c>
      <c r="Y33" s="66" t="b">
        <f t="shared" si="3"/>
        <v>0</v>
      </c>
      <c r="Z33" s="66" t="b">
        <f t="shared" si="4"/>
        <v>0</v>
      </c>
      <c r="AA33" s="66" t="b">
        <f t="shared" si="5"/>
        <v>0</v>
      </c>
      <c r="AB33" s="436" t="str">
        <f t="shared" si="6"/>
        <v/>
      </c>
      <c r="AC33" s="66" t="str">
        <f>IF('FORMATO DIL'!U39="","","VolTotal:  "&amp;'FORMATO DIL'!U39&amp;"mL")</f>
        <v/>
      </c>
    </row>
    <row r="34" spans="1:29" s="66" customFormat="1" ht="20.100000000000001" customHeight="1">
      <c r="A34" s="225" t="str">
        <f>'FORMATO DIL'!A40</f>
        <v/>
      </c>
      <c r="B34" s="214" t="str">
        <f>UPPER(TRIM('FORMATO DIL'!B40))</f>
        <v/>
      </c>
      <c r="C34" s="215">
        <f>'FORMATO DIL'!C40</f>
        <v>0</v>
      </c>
      <c r="D34" s="218">
        <f>'FORMATO DIL'!D40</f>
        <v>0</v>
      </c>
      <c r="E34" s="217" t="str">
        <f>IF('FORMATO DIL'!E40&lt;&gt;"",'FORMATO DIL'!E40,"NA")</f>
        <v>NA</v>
      </c>
      <c r="F34" s="218">
        <f>'FORMATO DIL'!F40</f>
        <v>0</v>
      </c>
      <c r="G34" s="216">
        <f>'FORMATO DIL'!G40</f>
        <v>0</v>
      </c>
      <c r="H34" s="220">
        <f>IFERROR(IF(S34="L",VLOOKUP(G34,LOTES!A:E,2,0),VLOOKUP(G34,ESTANDAR!A:B,2,0)),0)</f>
        <v>0</v>
      </c>
      <c r="I34" s="219" t="e">
        <f>VLOOKUP(G34,ESTANDAR!A:N,3,0)</f>
        <v>#N/A</v>
      </c>
      <c r="J34" s="221">
        <f>VALUE('FORMATO DIL'!J40)</f>
        <v>0</v>
      </c>
      <c r="K34" s="228">
        <f>IFERROR(ROUNDUP((Q34*J34)/VLOOKUP(G34,ESTANDAR!A:M,5,0),0),0)</f>
        <v>0</v>
      </c>
      <c r="L34" s="309" t="str">
        <f>IFERROR(IF('FORMATO DIL'!B$6="NEO+PED",VLOOKUP(G34,ESTANDAR!A:N,6,0),VLOOKUP(G34,ESTANDAR!A:N,7,0)),"ERROR")</f>
        <v>ERROR</v>
      </c>
      <c r="M34" s="222" t="b">
        <f t="shared" si="0"/>
        <v>0</v>
      </c>
      <c r="N34" s="223">
        <f>IF('FORMATO DIL'!N40=0,Q34,'FORMATO DIL'!N40)</f>
        <v>0</v>
      </c>
      <c r="O34" s="227" t="str">
        <f>IF(S34="L",VLOOKUP(G34,LOTES!A:E,4,0),A34)</f>
        <v/>
      </c>
      <c r="P34" s="310" t="e">
        <f ca="1">IF(S34="L",VLOOKUP(G34,LOTES!A:E,5,0),B$70+VLOOKUP(G34,ESTANDAR!A:N,10,0))</f>
        <v>#N/A</v>
      </c>
      <c r="Q34" s="224">
        <f>VALUE('FORMATO DIL'!Q40)</f>
        <v>0</v>
      </c>
      <c r="R34" s="311" t="e">
        <f>IF('FORMATO DIL'!R40=0,"DIL 1/"&amp;'DATOS ETIQ'!P30,'FORMATO DIL'!R40)</f>
        <v>#N/A</v>
      </c>
      <c r="S34" s="224">
        <f>IFERROR(IF(VLOOKUP(G34,ESTANDAR!A:N,9,0)="L","L",IF(AND('FORMATO DIL'!B$6="NEO+PED",VLOOKUP(G34,ESTANDAR!A:N,8,0)="JERINGA",'FORMATO DIL'!$G$5="HOSPITAL SANTA CLARA",M34&gt;=20),"SSN 50mL",IF(OR('FORMATO DIL'!B$6="NEO+PED",VLOOKUP(G34,ESTANDAR!A:N,9,0)="JERINGA"),IF(M34&lt;0.5,"JER 1mL",IF(AND(M34&gt;=0.5,M34&lt;=2.5),"JER 3mL",IF(AND(M34&gt;2.5,M34&lt;=4),"JER 5mL",IF(AND(M34&gt;4,M34&lt;=8),"JER 10mL",IF(AND(M34&gt;8,M34&lt;=16),"JER 20mL","JER 50mL"))))),VLOOKUP(G34,ESTANDAR!A:N,9,0)))),0)</f>
        <v>0</v>
      </c>
      <c r="T34" s="68" t="e">
        <f>IF(VLOOKUP(G34,ESTANDAR!A:N,12,0)="SI",Q34+1,ROUNDUP((Q34+2)/2,0))</f>
        <v>#N/A</v>
      </c>
      <c r="U34" s="68" t="e">
        <f>VLOOKUP(G34,ESTANDAR!A$3:N$98,12,0)</f>
        <v>#N/A</v>
      </c>
      <c r="V34" s="241">
        <f t="shared" si="1"/>
        <v>1</v>
      </c>
      <c r="W34" s="66" t="e">
        <f t="shared" ca="1" si="2"/>
        <v>#N/A</v>
      </c>
      <c r="Y34" s="66" t="b">
        <f t="shared" si="3"/>
        <v>0</v>
      </c>
      <c r="Z34" s="66" t="b">
        <f t="shared" si="4"/>
        <v>0</v>
      </c>
      <c r="AA34" s="66" t="b">
        <f t="shared" si="5"/>
        <v>0</v>
      </c>
      <c r="AB34" s="436" t="str">
        <f t="shared" si="6"/>
        <v/>
      </c>
      <c r="AC34" s="66" t="str">
        <f>IF('FORMATO DIL'!U40="","","VolTotal:  "&amp;'FORMATO DIL'!U40&amp;"mL")</f>
        <v/>
      </c>
    </row>
    <row r="35" spans="1:29" s="66" customFormat="1" ht="20.100000000000001" customHeight="1">
      <c r="A35" s="225" t="str">
        <f>'FORMATO DIL'!A41</f>
        <v/>
      </c>
      <c r="B35" s="214" t="str">
        <f>UPPER(TRIM('FORMATO DIL'!B41))</f>
        <v/>
      </c>
      <c r="C35" s="215">
        <f>'FORMATO DIL'!C41</f>
        <v>0</v>
      </c>
      <c r="D35" s="218">
        <f>'FORMATO DIL'!D41</f>
        <v>0</v>
      </c>
      <c r="E35" s="217" t="str">
        <f>IF('FORMATO DIL'!E41&lt;&gt;"",'FORMATO DIL'!E41,"NA")</f>
        <v>NA</v>
      </c>
      <c r="F35" s="218">
        <f>'FORMATO DIL'!F41</f>
        <v>0</v>
      </c>
      <c r="G35" s="216">
        <f>'FORMATO DIL'!G41</f>
        <v>0</v>
      </c>
      <c r="H35" s="220">
        <f>IFERROR(IF(S35="L",VLOOKUP(G35,LOTES!A:E,2,0),VLOOKUP(G35,ESTANDAR!A:B,2,0)),0)</f>
        <v>0</v>
      </c>
      <c r="I35" s="219" t="e">
        <f>VLOOKUP(G35,ESTANDAR!A:N,3,0)</f>
        <v>#N/A</v>
      </c>
      <c r="J35" s="221">
        <f>VALUE('FORMATO DIL'!J41)</f>
        <v>0</v>
      </c>
      <c r="K35" s="228">
        <f>IFERROR(ROUNDUP((Q35*J35)/VLOOKUP(G35,ESTANDAR!A:M,5,0),0),0)</f>
        <v>0</v>
      </c>
      <c r="L35" s="309" t="str">
        <f>IFERROR(IF('FORMATO DIL'!B$6="NEO+PED",VLOOKUP(G35,ESTANDAR!A:N,6,0),VLOOKUP(G35,ESTANDAR!A:N,7,0)),"ERROR")</f>
        <v>ERROR</v>
      </c>
      <c r="M35" s="222" t="b">
        <f t="shared" si="0"/>
        <v>0</v>
      </c>
      <c r="N35" s="223">
        <f>IF('FORMATO DIL'!N41=0,Q35,'FORMATO DIL'!N41)</f>
        <v>0</v>
      </c>
      <c r="O35" s="227" t="str">
        <f>IF(S35="L",VLOOKUP(G35,LOTES!A:E,4,0),A35)</f>
        <v/>
      </c>
      <c r="P35" s="310" t="e">
        <f ca="1">IF(S35="L",VLOOKUP(G35,LOTES!A:E,5,0),B$70+VLOOKUP(G35,ESTANDAR!A:N,10,0))</f>
        <v>#N/A</v>
      </c>
      <c r="Q35" s="224">
        <f>VALUE('FORMATO DIL'!Q41)</f>
        <v>0</v>
      </c>
      <c r="R35" s="311" t="e">
        <f>IF('FORMATO DIL'!R41=0,"DIL 1/"&amp;'DATOS ETIQ'!P31,'FORMATO DIL'!R41)</f>
        <v>#N/A</v>
      </c>
      <c r="S35" s="224">
        <f>IFERROR(IF(VLOOKUP(G35,ESTANDAR!A:N,9,0)="L","L",IF(AND('FORMATO DIL'!B$6="NEO+PED",VLOOKUP(G35,ESTANDAR!A:N,8,0)="JERINGA",'FORMATO DIL'!$G$5="HOSPITAL SANTA CLARA",M35&gt;=20),"SSN 50mL",IF(OR('FORMATO DIL'!B$6="NEO+PED",VLOOKUP(G35,ESTANDAR!A:N,9,0)="JERINGA"),IF(M35&lt;0.5,"JER 1mL",IF(AND(M35&gt;=0.5,M35&lt;=2.5),"JER 3mL",IF(AND(M35&gt;2.5,M35&lt;=4),"JER 5mL",IF(AND(M35&gt;4,M35&lt;=8),"JER 10mL",IF(AND(M35&gt;8,M35&lt;=16),"JER 20mL","JER 50mL"))))),VLOOKUP(G35,ESTANDAR!A:N,9,0)))),0)</f>
        <v>0</v>
      </c>
      <c r="T35" s="68" t="e">
        <f>IF(VLOOKUP(G35,ESTANDAR!A:N,12,0)="SI",Q35+1,ROUNDUP((Q35+2)/2,0))</f>
        <v>#N/A</v>
      </c>
      <c r="U35" s="68" t="e">
        <f>VLOOKUP(G35,ESTANDAR!A$3:N$98,12,0)</f>
        <v>#N/A</v>
      </c>
      <c r="V35" s="241">
        <f t="shared" si="1"/>
        <v>1</v>
      </c>
      <c r="W35" s="66" t="e">
        <f t="shared" ca="1" si="2"/>
        <v>#N/A</v>
      </c>
      <c r="Y35" s="66" t="b">
        <f t="shared" si="3"/>
        <v>0</v>
      </c>
      <c r="Z35" s="66" t="b">
        <f t="shared" si="4"/>
        <v>0</v>
      </c>
      <c r="AA35" s="66" t="b">
        <f t="shared" si="5"/>
        <v>0</v>
      </c>
      <c r="AB35" s="436" t="str">
        <f t="shared" si="6"/>
        <v/>
      </c>
      <c r="AC35" s="66" t="str">
        <f>IF('FORMATO DIL'!U41="","","VolTotal:  "&amp;'FORMATO DIL'!U41&amp;"mL")</f>
        <v/>
      </c>
    </row>
    <row r="36" spans="1:29" s="66" customFormat="1" ht="20.100000000000001" customHeight="1">
      <c r="A36" s="225" t="str">
        <f>'FORMATO DIL'!A42</f>
        <v/>
      </c>
      <c r="B36" s="214" t="str">
        <f>UPPER(TRIM('FORMATO DIL'!B42))</f>
        <v/>
      </c>
      <c r="C36" s="215">
        <f>'FORMATO DIL'!C42</f>
        <v>0</v>
      </c>
      <c r="D36" s="218">
        <f>'FORMATO DIL'!D42</f>
        <v>0</v>
      </c>
      <c r="E36" s="217" t="str">
        <f>IF('FORMATO DIL'!E42&lt;&gt;"",'FORMATO DIL'!E42,"NA")</f>
        <v>NA</v>
      </c>
      <c r="F36" s="218">
        <f>'FORMATO DIL'!F42</f>
        <v>0</v>
      </c>
      <c r="G36" s="216">
        <f>'FORMATO DIL'!G42</f>
        <v>0</v>
      </c>
      <c r="H36" s="220">
        <f>IFERROR(IF(S36="L",VLOOKUP(G36,LOTES!A:E,2,0),VLOOKUP(G36,ESTANDAR!A:B,2,0)),0)</f>
        <v>0</v>
      </c>
      <c r="I36" s="219" t="e">
        <f>VLOOKUP(G36,ESTANDAR!A:N,3,0)</f>
        <v>#N/A</v>
      </c>
      <c r="J36" s="221">
        <f>VALUE('FORMATO DIL'!J42)</f>
        <v>0</v>
      </c>
      <c r="K36" s="228">
        <f>IFERROR(ROUNDUP((Q36*J36)/VLOOKUP(G36,ESTANDAR!A:M,5,0),0),0)</f>
        <v>0</v>
      </c>
      <c r="L36" s="309" t="str">
        <f>IFERROR(IF('FORMATO DIL'!B$6="NEO+PED",VLOOKUP(G36,ESTANDAR!A:N,6,0),VLOOKUP(G36,ESTANDAR!A:N,7,0)),"ERROR")</f>
        <v>ERROR</v>
      </c>
      <c r="M36" s="222" t="b">
        <f t="shared" si="0"/>
        <v>0</v>
      </c>
      <c r="N36" s="223">
        <f>IF('FORMATO DIL'!N42=0,Q36,'FORMATO DIL'!N42)</f>
        <v>0</v>
      </c>
      <c r="O36" s="227" t="str">
        <f>IF(S36="L",VLOOKUP(G36,LOTES!A:E,4,0),A36)</f>
        <v/>
      </c>
      <c r="P36" s="310" t="e">
        <f ca="1">IF(S36="L",VLOOKUP(G36,LOTES!A:E,5,0),B$70+VLOOKUP(G36,ESTANDAR!A:N,10,0))</f>
        <v>#N/A</v>
      </c>
      <c r="Q36" s="224">
        <f>VALUE('FORMATO DIL'!Q42)</f>
        <v>0</v>
      </c>
      <c r="R36" s="311" t="e">
        <f>IF('FORMATO DIL'!R42=0,"DIL 1/"&amp;'DATOS ETIQ'!P32,'FORMATO DIL'!R42)</f>
        <v>#N/A</v>
      </c>
      <c r="S36" s="224">
        <f>IFERROR(IF(VLOOKUP(G36,ESTANDAR!A:N,9,0)="L","L",IF(AND('FORMATO DIL'!B$6="NEO+PED",VLOOKUP(G36,ESTANDAR!A:N,8,0)="JERINGA",'FORMATO DIL'!$G$5="HOSPITAL SANTA CLARA",M36&gt;=20),"SSN 50mL",IF(OR('FORMATO DIL'!B$6="NEO+PED",VLOOKUP(G36,ESTANDAR!A:N,9,0)="JERINGA"),IF(M36&lt;0.5,"JER 1mL",IF(AND(M36&gt;=0.5,M36&lt;=2.5),"JER 3mL",IF(AND(M36&gt;2.5,M36&lt;=4),"JER 5mL",IF(AND(M36&gt;4,M36&lt;=8),"JER 10mL",IF(AND(M36&gt;8,M36&lt;=16),"JER 20mL","JER 50mL"))))),VLOOKUP(G36,ESTANDAR!A:N,9,0)))),0)</f>
        <v>0</v>
      </c>
      <c r="T36" s="68" t="e">
        <f>IF(VLOOKUP(G36,ESTANDAR!A:N,12,0)="SI",Q36+1,ROUNDUP((Q36+2)/2,0))</f>
        <v>#N/A</v>
      </c>
      <c r="U36" s="68" t="e">
        <f>VLOOKUP(G36,ESTANDAR!A$3:N$98,12,0)</f>
        <v>#N/A</v>
      </c>
      <c r="V36" s="241">
        <f t="shared" si="1"/>
        <v>1</v>
      </c>
      <c r="W36" s="66" t="e">
        <f t="shared" ca="1" si="2"/>
        <v>#N/A</v>
      </c>
      <c r="Y36" s="66" t="b">
        <f t="shared" si="3"/>
        <v>0</v>
      </c>
      <c r="Z36" s="66" t="b">
        <f t="shared" si="4"/>
        <v>0</v>
      </c>
      <c r="AA36" s="66" t="b">
        <f t="shared" si="5"/>
        <v>0</v>
      </c>
      <c r="AB36" s="436" t="str">
        <f t="shared" si="6"/>
        <v/>
      </c>
      <c r="AC36" s="66" t="str">
        <f>IF('FORMATO DIL'!U42="","","VolTotal:  "&amp;'FORMATO DIL'!U42&amp;"mL")</f>
        <v/>
      </c>
    </row>
    <row r="37" spans="1:29" s="66" customFormat="1" ht="20.100000000000001" customHeight="1">
      <c r="A37" s="225" t="str">
        <f>'FORMATO DIL'!A43</f>
        <v/>
      </c>
      <c r="B37" s="214" t="str">
        <f>UPPER(TRIM('FORMATO DIL'!B43))</f>
        <v/>
      </c>
      <c r="C37" s="215">
        <f>'FORMATO DIL'!C43</f>
        <v>0</v>
      </c>
      <c r="D37" s="218">
        <f>'FORMATO DIL'!D43</f>
        <v>0</v>
      </c>
      <c r="E37" s="217" t="str">
        <f>IF('FORMATO DIL'!E43&lt;&gt;"",'FORMATO DIL'!E43,"NA")</f>
        <v>NA</v>
      </c>
      <c r="F37" s="218">
        <f>'FORMATO DIL'!F43</f>
        <v>0</v>
      </c>
      <c r="G37" s="216">
        <f>'FORMATO DIL'!G43</f>
        <v>0</v>
      </c>
      <c r="H37" s="220">
        <f>IFERROR(IF(S37="L",VLOOKUP(G37,LOTES!A:E,2,0),VLOOKUP(G37,ESTANDAR!A:B,2,0)),0)</f>
        <v>0</v>
      </c>
      <c r="I37" s="219" t="e">
        <f>VLOOKUP(G37,ESTANDAR!A:N,3,0)</f>
        <v>#N/A</v>
      </c>
      <c r="J37" s="221">
        <f>VALUE('FORMATO DIL'!J43)</f>
        <v>0</v>
      </c>
      <c r="K37" s="228">
        <f>IFERROR(ROUNDUP((Q37*J37)/VLOOKUP(G37,ESTANDAR!A:M,5,0),0),0)</f>
        <v>0</v>
      </c>
      <c r="L37" s="309" t="str">
        <f>IFERROR(IF('FORMATO DIL'!B$6="NEO+PED",VLOOKUP(G37,ESTANDAR!A:N,6,0),VLOOKUP(G37,ESTANDAR!A:N,7,0)),"ERROR")</f>
        <v>ERROR</v>
      </c>
      <c r="M37" s="222" t="b">
        <f t="shared" si="0"/>
        <v>0</v>
      </c>
      <c r="N37" s="223">
        <f>IF('FORMATO DIL'!N43=0,Q37,'FORMATO DIL'!N43)</f>
        <v>0</v>
      </c>
      <c r="O37" s="227" t="str">
        <f>IF(S37="L",VLOOKUP(G37,LOTES!A:E,4,0),A37)</f>
        <v/>
      </c>
      <c r="P37" s="310" t="e">
        <f ca="1">IF(S37="L",VLOOKUP(G37,LOTES!A:E,5,0),B$70+VLOOKUP(G37,ESTANDAR!A:N,10,0))</f>
        <v>#N/A</v>
      </c>
      <c r="Q37" s="224">
        <f>VALUE('FORMATO DIL'!Q43)</f>
        <v>0</v>
      </c>
      <c r="R37" s="311" t="e">
        <f>IF('FORMATO DIL'!R43=0,"DIL 1/"&amp;'DATOS ETIQ'!P33,'FORMATO DIL'!R43)</f>
        <v>#N/A</v>
      </c>
      <c r="S37" s="224">
        <f>IFERROR(IF(VLOOKUP(G37,ESTANDAR!A:N,9,0)="L","L",IF(AND('FORMATO DIL'!B$6="NEO+PED",VLOOKUP(G37,ESTANDAR!A:N,8,0)="JERINGA",'FORMATO DIL'!$G$5="HOSPITAL SANTA CLARA",M37&gt;=20),"SSN 50mL",IF(OR('FORMATO DIL'!B$6="NEO+PED",VLOOKUP(G37,ESTANDAR!A:N,9,0)="JERINGA"),IF(M37&lt;0.5,"JER 1mL",IF(AND(M37&gt;=0.5,M37&lt;=2.5),"JER 3mL",IF(AND(M37&gt;2.5,M37&lt;=4),"JER 5mL",IF(AND(M37&gt;4,M37&lt;=8),"JER 10mL",IF(AND(M37&gt;8,M37&lt;=16),"JER 20mL","JER 50mL"))))),VLOOKUP(G37,ESTANDAR!A:N,9,0)))),0)</f>
        <v>0</v>
      </c>
      <c r="T37" s="68" t="e">
        <f>IF(VLOOKUP(G37,ESTANDAR!A:N,12,0)="SI",Q37+1,ROUNDUP((Q37+2)/2,0))</f>
        <v>#N/A</v>
      </c>
      <c r="U37" s="68" t="e">
        <f>VLOOKUP(G37,ESTANDAR!A$3:N$98,12,0)</f>
        <v>#N/A</v>
      </c>
      <c r="V37" s="241">
        <f t="shared" si="1"/>
        <v>1</v>
      </c>
      <c r="W37" s="66" t="e">
        <f t="shared" ca="1" si="2"/>
        <v>#N/A</v>
      </c>
      <c r="Y37" s="66" t="b">
        <f t="shared" si="3"/>
        <v>0</v>
      </c>
      <c r="Z37" s="66" t="b">
        <f t="shared" si="4"/>
        <v>0</v>
      </c>
      <c r="AA37" s="66" t="b">
        <f t="shared" si="5"/>
        <v>0</v>
      </c>
      <c r="AB37" s="436" t="str">
        <f t="shared" si="6"/>
        <v/>
      </c>
      <c r="AC37" s="66" t="str">
        <f>IF('FORMATO DIL'!U43="","","VolTotal:  "&amp;'FORMATO DIL'!U43&amp;"mL")</f>
        <v/>
      </c>
    </row>
    <row r="38" spans="1:29" s="66" customFormat="1" ht="20.100000000000001" customHeight="1">
      <c r="A38" s="225" t="str">
        <f>'FORMATO DIL'!A44</f>
        <v/>
      </c>
      <c r="B38" s="214" t="str">
        <f>UPPER(TRIM('FORMATO DIL'!B44))</f>
        <v/>
      </c>
      <c r="C38" s="215">
        <f>'FORMATO DIL'!C44</f>
        <v>0</v>
      </c>
      <c r="D38" s="218">
        <f>'FORMATO DIL'!D44</f>
        <v>0</v>
      </c>
      <c r="E38" s="217" t="str">
        <f>IF('FORMATO DIL'!E44&lt;&gt;"",'FORMATO DIL'!E44,"NA")</f>
        <v>NA</v>
      </c>
      <c r="F38" s="218">
        <f>'FORMATO DIL'!F44</f>
        <v>0</v>
      </c>
      <c r="G38" s="216">
        <f>'FORMATO DIL'!G44</f>
        <v>0</v>
      </c>
      <c r="H38" s="220">
        <f>IFERROR(IF(S38="L",VLOOKUP(G38,LOTES!A:E,2,0),VLOOKUP(G38,ESTANDAR!A:B,2,0)),0)</f>
        <v>0</v>
      </c>
      <c r="I38" s="219" t="e">
        <f>VLOOKUP(G38,ESTANDAR!A:N,3,0)</f>
        <v>#N/A</v>
      </c>
      <c r="J38" s="221">
        <f>VALUE('FORMATO DIL'!J44)</f>
        <v>0</v>
      </c>
      <c r="K38" s="228">
        <f>IFERROR(ROUNDUP((Q38*J38)/VLOOKUP(G38,ESTANDAR!A:M,5,0),0),0)</f>
        <v>0</v>
      </c>
      <c r="L38" s="309" t="str">
        <f>IFERROR(IF('FORMATO DIL'!B$6="NEO+PED",VLOOKUP(G38,ESTANDAR!A:N,6,0),VLOOKUP(G38,ESTANDAR!A:N,7,0)),"ERROR")</f>
        <v>ERROR</v>
      </c>
      <c r="M38" s="222" t="b">
        <f t="shared" si="0"/>
        <v>0</v>
      </c>
      <c r="N38" s="223">
        <f>IF('FORMATO DIL'!N44=0,Q38,'FORMATO DIL'!N44)</f>
        <v>0</v>
      </c>
      <c r="O38" s="227" t="str">
        <f>IF(S38="L",VLOOKUP(G38,LOTES!A:E,4,0),A38)</f>
        <v/>
      </c>
      <c r="P38" s="310" t="e">
        <f ca="1">IF(S38="L",VLOOKUP(G38,LOTES!A:E,5,0),B$70+VLOOKUP(G38,ESTANDAR!A:N,10,0))</f>
        <v>#N/A</v>
      </c>
      <c r="Q38" s="224">
        <f>VALUE('FORMATO DIL'!Q44)</f>
        <v>0</v>
      </c>
      <c r="R38" s="311" t="e">
        <f>IF('FORMATO DIL'!R44=0,"DIL 1/"&amp;'DATOS ETIQ'!P34,'FORMATO DIL'!R44)</f>
        <v>#N/A</v>
      </c>
      <c r="S38" s="224">
        <f>IFERROR(IF(VLOOKUP(G38,ESTANDAR!A:N,9,0)="L","L",IF(AND('FORMATO DIL'!B$6="NEO+PED",VLOOKUP(G38,ESTANDAR!A:N,8,0)="JERINGA",'FORMATO DIL'!$G$5="HOSPITAL SANTA CLARA",M38&gt;=20),"SSN 50mL",IF(OR('FORMATO DIL'!B$6="NEO+PED",VLOOKUP(G38,ESTANDAR!A:N,9,0)="JERINGA"),IF(M38&lt;0.5,"JER 1mL",IF(AND(M38&gt;=0.5,M38&lt;=2.5),"JER 3mL",IF(AND(M38&gt;2.5,M38&lt;=4),"JER 5mL",IF(AND(M38&gt;4,M38&lt;=8),"JER 10mL",IF(AND(M38&gt;8,M38&lt;=16),"JER 20mL","JER 50mL"))))),VLOOKUP(G38,ESTANDAR!A:N,9,0)))),0)</f>
        <v>0</v>
      </c>
      <c r="T38" s="68" t="e">
        <f>IF(VLOOKUP(G38,ESTANDAR!A:N,12,0)="SI",Q38+1,ROUNDUP((Q38+2)/2,0))</f>
        <v>#N/A</v>
      </c>
      <c r="U38" s="68" t="e">
        <f>VLOOKUP(G38,ESTANDAR!A$3:N$98,12,0)</f>
        <v>#N/A</v>
      </c>
      <c r="V38" s="241">
        <f t="shared" si="1"/>
        <v>1</v>
      </c>
      <c r="W38" s="66" t="e">
        <f t="shared" ca="1" si="2"/>
        <v>#N/A</v>
      </c>
      <c r="Y38" s="66" t="b">
        <f t="shared" si="3"/>
        <v>0</v>
      </c>
      <c r="Z38" s="66" t="b">
        <f t="shared" si="4"/>
        <v>0</v>
      </c>
      <c r="AA38" s="66" t="b">
        <f t="shared" si="5"/>
        <v>0</v>
      </c>
      <c r="AB38" s="436" t="str">
        <f t="shared" si="6"/>
        <v/>
      </c>
      <c r="AC38" s="66" t="str">
        <f>IF('FORMATO DIL'!U44="","","VolTotal:  "&amp;'FORMATO DIL'!U44&amp;"mL")</f>
        <v/>
      </c>
    </row>
    <row r="39" spans="1:29" s="66" customFormat="1" ht="20.100000000000001" customHeight="1">
      <c r="A39" s="225" t="str">
        <f>'FORMATO DIL'!A45</f>
        <v/>
      </c>
      <c r="B39" s="214" t="str">
        <f>UPPER(TRIM('FORMATO DIL'!B45))</f>
        <v/>
      </c>
      <c r="C39" s="215">
        <f>'FORMATO DIL'!C45</f>
        <v>0</v>
      </c>
      <c r="D39" s="218">
        <f>'FORMATO DIL'!D45</f>
        <v>0</v>
      </c>
      <c r="E39" s="217" t="str">
        <f>IF('FORMATO DIL'!E45&lt;&gt;"",'FORMATO DIL'!E45,"NA")</f>
        <v>NA</v>
      </c>
      <c r="F39" s="218">
        <f>'FORMATO DIL'!F45</f>
        <v>0</v>
      </c>
      <c r="G39" s="216">
        <f>'FORMATO DIL'!G45</f>
        <v>0</v>
      </c>
      <c r="H39" s="220">
        <f>IFERROR(IF(S39="L",VLOOKUP(G39,LOTES!A:E,2,0),VLOOKUP(G39,ESTANDAR!A:B,2,0)),0)</f>
        <v>0</v>
      </c>
      <c r="I39" s="219" t="e">
        <f>VLOOKUP(G39,ESTANDAR!A:N,3,0)</f>
        <v>#N/A</v>
      </c>
      <c r="J39" s="221">
        <f>VALUE('FORMATO DIL'!J45)</f>
        <v>0</v>
      </c>
      <c r="K39" s="228">
        <f>IFERROR(ROUNDUP((Q39*J39)/VLOOKUP(G39,ESTANDAR!A:M,5,0),0),0)</f>
        <v>0</v>
      </c>
      <c r="L39" s="309" t="str">
        <f>IFERROR(IF('FORMATO DIL'!B$6="NEO+PED",VLOOKUP(G39,ESTANDAR!A:N,6,0),VLOOKUP(G39,ESTANDAR!A:N,7,0)),"ERROR")</f>
        <v>ERROR</v>
      </c>
      <c r="M39" s="222" t="b">
        <f t="shared" si="0"/>
        <v>0</v>
      </c>
      <c r="N39" s="223">
        <f>IF('FORMATO DIL'!N45=0,Q39,'FORMATO DIL'!N45)</f>
        <v>0</v>
      </c>
      <c r="O39" s="227" t="str">
        <f>IF(S39="L",VLOOKUP(G39,LOTES!A:E,4,0),A39)</f>
        <v/>
      </c>
      <c r="P39" s="310" t="e">
        <f ca="1">IF(S39="L",VLOOKUP(G39,LOTES!A:E,5,0),B$70+VLOOKUP(G39,ESTANDAR!A:N,10,0))</f>
        <v>#N/A</v>
      </c>
      <c r="Q39" s="224">
        <f>VALUE('FORMATO DIL'!Q45)</f>
        <v>0</v>
      </c>
      <c r="R39" s="311" t="e">
        <f>IF('FORMATO DIL'!R45=0,"DIL 1/"&amp;'DATOS ETIQ'!P35,'FORMATO DIL'!R45)</f>
        <v>#N/A</v>
      </c>
      <c r="S39" s="224">
        <f>IFERROR(IF(VLOOKUP(G39,ESTANDAR!A:N,9,0)="L","L",IF(AND('FORMATO DIL'!B$6="NEO+PED",VLOOKUP(G39,ESTANDAR!A:N,8,0)="JERINGA",'FORMATO DIL'!$G$5="HOSPITAL SANTA CLARA",M39&gt;=20),"SSN 50mL",IF(OR('FORMATO DIL'!B$6="NEO+PED",VLOOKUP(G39,ESTANDAR!A:N,9,0)="JERINGA"),IF(M39&lt;0.5,"JER 1mL",IF(AND(M39&gt;=0.5,M39&lt;=2.5),"JER 3mL",IF(AND(M39&gt;2.5,M39&lt;=4),"JER 5mL",IF(AND(M39&gt;4,M39&lt;=8),"JER 10mL",IF(AND(M39&gt;8,M39&lt;=16),"JER 20mL","JER 50mL"))))),VLOOKUP(G39,ESTANDAR!A:N,9,0)))),0)</f>
        <v>0</v>
      </c>
      <c r="T39" s="68" t="e">
        <f>IF(VLOOKUP(G39,ESTANDAR!A:N,12,0)="SI",Q39+1,ROUNDUP((Q39+2)/2,0))</f>
        <v>#N/A</v>
      </c>
      <c r="U39" s="68" t="e">
        <f>VLOOKUP(G39,ESTANDAR!A$3:N$98,12,0)</f>
        <v>#N/A</v>
      </c>
      <c r="V39" s="241">
        <f t="shared" si="1"/>
        <v>1</v>
      </c>
      <c r="W39" s="66" t="e">
        <f t="shared" ca="1" si="2"/>
        <v>#N/A</v>
      </c>
      <c r="Y39" s="66" t="b">
        <f t="shared" si="3"/>
        <v>0</v>
      </c>
      <c r="Z39" s="66" t="b">
        <f t="shared" si="4"/>
        <v>0</v>
      </c>
      <c r="AA39" s="66" t="b">
        <f t="shared" si="5"/>
        <v>0</v>
      </c>
      <c r="AB39" s="436" t="str">
        <f t="shared" si="6"/>
        <v/>
      </c>
      <c r="AC39" s="66" t="str">
        <f>IF('FORMATO DIL'!U45="","","VolTotal:  "&amp;'FORMATO DIL'!U45&amp;"mL")</f>
        <v/>
      </c>
    </row>
    <row r="40" spans="1:29" s="66" customFormat="1" ht="20.100000000000001" customHeight="1">
      <c r="A40" s="225" t="str">
        <f>'FORMATO DIL'!A46</f>
        <v/>
      </c>
      <c r="B40" s="214" t="str">
        <f>UPPER(TRIM('FORMATO DIL'!B46))</f>
        <v/>
      </c>
      <c r="C40" s="215">
        <f>'FORMATO DIL'!C46</f>
        <v>0</v>
      </c>
      <c r="D40" s="218">
        <f>'FORMATO DIL'!D46</f>
        <v>0</v>
      </c>
      <c r="E40" s="217" t="str">
        <f>IF('FORMATO DIL'!E46&lt;&gt;"",'FORMATO DIL'!E46,"NA")</f>
        <v>NA</v>
      </c>
      <c r="F40" s="218">
        <f>'FORMATO DIL'!F46</f>
        <v>0</v>
      </c>
      <c r="G40" s="216">
        <f>'FORMATO DIL'!G46</f>
        <v>0</v>
      </c>
      <c r="H40" s="220">
        <f>IFERROR(IF(S40="L",VLOOKUP(G40,LOTES!A:E,2,0),VLOOKUP(G40,ESTANDAR!A:B,2,0)),0)</f>
        <v>0</v>
      </c>
      <c r="I40" s="219" t="e">
        <f>VLOOKUP(G40,ESTANDAR!A:N,3,0)</f>
        <v>#N/A</v>
      </c>
      <c r="J40" s="221">
        <f>VALUE('FORMATO DIL'!J46)</f>
        <v>0</v>
      </c>
      <c r="K40" s="228">
        <f>IFERROR(ROUNDUP((Q40*J40)/VLOOKUP(G40,ESTANDAR!A:M,5,0),0),0)</f>
        <v>0</v>
      </c>
      <c r="L40" s="309" t="str">
        <f>IFERROR(IF('FORMATO DIL'!B$6="NEO+PED",VLOOKUP(G40,ESTANDAR!A:N,6,0),VLOOKUP(G40,ESTANDAR!A:N,7,0)),"ERROR")</f>
        <v>ERROR</v>
      </c>
      <c r="M40" s="222" t="b">
        <f t="shared" si="0"/>
        <v>0</v>
      </c>
      <c r="N40" s="223">
        <f>IF('FORMATO DIL'!N46=0,Q40,'FORMATO DIL'!N46)</f>
        <v>0</v>
      </c>
      <c r="O40" s="227" t="str">
        <f>IF(S40="L",VLOOKUP(G40,LOTES!A:E,4,0),A40)</f>
        <v/>
      </c>
      <c r="P40" s="310" t="e">
        <f ca="1">IF(S40="L",VLOOKUP(G40,LOTES!A:E,5,0),B$70+VLOOKUP(G40,ESTANDAR!A:N,10,0))</f>
        <v>#N/A</v>
      </c>
      <c r="Q40" s="224">
        <f>VALUE('FORMATO DIL'!Q46)</f>
        <v>0</v>
      </c>
      <c r="R40" s="311" t="e">
        <f>IF('FORMATO DIL'!R46=0,"DIL 1/"&amp;'DATOS ETIQ'!P36,'FORMATO DIL'!R46)</f>
        <v>#N/A</v>
      </c>
      <c r="S40" s="224">
        <f>IFERROR(IF(VLOOKUP(G40,ESTANDAR!A:N,9,0)="L","L",IF(AND('FORMATO DIL'!B$6="NEO+PED",VLOOKUP(G40,ESTANDAR!A:N,8,0)="JERINGA",'FORMATO DIL'!$G$5="HOSPITAL SANTA CLARA",M40&gt;=20),"SSN 50mL",IF(OR('FORMATO DIL'!B$6="NEO+PED",VLOOKUP(G40,ESTANDAR!A:N,9,0)="JERINGA"),IF(M40&lt;0.5,"JER 1mL",IF(AND(M40&gt;=0.5,M40&lt;=2.5),"JER 3mL",IF(AND(M40&gt;2.5,M40&lt;=4),"JER 5mL",IF(AND(M40&gt;4,M40&lt;=8),"JER 10mL",IF(AND(M40&gt;8,M40&lt;=16),"JER 20mL","JER 50mL"))))),VLOOKUP(G40,ESTANDAR!A:N,9,0)))),0)</f>
        <v>0</v>
      </c>
      <c r="T40" s="68" t="e">
        <f>IF(VLOOKUP(G40,ESTANDAR!A:N,12,0)="SI",Q40+1,ROUNDUP((Q40+2)/2,0))</f>
        <v>#N/A</v>
      </c>
      <c r="U40" s="68" t="e">
        <f>VLOOKUP(G40,ESTANDAR!A$3:N$98,12,0)</f>
        <v>#N/A</v>
      </c>
      <c r="V40" s="241">
        <f t="shared" si="1"/>
        <v>1</v>
      </c>
      <c r="W40" s="66" t="e">
        <f t="shared" ca="1" si="2"/>
        <v>#N/A</v>
      </c>
      <c r="Y40" s="66" t="b">
        <f t="shared" si="3"/>
        <v>0</v>
      </c>
      <c r="Z40" s="66" t="b">
        <f t="shared" si="4"/>
        <v>0</v>
      </c>
      <c r="AA40" s="66" t="b">
        <f t="shared" si="5"/>
        <v>0</v>
      </c>
      <c r="AB40" s="436" t="str">
        <f t="shared" si="6"/>
        <v/>
      </c>
      <c r="AC40" s="66" t="str">
        <f>IF('FORMATO DIL'!U46="","","VolTotal:  "&amp;'FORMATO DIL'!U46&amp;"mL")</f>
        <v/>
      </c>
    </row>
    <row r="41" spans="1:29" s="66" customFormat="1" ht="20.100000000000001" customHeight="1">
      <c r="A41" s="225" t="str">
        <f>'FORMATO DIL'!A47</f>
        <v/>
      </c>
      <c r="B41" s="214" t="str">
        <f>UPPER(TRIM('FORMATO DIL'!B47))</f>
        <v/>
      </c>
      <c r="C41" s="215">
        <f>'FORMATO DIL'!C47</f>
        <v>0</v>
      </c>
      <c r="D41" s="218">
        <f>'FORMATO DIL'!D47</f>
        <v>0</v>
      </c>
      <c r="E41" s="217" t="str">
        <f>IF('FORMATO DIL'!E47&lt;&gt;"",'FORMATO DIL'!E47,"NA")</f>
        <v>NA</v>
      </c>
      <c r="F41" s="218">
        <f>'FORMATO DIL'!F47</f>
        <v>0</v>
      </c>
      <c r="G41" s="216">
        <f>'FORMATO DIL'!G47</f>
        <v>0</v>
      </c>
      <c r="H41" s="220">
        <f>IFERROR(IF(S41="L",VLOOKUP(G41,LOTES!A:E,2,0),VLOOKUP(G41,ESTANDAR!A:B,2,0)),0)</f>
        <v>0</v>
      </c>
      <c r="I41" s="219" t="e">
        <f>VLOOKUP(G41,ESTANDAR!A:N,3,0)</f>
        <v>#N/A</v>
      </c>
      <c r="J41" s="221">
        <f>VALUE('FORMATO DIL'!J47)</f>
        <v>0</v>
      </c>
      <c r="K41" s="228">
        <f>IFERROR(ROUNDUP((Q41*J41)/VLOOKUP(G41,ESTANDAR!A:M,5,0),0),0)</f>
        <v>0</v>
      </c>
      <c r="L41" s="309" t="str">
        <f>IFERROR(IF('FORMATO DIL'!B$6="NEO+PED",VLOOKUP(G41,ESTANDAR!A:N,6,0),VLOOKUP(G41,ESTANDAR!A:N,7,0)),"ERROR")</f>
        <v>ERROR</v>
      </c>
      <c r="M41" s="222" t="b">
        <f t="shared" si="0"/>
        <v>0</v>
      </c>
      <c r="N41" s="223">
        <f>IF('FORMATO DIL'!N47=0,Q41,'FORMATO DIL'!N47)</f>
        <v>0</v>
      </c>
      <c r="O41" s="227" t="str">
        <f>IF(S41="L",VLOOKUP(G41,LOTES!A:E,4,0),A41)</f>
        <v/>
      </c>
      <c r="P41" s="310" t="e">
        <f ca="1">IF(S41="L",VLOOKUP(G41,LOTES!A:E,5,0),B$70+VLOOKUP(G41,ESTANDAR!A:N,10,0))</f>
        <v>#N/A</v>
      </c>
      <c r="Q41" s="224">
        <f>VALUE('FORMATO DIL'!Q47)</f>
        <v>0</v>
      </c>
      <c r="R41" s="311" t="e">
        <f>IF('FORMATO DIL'!R47=0,"DIL 1/"&amp;'DATOS ETIQ'!P37,'FORMATO DIL'!R47)</f>
        <v>#N/A</v>
      </c>
      <c r="S41" s="224">
        <f>IFERROR(IF(VLOOKUP(G41,ESTANDAR!A:N,9,0)="L","L",IF(AND('FORMATO DIL'!B$6="NEO+PED",VLOOKUP(G41,ESTANDAR!A:N,8,0)="JERINGA",'FORMATO DIL'!$G$5="HOSPITAL SANTA CLARA",M41&gt;=20),"SSN 50mL",IF(OR('FORMATO DIL'!B$6="NEO+PED",VLOOKUP(G41,ESTANDAR!A:N,9,0)="JERINGA"),IF(M41&lt;0.5,"JER 1mL",IF(AND(M41&gt;=0.5,M41&lt;=2.5),"JER 3mL",IF(AND(M41&gt;2.5,M41&lt;=4),"JER 5mL",IF(AND(M41&gt;4,M41&lt;=8),"JER 10mL",IF(AND(M41&gt;8,M41&lt;=16),"JER 20mL","JER 50mL"))))),VLOOKUP(G41,ESTANDAR!A:N,9,0)))),0)</f>
        <v>0</v>
      </c>
      <c r="T41" s="68" t="e">
        <f>IF(VLOOKUP(G41,ESTANDAR!A:N,12,0)="SI",Q41+1,ROUNDUP((Q41+2)/2,0))</f>
        <v>#N/A</v>
      </c>
      <c r="U41" s="68" t="e">
        <f>VLOOKUP(G41,ESTANDAR!A$3:N$98,12,0)</f>
        <v>#N/A</v>
      </c>
      <c r="V41" s="241">
        <f t="shared" si="1"/>
        <v>1</v>
      </c>
      <c r="W41" s="66" t="e">
        <f t="shared" ca="1" si="2"/>
        <v>#N/A</v>
      </c>
      <c r="Y41" s="66" t="b">
        <f t="shared" si="3"/>
        <v>0</v>
      </c>
      <c r="Z41" s="66" t="b">
        <f t="shared" si="4"/>
        <v>0</v>
      </c>
      <c r="AA41" s="66" t="b">
        <f t="shared" si="5"/>
        <v>0</v>
      </c>
      <c r="AB41" s="436" t="str">
        <f t="shared" si="6"/>
        <v/>
      </c>
      <c r="AC41" s="66" t="str">
        <f>IF('FORMATO DIL'!U47="","","VolTotal:  "&amp;'FORMATO DIL'!U47&amp;"mL")</f>
        <v/>
      </c>
    </row>
    <row r="42" spans="1:29" s="66" customFormat="1" ht="20.100000000000001" customHeight="1">
      <c r="A42" s="225" t="str">
        <f>'FORMATO DIL'!A48</f>
        <v/>
      </c>
      <c r="B42" s="214" t="str">
        <f>UPPER(TRIM('FORMATO DIL'!B48))</f>
        <v/>
      </c>
      <c r="C42" s="215">
        <f>'FORMATO DIL'!C48</f>
        <v>0</v>
      </c>
      <c r="D42" s="218">
        <f>'FORMATO DIL'!D48</f>
        <v>0</v>
      </c>
      <c r="E42" s="217" t="str">
        <f>IF('FORMATO DIL'!E48&lt;&gt;"",'FORMATO DIL'!E48,"NA")</f>
        <v>NA</v>
      </c>
      <c r="F42" s="218">
        <f>'FORMATO DIL'!F48</f>
        <v>0</v>
      </c>
      <c r="G42" s="216">
        <f>'FORMATO DIL'!G48</f>
        <v>0</v>
      </c>
      <c r="H42" s="220">
        <f>IFERROR(IF(S42="L",VLOOKUP(G42,LOTES!A:E,2,0),VLOOKUP(G42,ESTANDAR!A:B,2,0)),0)</f>
        <v>0</v>
      </c>
      <c r="I42" s="219" t="e">
        <f>VLOOKUP(G42,ESTANDAR!A:N,3,0)</f>
        <v>#N/A</v>
      </c>
      <c r="J42" s="221">
        <f>VALUE('FORMATO DIL'!J48)</f>
        <v>0</v>
      </c>
      <c r="K42" s="228">
        <f>IFERROR(ROUNDUP((Q42*J42)/VLOOKUP(G42,ESTANDAR!A:M,5,0),0),0)</f>
        <v>0</v>
      </c>
      <c r="L42" s="309" t="str">
        <f>IFERROR(IF('FORMATO DIL'!B$6="NEO+PED",VLOOKUP(G42,ESTANDAR!A:N,6,0),VLOOKUP(G42,ESTANDAR!A:N,7,0)),"ERROR")</f>
        <v>ERROR</v>
      </c>
      <c r="M42" s="222" t="b">
        <f t="shared" si="0"/>
        <v>0</v>
      </c>
      <c r="N42" s="223">
        <f>IF('FORMATO DIL'!N48=0,Q42,'FORMATO DIL'!N48)</f>
        <v>0</v>
      </c>
      <c r="O42" s="227" t="str">
        <f>IF(S42="L",VLOOKUP(G42,LOTES!A:E,4,0),A42)</f>
        <v/>
      </c>
      <c r="P42" s="310" t="e">
        <f ca="1">IF(S42="L",VLOOKUP(G42,LOTES!A:E,5,0),B$70+VLOOKUP(G42,ESTANDAR!A:N,10,0))</f>
        <v>#N/A</v>
      </c>
      <c r="Q42" s="224">
        <f>VALUE('FORMATO DIL'!Q48)</f>
        <v>0</v>
      </c>
      <c r="R42" s="311" t="e">
        <f>IF('FORMATO DIL'!R48=0,"DIL 1/"&amp;'DATOS ETIQ'!P38,'FORMATO DIL'!R48)</f>
        <v>#N/A</v>
      </c>
      <c r="S42" s="224">
        <f>IFERROR(IF(VLOOKUP(G42,ESTANDAR!A:N,9,0)="L","L",IF(AND('FORMATO DIL'!B$6="NEO+PED",VLOOKUP(G42,ESTANDAR!A:N,8,0)="JERINGA",'FORMATO DIL'!$G$5="HOSPITAL SANTA CLARA",M42&gt;=20),"SSN 50mL",IF(OR('FORMATO DIL'!B$6="NEO+PED",VLOOKUP(G42,ESTANDAR!A:N,9,0)="JERINGA"),IF(M42&lt;0.5,"JER 1mL",IF(AND(M42&gt;=0.5,M42&lt;=2.5),"JER 3mL",IF(AND(M42&gt;2.5,M42&lt;=4),"JER 5mL",IF(AND(M42&gt;4,M42&lt;=8),"JER 10mL",IF(AND(M42&gt;8,M42&lt;=16),"JER 20mL","JER 50mL"))))),VLOOKUP(G42,ESTANDAR!A:N,9,0)))),0)</f>
        <v>0</v>
      </c>
      <c r="T42" s="68" t="e">
        <f>IF(VLOOKUP(G42,ESTANDAR!A:N,12,0)="SI",Q42+1,ROUNDUP((Q42+2)/2,0))</f>
        <v>#N/A</v>
      </c>
      <c r="U42" s="68" t="e">
        <f>VLOOKUP(G42,ESTANDAR!A$3:N$98,12,0)</f>
        <v>#N/A</v>
      </c>
      <c r="V42" s="241">
        <f t="shared" si="1"/>
        <v>1</v>
      </c>
      <c r="W42" s="66" t="e">
        <f t="shared" ca="1" si="2"/>
        <v>#N/A</v>
      </c>
      <c r="Y42" s="66" t="b">
        <f t="shared" si="3"/>
        <v>0</v>
      </c>
      <c r="Z42" s="66" t="b">
        <f t="shared" si="4"/>
        <v>0</v>
      </c>
      <c r="AA42" s="66" t="b">
        <f t="shared" si="5"/>
        <v>0</v>
      </c>
      <c r="AB42" s="436" t="str">
        <f t="shared" si="6"/>
        <v/>
      </c>
      <c r="AC42" s="66" t="str">
        <f>IF('FORMATO DIL'!U48="","","VolTotal:  "&amp;'FORMATO DIL'!U48&amp;"mL")</f>
        <v/>
      </c>
    </row>
    <row r="43" spans="1:29" s="66" customFormat="1" ht="20.100000000000001" customHeight="1">
      <c r="A43" s="225" t="str">
        <f>'FORMATO DIL'!A49</f>
        <v/>
      </c>
      <c r="B43" s="214" t="str">
        <f>UPPER(TRIM('FORMATO DIL'!B49))</f>
        <v/>
      </c>
      <c r="C43" s="215">
        <f>'FORMATO DIL'!C49</f>
        <v>0</v>
      </c>
      <c r="D43" s="218">
        <f>'FORMATO DIL'!D49</f>
        <v>0</v>
      </c>
      <c r="E43" s="217" t="str">
        <f>IF('FORMATO DIL'!E49&lt;&gt;"",'FORMATO DIL'!E49,"NA")</f>
        <v>NA</v>
      </c>
      <c r="F43" s="218">
        <f>'FORMATO DIL'!F49</f>
        <v>0</v>
      </c>
      <c r="G43" s="216">
        <f>'FORMATO DIL'!G49</f>
        <v>0</v>
      </c>
      <c r="H43" s="220">
        <f>IFERROR(IF(S43="L",VLOOKUP(G43,LOTES!A:E,2,0),VLOOKUP(G43,ESTANDAR!A:B,2,0)),0)</f>
        <v>0</v>
      </c>
      <c r="I43" s="219" t="e">
        <f>VLOOKUP(G43,ESTANDAR!A:N,3,0)</f>
        <v>#N/A</v>
      </c>
      <c r="J43" s="221">
        <f>VALUE('FORMATO DIL'!J49)</f>
        <v>0</v>
      </c>
      <c r="K43" s="228">
        <f>IFERROR(ROUNDUP((Q43*J43)/VLOOKUP(G43,ESTANDAR!A:M,5,0),0),0)</f>
        <v>0</v>
      </c>
      <c r="L43" s="309" t="str">
        <f>IFERROR(IF('FORMATO DIL'!B$6="NEO+PED",VLOOKUP(G43,ESTANDAR!A:N,6,0),VLOOKUP(G43,ESTANDAR!A:N,7,0)),"ERROR")</f>
        <v>ERROR</v>
      </c>
      <c r="M43" s="222" t="b">
        <f t="shared" si="0"/>
        <v>0</v>
      </c>
      <c r="N43" s="223">
        <f>IF('FORMATO DIL'!N49=0,Q43,'FORMATO DIL'!N49)</f>
        <v>0</v>
      </c>
      <c r="O43" s="227" t="str">
        <f>IF(S43="L",VLOOKUP(G43,LOTES!A:E,4,0),A43)</f>
        <v/>
      </c>
      <c r="P43" s="310" t="e">
        <f ca="1">IF(S43="L",VLOOKUP(G43,LOTES!A:E,5,0),B$70+VLOOKUP(G43,ESTANDAR!A:N,10,0))</f>
        <v>#N/A</v>
      </c>
      <c r="Q43" s="224">
        <f>VALUE('FORMATO DIL'!Q49)</f>
        <v>0</v>
      </c>
      <c r="R43" s="311" t="e">
        <f>IF('FORMATO DIL'!R49=0,"DIL 1/"&amp;'DATOS ETIQ'!P39,'FORMATO DIL'!R49)</f>
        <v>#N/A</v>
      </c>
      <c r="S43" s="224">
        <f>IFERROR(IF(VLOOKUP(G43,ESTANDAR!A:N,9,0)="L","L",IF(AND('FORMATO DIL'!B$6="NEO+PED",VLOOKUP(G43,ESTANDAR!A:N,8,0)="JERINGA",'FORMATO DIL'!$G$5="HOSPITAL SANTA CLARA",M43&gt;=20),"SSN 50mL",IF(OR('FORMATO DIL'!B$6="NEO+PED",VLOOKUP(G43,ESTANDAR!A:N,9,0)="JERINGA"),IF(M43&lt;0.5,"JER 1mL",IF(AND(M43&gt;=0.5,M43&lt;=2.5),"JER 3mL",IF(AND(M43&gt;2.5,M43&lt;=4),"JER 5mL",IF(AND(M43&gt;4,M43&lt;=8),"JER 10mL",IF(AND(M43&gt;8,M43&lt;=16),"JER 20mL","JER 50mL"))))),VLOOKUP(G43,ESTANDAR!A:N,9,0)))),0)</f>
        <v>0</v>
      </c>
      <c r="T43" s="68" t="e">
        <f>IF(VLOOKUP(G43,ESTANDAR!A:N,12,0)="SI",Q43+1,ROUNDUP((Q43+2)/2,0))</f>
        <v>#N/A</v>
      </c>
      <c r="U43" s="68" t="e">
        <f>VLOOKUP(G43,ESTANDAR!A$3:N$98,12,0)</f>
        <v>#N/A</v>
      </c>
      <c r="V43" s="241">
        <f t="shared" si="1"/>
        <v>1</v>
      </c>
      <c r="W43" s="66" t="e">
        <f t="shared" ca="1" si="2"/>
        <v>#N/A</v>
      </c>
      <c r="Y43" s="66" t="b">
        <f t="shared" si="3"/>
        <v>0</v>
      </c>
      <c r="Z43" s="66" t="b">
        <f t="shared" si="4"/>
        <v>0</v>
      </c>
      <c r="AA43" s="66" t="b">
        <f t="shared" si="5"/>
        <v>0</v>
      </c>
      <c r="AB43" s="436" t="str">
        <f t="shared" si="6"/>
        <v/>
      </c>
      <c r="AC43" s="66" t="str">
        <f>IF('FORMATO DIL'!U49="","","VolTotal:  "&amp;'FORMATO DIL'!U49&amp;"mL")</f>
        <v/>
      </c>
    </row>
    <row r="44" spans="1:29" s="66" customFormat="1" ht="20.100000000000001" customHeight="1">
      <c r="A44" s="225" t="str">
        <f>'FORMATO DIL'!A50</f>
        <v/>
      </c>
      <c r="B44" s="214" t="str">
        <f>UPPER(TRIM('FORMATO DIL'!B50))</f>
        <v/>
      </c>
      <c r="C44" s="215">
        <f>'FORMATO DIL'!C50</f>
        <v>0</v>
      </c>
      <c r="D44" s="218">
        <f>'FORMATO DIL'!D50</f>
        <v>0</v>
      </c>
      <c r="E44" s="217" t="str">
        <f>IF('FORMATO DIL'!E50&lt;&gt;"",'FORMATO DIL'!E50,"NA")</f>
        <v>NA</v>
      </c>
      <c r="F44" s="218">
        <f>'FORMATO DIL'!F50</f>
        <v>0</v>
      </c>
      <c r="G44" s="216">
        <f>'FORMATO DIL'!G50</f>
        <v>0</v>
      </c>
      <c r="H44" s="220">
        <f>IFERROR(IF(S44="L",VLOOKUP(G44,LOTES!A:E,2,0),VLOOKUP(G44,ESTANDAR!A:B,2,0)),0)</f>
        <v>0</v>
      </c>
      <c r="I44" s="219" t="e">
        <f>VLOOKUP(G44,ESTANDAR!A:N,3,0)</f>
        <v>#N/A</v>
      </c>
      <c r="J44" s="221">
        <f>VALUE('FORMATO DIL'!J50)</f>
        <v>0</v>
      </c>
      <c r="K44" s="228">
        <f>IFERROR(ROUNDUP((Q44*J44)/VLOOKUP(G44,ESTANDAR!A:M,5,0),0),0)</f>
        <v>0</v>
      </c>
      <c r="L44" s="309" t="str">
        <f>IFERROR(IF('FORMATO DIL'!B$6="NEO+PED",VLOOKUP(G44,ESTANDAR!A:N,6,0),VLOOKUP(G44,ESTANDAR!A:N,7,0)),"ERROR")</f>
        <v>ERROR</v>
      </c>
      <c r="M44" s="222" t="b">
        <f t="shared" si="0"/>
        <v>0</v>
      </c>
      <c r="N44" s="223">
        <f>IF('FORMATO DIL'!N50=0,Q44,'FORMATO DIL'!N50)</f>
        <v>0</v>
      </c>
      <c r="O44" s="227" t="str">
        <f>IF(S44="L",VLOOKUP(G44,LOTES!A:E,4,0),A44)</f>
        <v/>
      </c>
      <c r="P44" s="310" t="e">
        <f ca="1">IF(S44="L",VLOOKUP(G44,LOTES!A:E,5,0),B$70+VLOOKUP(G44,ESTANDAR!A:N,10,0))</f>
        <v>#N/A</v>
      </c>
      <c r="Q44" s="224">
        <f>VALUE('FORMATO DIL'!Q50)</f>
        <v>0</v>
      </c>
      <c r="R44" s="311" t="e">
        <f>IF('FORMATO DIL'!R50=0,"DIL 1/"&amp;'DATOS ETIQ'!P40,'FORMATO DIL'!R50)</f>
        <v>#N/A</v>
      </c>
      <c r="S44" s="224">
        <f>IFERROR(IF(VLOOKUP(G44,ESTANDAR!A:N,9,0)="L","L",IF(AND('FORMATO DIL'!B$6="NEO+PED",VLOOKUP(G44,ESTANDAR!A:N,8,0)="JERINGA",'FORMATO DIL'!$G$5="HOSPITAL SANTA CLARA",M44&gt;=20),"SSN 50mL",IF(OR('FORMATO DIL'!B$6="NEO+PED",VLOOKUP(G44,ESTANDAR!A:N,9,0)="JERINGA"),IF(M44&lt;0.5,"JER 1mL",IF(AND(M44&gt;=0.5,M44&lt;=2.5),"JER 3mL",IF(AND(M44&gt;2.5,M44&lt;=4),"JER 5mL",IF(AND(M44&gt;4,M44&lt;=8),"JER 10mL",IF(AND(M44&gt;8,M44&lt;=16),"JER 20mL","JER 50mL"))))),VLOOKUP(G44,ESTANDAR!A:N,9,0)))),0)</f>
        <v>0</v>
      </c>
      <c r="T44" s="68" t="e">
        <f>IF(VLOOKUP(G44,ESTANDAR!A:N,12,0)="SI",Q44+1,ROUNDUP((Q44+2)/2,0))</f>
        <v>#N/A</v>
      </c>
      <c r="U44" s="68" t="e">
        <f>VLOOKUP(G44,ESTANDAR!A$3:N$98,12,0)</f>
        <v>#N/A</v>
      </c>
      <c r="V44" s="241">
        <f t="shared" si="1"/>
        <v>1</v>
      </c>
      <c r="W44" s="66" t="e">
        <f t="shared" ca="1" si="2"/>
        <v>#N/A</v>
      </c>
      <c r="Y44" s="66" t="b">
        <f t="shared" si="3"/>
        <v>0</v>
      </c>
      <c r="Z44" s="66" t="b">
        <f t="shared" si="4"/>
        <v>0</v>
      </c>
      <c r="AA44" s="66" t="b">
        <f t="shared" si="5"/>
        <v>0</v>
      </c>
      <c r="AB44" s="436" t="str">
        <f t="shared" si="6"/>
        <v/>
      </c>
      <c r="AC44" s="66" t="str">
        <f>IF('FORMATO DIL'!U50="","","VolTotal:  "&amp;'FORMATO DIL'!U50&amp;"mL")</f>
        <v/>
      </c>
    </row>
    <row r="45" spans="1:29" s="66" customFormat="1" ht="20.100000000000001" customHeight="1">
      <c r="A45" s="225" t="str">
        <f>'FORMATO DIL'!A51</f>
        <v/>
      </c>
      <c r="B45" s="214" t="str">
        <f>UPPER(TRIM('FORMATO DIL'!B51))</f>
        <v/>
      </c>
      <c r="C45" s="215">
        <f>'FORMATO DIL'!C51</f>
        <v>0</v>
      </c>
      <c r="D45" s="218">
        <f>'FORMATO DIL'!D51</f>
        <v>0</v>
      </c>
      <c r="E45" s="217" t="str">
        <f>IF('FORMATO DIL'!E51&lt;&gt;"",'FORMATO DIL'!E51,"NA")</f>
        <v>NA</v>
      </c>
      <c r="F45" s="218">
        <f>'FORMATO DIL'!F51</f>
        <v>0</v>
      </c>
      <c r="G45" s="216">
        <f>'FORMATO DIL'!G51</f>
        <v>0</v>
      </c>
      <c r="H45" s="220">
        <f>IFERROR(IF(S45="L",VLOOKUP(G45,LOTES!A:E,2,0),VLOOKUP(G45,ESTANDAR!A:B,2,0)),0)</f>
        <v>0</v>
      </c>
      <c r="I45" s="219" t="e">
        <f>VLOOKUP(G45,ESTANDAR!A:N,3,0)</f>
        <v>#N/A</v>
      </c>
      <c r="J45" s="221">
        <f>VALUE('FORMATO DIL'!J51)</f>
        <v>0</v>
      </c>
      <c r="K45" s="228">
        <f>IFERROR(ROUNDUP((Q45*J45)/VLOOKUP(G45,ESTANDAR!A:M,5,0),0),0)</f>
        <v>0</v>
      </c>
      <c r="L45" s="309" t="str">
        <f>IFERROR(IF('FORMATO DIL'!B$6="NEO+PED",VLOOKUP(G45,ESTANDAR!A:N,6,0),VLOOKUP(G45,ESTANDAR!A:N,7,0)),"ERROR")</f>
        <v>ERROR</v>
      </c>
      <c r="M45" s="222" t="b">
        <f t="shared" si="0"/>
        <v>0</v>
      </c>
      <c r="N45" s="223">
        <f>IF('FORMATO DIL'!N51=0,Q45,'FORMATO DIL'!N51)</f>
        <v>0</v>
      </c>
      <c r="O45" s="227" t="str">
        <f>IF(S45="L",VLOOKUP(G45,LOTES!A:E,4,0),A45)</f>
        <v/>
      </c>
      <c r="P45" s="310" t="e">
        <f ca="1">IF(S45="L",VLOOKUP(G45,LOTES!A:E,5,0),B$70+VLOOKUP(G45,ESTANDAR!A:N,10,0))</f>
        <v>#N/A</v>
      </c>
      <c r="Q45" s="224">
        <f>VALUE('FORMATO DIL'!Q51)</f>
        <v>0</v>
      </c>
      <c r="R45" s="311" t="e">
        <f>IF('FORMATO DIL'!R51=0,"DIL 1/"&amp;'DATOS ETIQ'!P41,'FORMATO DIL'!R51)</f>
        <v>#N/A</v>
      </c>
      <c r="S45" s="224">
        <f>IFERROR(IF(VLOOKUP(G45,ESTANDAR!A:N,9,0)="L","L",IF(AND('FORMATO DIL'!B$6="NEO+PED",VLOOKUP(G45,ESTANDAR!A:N,8,0)="JERINGA",'FORMATO DIL'!$G$5="HOSPITAL SANTA CLARA",M45&gt;=20),"SSN 50mL",IF(OR('FORMATO DIL'!B$6="NEO+PED",VLOOKUP(G45,ESTANDAR!A:N,9,0)="JERINGA"),IF(M45&lt;0.5,"JER 1mL",IF(AND(M45&gt;=0.5,M45&lt;=2.5),"JER 3mL",IF(AND(M45&gt;2.5,M45&lt;=4),"JER 5mL",IF(AND(M45&gt;4,M45&lt;=8),"JER 10mL",IF(AND(M45&gt;8,M45&lt;=16),"JER 20mL","JER 50mL"))))),VLOOKUP(G45,ESTANDAR!A:N,9,0)))),0)</f>
        <v>0</v>
      </c>
      <c r="T45" s="68" t="e">
        <f>IF(VLOOKUP(G45,ESTANDAR!A:N,12,0)="SI",Q45+1,ROUNDUP((Q45+2)/2,0))</f>
        <v>#N/A</v>
      </c>
      <c r="U45" s="68" t="e">
        <f>VLOOKUP(G45,ESTANDAR!A$3:N$98,12,0)</f>
        <v>#N/A</v>
      </c>
      <c r="V45" s="241">
        <f t="shared" si="1"/>
        <v>1</v>
      </c>
      <c r="W45" s="66" t="e">
        <f t="shared" ca="1" si="2"/>
        <v>#N/A</v>
      </c>
      <c r="Y45" s="66" t="b">
        <f t="shared" si="3"/>
        <v>0</v>
      </c>
      <c r="Z45" s="66" t="b">
        <f t="shared" si="4"/>
        <v>0</v>
      </c>
      <c r="AA45" s="66" t="b">
        <f t="shared" si="5"/>
        <v>0</v>
      </c>
      <c r="AB45" s="436" t="str">
        <f t="shared" si="6"/>
        <v/>
      </c>
      <c r="AC45" s="66" t="str">
        <f>IF('FORMATO DIL'!U51="","","VolTotal:  "&amp;'FORMATO DIL'!U51&amp;"mL")</f>
        <v/>
      </c>
    </row>
    <row r="46" spans="1:29" s="66" customFormat="1" ht="20.100000000000001" customHeight="1">
      <c r="A46" s="225" t="str">
        <f>'FORMATO DIL'!A52</f>
        <v/>
      </c>
      <c r="B46" s="214" t="str">
        <f>UPPER(TRIM('FORMATO DIL'!B52))</f>
        <v/>
      </c>
      <c r="C46" s="215">
        <f>'FORMATO DIL'!C52</f>
        <v>0</v>
      </c>
      <c r="D46" s="218">
        <f>'FORMATO DIL'!D52</f>
        <v>0</v>
      </c>
      <c r="E46" s="217" t="str">
        <f>IF('FORMATO DIL'!E52&lt;&gt;"",'FORMATO DIL'!E52,"NA")</f>
        <v>NA</v>
      </c>
      <c r="F46" s="218">
        <f>'FORMATO DIL'!F52</f>
        <v>0</v>
      </c>
      <c r="G46" s="216">
        <f>'FORMATO DIL'!G52</f>
        <v>0</v>
      </c>
      <c r="H46" s="220">
        <f>IFERROR(IF(S46="L",VLOOKUP(G46,LOTES!A:E,2,0),VLOOKUP(G46,ESTANDAR!A:B,2,0)),0)</f>
        <v>0</v>
      </c>
      <c r="I46" s="219" t="e">
        <f>VLOOKUP(G46,ESTANDAR!A:N,3,0)</f>
        <v>#N/A</v>
      </c>
      <c r="J46" s="221">
        <f>VALUE('FORMATO DIL'!J52)</f>
        <v>0</v>
      </c>
      <c r="K46" s="228">
        <f>IFERROR(ROUNDUP((Q46*J46)/VLOOKUP(G46,ESTANDAR!A:M,5,0),0),0)</f>
        <v>0</v>
      </c>
      <c r="L46" s="309" t="str">
        <f>IFERROR(IF('FORMATO DIL'!B$6="NEO+PED",VLOOKUP(G46,ESTANDAR!A:N,6,0),VLOOKUP(G46,ESTANDAR!A:N,7,0)),"ERROR")</f>
        <v>ERROR</v>
      </c>
      <c r="M46" s="222" t="b">
        <f t="shared" si="0"/>
        <v>0</v>
      </c>
      <c r="N46" s="223">
        <f>IF('FORMATO DIL'!N52=0,Q46,'FORMATO DIL'!N52)</f>
        <v>0</v>
      </c>
      <c r="O46" s="227" t="str">
        <f>IF(S46="L",VLOOKUP(G46,LOTES!A:E,4,0),A46)</f>
        <v/>
      </c>
      <c r="P46" s="310" t="e">
        <f ca="1">IF(S46="L",VLOOKUP(G46,LOTES!A:E,5,0),B$70+VLOOKUP(G46,ESTANDAR!A:N,10,0))</f>
        <v>#N/A</v>
      </c>
      <c r="Q46" s="224">
        <f>VALUE('FORMATO DIL'!Q52)</f>
        <v>0</v>
      </c>
      <c r="R46" s="311" t="e">
        <f>IF('FORMATO DIL'!R52=0,"DIL 1/"&amp;'DATOS ETIQ'!P42,'FORMATO DIL'!R52)</f>
        <v>#N/A</v>
      </c>
      <c r="S46" s="224">
        <f>IFERROR(IF(VLOOKUP(G46,ESTANDAR!A:N,9,0)="L","L",IF(AND('FORMATO DIL'!B$6="NEO+PED",VLOOKUP(G46,ESTANDAR!A:N,8,0)="JERINGA",'FORMATO DIL'!$G$5="HOSPITAL SANTA CLARA",M46&gt;=20),"SSN 50mL",IF(OR('FORMATO DIL'!B$6="NEO+PED",VLOOKUP(G46,ESTANDAR!A:N,9,0)="JERINGA"),IF(M46&lt;0.5,"JER 1mL",IF(AND(M46&gt;=0.5,M46&lt;=2.5),"JER 3mL",IF(AND(M46&gt;2.5,M46&lt;=4),"JER 5mL",IF(AND(M46&gt;4,M46&lt;=8),"JER 10mL",IF(AND(M46&gt;8,M46&lt;=16),"JER 20mL","JER 50mL"))))),VLOOKUP(G46,ESTANDAR!A:N,9,0)))),0)</f>
        <v>0</v>
      </c>
      <c r="T46" s="68" t="e">
        <f>IF(VLOOKUP(G46,ESTANDAR!A:N,12,0)="SI",Q46+1,ROUNDUP((Q46+2)/2,0))</f>
        <v>#N/A</v>
      </c>
      <c r="U46" s="68" t="e">
        <f>VLOOKUP(G46,ESTANDAR!A$3:N$98,12,0)</f>
        <v>#N/A</v>
      </c>
      <c r="V46" s="241">
        <f t="shared" si="1"/>
        <v>1</v>
      </c>
      <c r="W46" s="66" t="e">
        <f t="shared" ca="1" si="2"/>
        <v>#N/A</v>
      </c>
      <c r="Y46" s="66" t="b">
        <f t="shared" si="3"/>
        <v>0</v>
      </c>
      <c r="Z46" s="66" t="b">
        <f t="shared" si="4"/>
        <v>0</v>
      </c>
      <c r="AA46" s="66" t="b">
        <f t="shared" si="5"/>
        <v>0</v>
      </c>
      <c r="AB46" s="436" t="str">
        <f t="shared" si="6"/>
        <v/>
      </c>
      <c r="AC46" s="66" t="str">
        <f>IF('FORMATO DIL'!U52="","","VolTotal:  "&amp;'FORMATO DIL'!U52&amp;"mL")</f>
        <v/>
      </c>
    </row>
    <row r="47" spans="1:29" s="66" customFormat="1" ht="20.100000000000001" customHeight="1">
      <c r="A47" s="225" t="str">
        <f>'FORMATO DIL'!A53</f>
        <v/>
      </c>
      <c r="B47" s="214" t="str">
        <f>UPPER(TRIM('FORMATO DIL'!B53))</f>
        <v/>
      </c>
      <c r="C47" s="215">
        <f>'FORMATO DIL'!C53</f>
        <v>0</v>
      </c>
      <c r="D47" s="218">
        <f>'FORMATO DIL'!D53</f>
        <v>0</v>
      </c>
      <c r="E47" s="217" t="str">
        <f>IF('FORMATO DIL'!E53&lt;&gt;"",'FORMATO DIL'!E53,"NA")</f>
        <v>NA</v>
      </c>
      <c r="F47" s="218">
        <f>'FORMATO DIL'!F53</f>
        <v>0</v>
      </c>
      <c r="G47" s="216">
        <f>'FORMATO DIL'!G53</f>
        <v>0</v>
      </c>
      <c r="H47" s="220">
        <f>IFERROR(IF(S47="L",VLOOKUP(G47,LOTES!A:E,2,0),VLOOKUP(G47,ESTANDAR!A:B,2,0)),0)</f>
        <v>0</v>
      </c>
      <c r="I47" s="219" t="e">
        <f>VLOOKUP(G47,ESTANDAR!A:N,3,0)</f>
        <v>#N/A</v>
      </c>
      <c r="J47" s="221">
        <f>VALUE('FORMATO DIL'!J53)</f>
        <v>0</v>
      </c>
      <c r="K47" s="228">
        <f>IFERROR(ROUNDUP((Q47*J47)/VLOOKUP(G47,ESTANDAR!A:M,5,0),0),0)</f>
        <v>0</v>
      </c>
      <c r="L47" s="309" t="str">
        <f>IFERROR(IF('FORMATO DIL'!B$6="NEO+PED",VLOOKUP(G47,ESTANDAR!A:N,6,0),VLOOKUP(G47,ESTANDAR!A:N,7,0)),"ERROR")</f>
        <v>ERROR</v>
      </c>
      <c r="M47" s="222" t="b">
        <f t="shared" si="0"/>
        <v>0</v>
      </c>
      <c r="N47" s="223">
        <f>IF('FORMATO DIL'!N53=0,Q47,'FORMATO DIL'!N53)</f>
        <v>0</v>
      </c>
      <c r="O47" s="227" t="str">
        <f>IF(S47="L",VLOOKUP(G47,LOTES!A:E,4,0),A47)</f>
        <v/>
      </c>
      <c r="P47" s="310" t="e">
        <f ca="1">IF(S47="L",VLOOKUP(G47,LOTES!A:E,5,0),B$70+VLOOKUP(G47,ESTANDAR!A:N,10,0))</f>
        <v>#N/A</v>
      </c>
      <c r="Q47" s="224">
        <f>VALUE('FORMATO DIL'!Q53)</f>
        <v>0</v>
      </c>
      <c r="R47" s="311" t="e">
        <f>IF('FORMATO DIL'!R53=0,"DIL 1/"&amp;'DATOS ETIQ'!P43,'FORMATO DIL'!R53)</f>
        <v>#N/A</v>
      </c>
      <c r="S47" s="224">
        <f>IFERROR(IF(VLOOKUP(G47,ESTANDAR!A:N,9,0)="L","L",IF(AND('FORMATO DIL'!B$6="NEO+PED",VLOOKUP(G47,ESTANDAR!A:N,8,0)="JERINGA",'FORMATO DIL'!$G$5="HOSPITAL SANTA CLARA",M47&gt;=20),"SSN 50mL",IF(OR('FORMATO DIL'!B$6="NEO+PED",VLOOKUP(G47,ESTANDAR!A:N,9,0)="JERINGA"),IF(M47&lt;0.5,"JER 1mL",IF(AND(M47&gt;=0.5,M47&lt;=2.5),"JER 3mL",IF(AND(M47&gt;2.5,M47&lt;=4),"JER 5mL",IF(AND(M47&gt;4,M47&lt;=8),"JER 10mL",IF(AND(M47&gt;8,M47&lt;=16),"JER 20mL","JER 50mL"))))),VLOOKUP(G47,ESTANDAR!A:N,9,0)))),0)</f>
        <v>0</v>
      </c>
      <c r="T47" s="68" t="e">
        <f>IF(VLOOKUP(G47,ESTANDAR!A:N,12,0)="SI",Q47+1,ROUNDUP((Q47+2)/2,0))</f>
        <v>#N/A</v>
      </c>
      <c r="U47" s="68" t="e">
        <f>VLOOKUP(G47,ESTANDAR!A$3:N$98,12,0)</f>
        <v>#N/A</v>
      </c>
      <c r="V47" s="241">
        <f t="shared" si="1"/>
        <v>1</v>
      </c>
      <c r="W47" s="66" t="e">
        <f t="shared" ca="1" si="2"/>
        <v>#N/A</v>
      </c>
      <c r="Y47" s="66" t="b">
        <f t="shared" si="3"/>
        <v>0</v>
      </c>
      <c r="Z47" s="66" t="b">
        <f t="shared" si="4"/>
        <v>0</v>
      </c>
      <c r="AA47" s="66" t="b">
        <f t="shared" si="5"/>
        <v>0</v>
      </c>
      <c r="AB47" s="436" t="str">
        <f t="shared" si="6"/>
        <v/>
      </c>
      <c r="AC47" s="66" t="str">
        <f>IF('FORMATO DIL'!U53="","","VolTotal:  "&amp;'FORMATO DIL'!U53&amp;"mL")</f>
        <v/>
      </c>
    </row>
    <row r="48" spans="1:29" s="66" customFormat="1" ht="20.100000000000001" customHeight="1">
      <c r="A48" s="225" t="str">
        <f>'FORMATO DIL'!A54</f>
        <v/>
      </c>
      <c r="B48" s="214" t="str">
        <f>UPPER(TRIM('FORMATO DIL'!B54))</f>
        <v/>
      </c>
      <c r="C48" s="215">
        <f>'FORMATO DIL'!C54</f>
        <v>0</v>
      </c>
      <c r="D48" s="218">
        <f>'FORMATO DIL'!D54</f>
        <v>0</v>
      </c>
      <c r="E48" s="217" t="str">
        <f>IF('FORMATO DIL'!E54&lt;&gt;"",'FORMATO DIL'!E54,"NA")</f>
        <v>NA</v>
      </c>
      <c r="F48" s="218">
        <f>'FORMATO DIL'!F54</f>
        <v>0</v>
      </c>
      <c r="G48" s="216">
        <f>'FORMATO DIL'!G54</f>
        <v>0</v>
      </c>
      <c r="H48" s="220">
        <f>IFERROR(IF(S48="L",VLOOKUP(G48,LOTES!A:E,2,0),VLOOKUP(G48,ESTANDAR!A:B,2,0)),0)</f>
        <v>0</v>
      </c>
      <c r="I48" s="219" t="e">
        <f>VLOOKUP(G48,ESTANDAR!A:N,3,0)</f>
        <v>#N/A</v>
      </c>
      <c r="J48" s="221">
        <f>VALUE('FORMATO DIL'!J54)</f>
        <v>0</v>
      </c>
      <c r="K48" s="228">
        <f>IFERROR(ROUNDUP((Q48*J48)/VLOOKUP(G48,ESTANDAR!A:M,5,0),0),0)</f>
        <v>0</v>
      </c>
      <c r="L48" s="309" t="str">
        <f>IFERROR(IF('FORMATO DIL'!B$6="NEO+PED",VLOOKUP(G48,ESTANDAR!A:N,6,0),VLOOKUP(G48,ESTANDAR!A:N,7,0)),"ERROR")</f>
        <v>ERROR</v>
      </c>
      <c r="M48" s="222" t="b">
        <f t="shared" si="0"/>
        <v>0</v>
      </c>
      <c r="N48" s="223">
        <f>IF('FORMATO DIL'!N54=0,Q48,'FORMATO DIL'!N54)</f>
        <v>0</v>
      </c>
      <c r="O48" s="227" t="str">
        <f>IF(S48="L",VLOOKUP(G48,LOTES!A:E,4,0),A48)</f>
        <v/>
      </c>
      <c r="P48" s="310" t="e">
        <f ca="1">IF(S48="L",VLOOKUP(G48,LOTES!A:E,5,0),B$70+VLOOKUP(G48,ESTANDAR!A:N,10,0))</f>
        <v>#N/A</v>
      </c>
      <c r="Q48" s="224">
        <f>VALUE('FORMATO DIL'!Q54)</f>
        <v>0</v>
      </c>
      <c r="R48" s="311" t="e">
        <f>IF('FORMATO DIL'!R54=0,"DIL 1/"&amp;'DATOS ETIQ'!P44,'FORMATO DIL'!R54)</f>
        <v>#N/A</v>
      </c>
      <c r="S48" s="224">
        <f>IFERROR(IF(VLOOKUP(G48,ESTANDAR!A:N,9,0)="L","L",IF(AND('FORMATO DIL'!B$6="NEO+PED",VLOOKUP(G48,ESTANDAR!A:N,8,0)="JERINGA",'FORMATO DIL'!$G$5="HOSPITAL SANTA CLARA",M48&gt;=20),"SSN 50mL",IF(OR('FORMATO DIL'!B$6="NEO+PED",VLOOKUP(G48,ESTANDAR!A:N,9,0)="JERINGA"),IF(M48&lt;0.5,"JER 1mL",IF(AND(M48&gt;=0.5,M48&lt;=2.5),"JER 3mL",IF(AND(M48&gt;2.5,M48&lt;=4),"JER 5mL",IF(AND(M48&gt;4,M48&lt;=8),"JER 10mL",IF(AND(M48&gt;8,M48&lt;=16),"JER 20mL","JER 50mL"))))),VLOOKUP(G48,ESTANDAR!A:N,9,0)))),0)</f>
        <v>0</v>
      </c>
      <c r="T48" s="68" t="e">
        <f>IF(VLOOKUP(G48,ESTANDAR!A:N,12,0)="SI",Q48+1,ROUNDUP((Q48+2)/2,0))</f>
        <v>#N/A</v>
      </c>
      <c r="U48" s="68" t="e">
        <f>VLOOKUP(G48,ESTANDAR!A$3:N$98,12,0)</f>
        <v>#N/A</v>
      </c>
      <c r="V48" s="241">
        <f t="shared" si="1"/>
        <v>1</v>
      </c>
      <c r="W48" s="66" t="e">
        <f t="shared" ca="1" si="2"/>
        <v>#N/A</v>
      </c>
      <c r="Y48" s="66" t="b">
        <f t="shared" si="3"/>
        <v>0</v>
      </c>
      <c r="Z48" s="66" t="b">
        <f t="shared" si="4"/>
        <v>0</v>
      </c>
      <c r="AA48" s="66" t="b">
        <f t="shared" si="5"/>
        <v>0</v>
      </c>
      <c r="AB48" s="436" t="str">
        <f t="shared" si="6"/>
        <v/>
      </c>
      <c r="AC48" s="66" t="str">
        <f>IF('FORMATO DIL'!U54="","","VolTotal:  "&amp;'FORMATO DIL'!U54&amp;"mL")</f>
        <v/>
      </c>
    </row>
    <row r="49" spans="1:29" s="66" customFormat="1" ht="20.100000000000001" customHeight="1">
      <c r="A49" s="225" t="str">
        <f>'FORMATO DIL'!A55</f>
        <v/>
      </c>
      <c r="B49" s="214" t="str">
        <f>UPPER(TRIM('FORMATO DIL'!B55))</f>
        <v/>
      </c>
      <c r="C49" s="215">
        <f>'FORMATO DIL'!C55</f>
        <v>0</v>
      </c>
      <c r="D49" s="218">
        <f>'FORMATO DIL'!D55</f>
        <v>0</v>
      </c>
      <c r="E49" s="217" t="str">
        <f>IF('FORMATO DIL'!E55&lt;&gt;"",'FORMATO DIL'!E55,"NA")</f>
        <v>NA</v>
      </c>
      <c r="F49" s="218">
        <f>'FORMATO DIL'!F55</f>
        <v>0</v>
      </c>
      <c r="G49" s="216">
        <f>'FORMATO DIL'!G55</f>
        <v>0</v>
      </c>
      <c r="H49" s="220">
        <f>IFERROR(IF(S49="L",VLOOKUP(G49,LOTES!A:E,2,0),VLOOKUP(G49,ESTANDAR!A:B,2,0)),0)</f>
        <v>0</v>
      </c>
      <c r="I49" s="219" t="e">
        <f>VLOOKUP(G49,ESTANDAR!A:N,3,0)</f>
        <v>#N/A</v>
      </c>
      <c r="J49" s="221">
        <f>VALUE('FORMATO DIL'!J55)</f>
        <v>0</v>
      </c>
      <c r="K49" s="228">
        <f>IFERROR(ROUNDUP((Q49*J49)/VLOOKUP(G49,ESTANDAR!A:M,5,0),0),0)</f>
        <v>0</v>
      </c>
      <c r="L49" s="309" t="str">
        <f>IFERROR(IF('FORMATO DIL'!B$6="NEO+PED",VLOOKUP(G49,ESTANDAR!A:N,6,0),VLOOKUP(G49,ESTANDAR!A:N,7,0)),"ERROR")</f>
        <v>ERROR</v>
      </c>
      <c r="M49" s="222" t="b">
        <f t="shared" si="0"/>
        <v>0</v>
      </c>
      <c r="N49" s="223">
        <f>IF('FORMATO DIL'!N55=0,Q49,'FORMATO DIL'!N55)</f>
        <v>0</v>
      </c>
      <c r="O49" s="227" t="str">
        <f>IF(S49="L",VLOOKUP(G49,LOTES!A:E,4,0),A49)</f>
        <v/>
      </c>
      <c r="P49" s="310" t="e">
        <f ca="1">IF(S49="L",VLOOKUP(G49,LOTES!A:E,5,0),B$70+VLOOKUP(G49,ESTANDAR!A:N,10,0))</f>
        <v>#N/A</v>
      </c>
      <c r="Q49" s="224">
        <f>VALUE('FORMATO DIL'!Q55)</f>
        <v>0</v>
      </c>
      <c r="R49" s="311" t="e">
        <f>IF('FORMATO DIL'!R55=0,"DIL 1/"&amp;'DATOS ETIQ'!P45,'FORMATO DIL'!R55)</f>
        <v>#N/A</v>
      </c>
      <c r="S49" s="224">
        <f>IFERROR(IF(VLOOKUP(G49,ESTANDAR!A:N,9,0)="L","L",IF(AND('FORMATO DIL'!B$6="NEO+PED",VLOOKUP(G49,ESTANDAR!A:N,8,0)="JERINGA",'FORMATO DIL'!$G$5="HOSPITAL SANTA CLARA",M49&gt;=20),"SSN 50mL",IF(OR('FORMATO DIL'!B$6="NEO+PED",VLOOKUP(G49,ESTANDAR!A:N,9,0)="JERINGA"),IF(M49&lt;0.5,"JER 1mL",IF(AND(M49&gt;=0.5,M49&lt;=2.5),"JER 3mL",IF(AND(M49&gt;2.5,M49&lt;=4),"JER 5mL",IF(AND(M49&gt;4,M49&lt;=8),"JER 10mL",IF(AND(M49&gt;8,M49&lt;=16),"JER 20mL","JER 50mL"))))),VLOOKUP(G49,ESTANDAR!A:N,9,0)))),0)</f>
        <v>0</v>
      </c>
      <c r="T49" s="68" t="e">
        <f>IF(VLOOKUP(G49,ESTANDAR!A:N,12,0)="SI",Q49+1,ROUNDUP((Q49+2)/2,0))</f>
        <v>#N/A</v>
      </c>
      <c r="U49" s="68" t="e">
        <f>VLOOKUP(G49,ESTANDAR!A$3:N$98,12,0)</f>
        <v>#N/A</v>
      </c>
      <c r="V49" s="241">
        <f t="shared" si="1"/>
        <v>1</v>
      </c>
      <c r="W49" s="66" t="e">
        <f t="shared" ca="1" si="2"/>
        <v>#N/A</v>
      </c>
      <c r="Y49" s="66" t="b">
        <f t="shared" si="3"/>
        <v>0</v>
      </c>
      <c r="Z49" s="66" t="b">
        <f t="shared" si="4"/>
        <v>0</v>
      </c>
      <c r="AA49" s="66" t="b">
        <f t="shared" si="5"/>
        <v>0</v>
      </c>
      <c r="AB49" s="436" t="str">
        <f t="shared" si="6"/>
        <v/>
      </c>
      <c r="AC49" s="66" t="str">
        <f>IF('FORMATO DIL'!U55="","","VolTotal:  "&amp;'FORMATO DIL'!U55&amp;"mL")</f>
        <v/>
      </c>
    </row>
    <row r="50" spans="1:29" s="66" customFormat="1" ht="20.100000000000001" customHeight="1">
      <c r="A50" s="225" t="str">
        <f>'FORMATO DIL'!A56</f>
        <v/>
      </c>
      <c r="B50" s="214" t="str">
        <f>UPPER(TRIM('FORMATO DIL'!B56))</f>
        <v/>
      </c>
      <c r="C50" s="215">
        <f>'FORMATO DIL'!C56</f>
        <v>0</v>
      </c>
      <c r="D50" s="218">
        <f>'FORMATO DIL'!D56</f>
        <v>0</v>
      </c>
      <c r="E50" s="217" t="str">
        <f>IF('FORMATO DIL'!E56&lt;&gt;"",'FORMATO DIL'!E56,"NA")</f>
        <v>NA</v>
      </c>
      <c r="F50" s="218">
        <f>'FORMATO DIL'!F56</f>
        <v>0</v>
      </c>
      <c r="G50" s="216">
        <f>'FORMATO DIL'!G56</f>
        <v>0</v>
      </c>
      <c r="H50" s="220">
        <f>IFERROR(IF(S50="L",VLOOKUP(G50,LOTES!A:E,2,0),VLOOKUP(G50,ESTANDAR!A:B,2,0)),0)</f>
        <v>0</v>
      </c>
      <c r="I50" s="219" t="e">
        <f>VLOOKUP(G50,ESTANDAR!A:N,3,0)</f>
        <v>#N/A</v>
      </c>
      <c r="J50" s="221">
        <f>VALUE('FORMATO DIL'!J56)</f>
        <v>0</v>
      </c>
      <c r="K50" s="228">
        <f>IFERROR(ROUNDUP((Q50*J50)/VLOOKUP(G50,ESTANDAR!A:M,5,0),0),0)</f>
        <v>0</v>
      </c>
      <c r="L50" s="309" t="str">
        <f>IFERROR(IF('FORMATO DIL'!B$6="NEO+PED",VLOOKUP(G50,ESTANDAR!A:N,6,0),VLOOKUP(G50,ESTANDAR!A:N,7,0)),"ERROR")</f>
        <v>ERROR</v>
      </c>
      <c r="M50" s="222" t="b">
        <f t="shared" si="0"/>
        <v>0</v>
      </c>
      <c r="N50" s="223">
        <f>IF('FORMATO DIL'!N56=0,Q50,'FORMATO DIL'!N56)</f>
        <v>0</v>
      </c>
      <c r="O50" s="227" t="str">
        <f>IF(S50="L",VLOOKUP(G50,LOTES!A:E,4,0),A50)</f>
        <v/>
      </c>
      <c r="P50" s="310" t="e">
        <f ca="1">IF(S50="L",VLOOKUP(G50,LOTES!A:E,5,0),B$70+VLOOKUP(G50,ESTANDAR!A:N,10,0))</f>
        <v>#N/A</v>
      </c>
      <c r="Q50" s="224">
        <f>VALUE('FORMATO DIL'!Q56)</f>
        <v>0</v>
      </c>
      <c r="R50" s="311" t="str">
        <f>IF('FORMATO DIL'!R56=0,"DIL 1/"&amp;'DATOS ETIQ'!P46,'FORMATO DIL'!R56)</f>
        <v>DIL 1/</v>
      </c>
      <c r="S50" s="224">
        <f>IFERROR(IF(VLOOKUP(G50,ESTANDAR!A:N,9,0)="L","L",IF(AND('FORMATO DIL'!B$6="NEO+PED",VLOOKUP(G50,ESTANDAR!A:N,8,0)="JERINGA",'FORMATO DIL'!$G$5="HOSPITAL SANTA CLARA",M50&gt;=20),"SSN 50mL",IF(OR('FORMATO DIL'!B$6="NEO+PED",VLOOKUP(G50,ESTANDAR!A:N,9,0)="JERINGA"),IF(M50&lt;0.5,"JER 1mL",IF(AND(M50&gt;=0.5,M50&lt;=2.5),"JER 3mL",IF(AND(M50&gt;2.5,M50&lt;=4),"JER 5mL",IF(AND(M50&gt;4,M50&lt;=8),"JER 10mL",IF(AND(M50&gt;8,M50&lt;=16),"JER 20mL","JER 50mL"))))),VLOOKUP(G50,ESTANDAR!A:N,9,0)))),0)</f>
        <v>0</v>
      </c>
      <c r="T50" s="68" t="e">
        <f>IF(VLOOKUP(G50,ESTANDAR!A:N,12,0)="SI",Q50+1,ROUNDUP((Q50+2)/2,0))</f>
        <v>#N/A</v>
      </c>
      <c r="U50" s="68" t="e">
        <f>VLOOKUP(G50,ESTANDAR!A$3:N$98,12,0)</f>
        <v>#N/A</v>
      </c>
      <c r="V50" s="241">
        <f t="shared" si="1"/>
        <v>1</v>
      </c>
      <c r="W50" s="66" t="e">
        <f t="shared" ca="1" si="2"/>
        <v>#N/A</v>
      </c>
      <c r="Y50" s="66" t="b">
        <f t="shared" si="3"/>
        <v>0</v>
      </c>
      <c r="Z50" s="66" t="b">
        <f t="shared" si="4"/>
        <v>0</v>
      </c>
      <c r="AA50" s="66" t="b">
        <f t="shared" si="5"/>
        <v>0</v>
      </c>
      <c r="AB50" s="436" t="str">
        <f t="shared" si="6"/>
        <v/>
      </c>
      <c r="AC50" s="66" t="str">
        <f>IF('FORMATO DIL'!U56="","","VolTotal:  "&amp;'FORMATO DIL'!U56&amp;"mL")</f>
        <v/>
      </c>
    </row>
    <row r="51" spans="1:29" s="66" customFormat="1" ht="20.100000000000001" customHeight="1">
      <c r="A51" s="225" t="str">
        <f>'FORMATO DIL'!A57</f>
        <v/>
      </c>
      <c r="B51" s="214" t="str">
        <f>UPPER(TRIM('FORMATO DIL'!B57))</f>
        <v/>
      </c>
      <c r="C51" s="215">
        <f>'FORMATO DIL'!C57</f>
        <v>0</v>
      </c>
      <c r="D51" s="218">
        <f>'FORMATO DIL'!D57</f>
        <v>0</v>
      </c>
      <c r="E51" s="217" t="str">
        <f>IF('FORMATO DIL'!E57&lt;&gt;"",'FORMATO DIL'!E57,"NA")</f>
        <v>NA</v>
      </c>
      <c r="F51" s="218">
        <f>'FORMATO DIL'!F57</f>
        <v>0</v>
      </c>
      <c r="G51" s="216">
        <f>'FORMATO DIL'!G57</f>
        <v>0</v>
      </c>
      <c r="H51" s="220">
        <f>IFERROR(IF(S51="L",VLOOKUP(G51,LOTES!A:E,2,0),VLOOKUP(G51,ESTANDAR!A:B,2,0)),0)</f>
        <v>0</v>
      </c>
      <c r="I51" s="219" t="e">
        <f>VLOOKUP(G51,ESTANDAR!A:N,3,0)</f>
        <v>#N/A</v>
      </c>
      <c r="J51" s="221">
        <f>VALUE('FORMATO DIL'!J57)</f>
        <v>0</v>
      </c>
      <c r="K51" s="228">
        <f>IFERROR(ROUNDUP((Q51*J51)/VLOOKUP(G51,ESTANDAR!A:M,5,0),0),0)</f>
        <v>0</v>
      </c>
      <c r="L51" s="309" t="str">
        <f>IFERROR(IF('FORMATO DIL'!B$6="NEO+PED",VLOOKUP(G51,ESTANDAR!A:N,6,0),VLOOKUP(G51,ESTANDAR!A:N,7,0)),"ERROR")</f>
        <v>ERROR</v>
      </c>
      <c r="M51" s="222" t="b">
        <f t="shared" si="0"/>
        <v>0</v>
      </c>
      <c r="N51" s="223">
        <f>IF('FORMATO DIL'!N57=0,Q51,'FORMATO DIL'!N57)</f>
        <v>0</v>
      </c>
      <c r="O51" s="227" t="str">
        <f>IF(S51="L",VLOOKUP(G51,LOTES!A:E,4,0),A51)</f>
        <v/>
      </c>
      <c r="P51" s="310" t="e">
        <f ca="1">IF(S51="L",VLOOKUP(G51,LOTES!A:E,5,0),B$70+VLOOKUP(G51,ESTANDAR!A:N,10,0))</f>
        <v>#N/A</v>
      </c>
      <c r="Q51" s="224">
        <f>VALUE('FORMATO DIL'!Q57)</f>
        <v>0</v>
      </c>
      <c r="R51" s="311" t="str">
        <f>IF('FORMATO DIL'!R57=0,"DIL 1/"&amp;'DATOS ETIQ'!P47,'FORMATO DIL'!R57)</f>
        <v>DIL 1/</v>
      </c>
      <c r="S51" s="224">
        <f>IFERROR(IF(VLOOKUP(G51,ESTANDAR!A:N,9,0)="L","L",IF(AND('FORMATO DIL'!B$6="NEO+PED",VLOOKUP(G51,ESTANDAR!A:N,8,0)="JERINGA",'FORMATO DIL'!$G$5="HOSPITAL SANTA CLARA",M51&gt;=20),"SSN 50mL",IF(OR('FORMATO DIL'!B$6="NEO+PED",VLOOKUP(G51,ESTANDAR!A:N,9,0)="JERINGA"),IF(M51&lt;0.5,"JER 1mL",IF(AND(M51&gt;=0.5,M51&lt;=2.5),"JER 3mL",IF(AND(M51&gt;2.5,M51&lt;=4),"JER 5mL",IF(AND(M51&gt;4,M51&lt;=8),"JER 10mL",IF(AND(M51&gt;8,M51&lt;=16),"JER 20mL","JER 50mL"))))),VLOOKUP(G51,ESTANDAR!A:N,9,0)))),0)</f>
        <v>0</v>
      </c>
      <c r="T51" s="68" t="e">
        <f>IF(VLOOKUP(G51,ESTANDAR!A:N,12,0)="SI",Q51+1,ROUNDUP((Q51+2)/2,0))</f>
        <v>#N/A</v>
      </c>
      <c r="U51" s="68" t="e">
        <f>VLOOKUP(G51,ESTANDAR!A$3:N$98,12,0)</f>
        <v>#N/A</v>
      </c>
      <c r="V51" s="241">
        <f t="shared" si="1"/>
        <v>1</v>
      </c>
      <c r="W51" s="66" t="e">
        <f t="shared" ca="1" si="2"/>
        <v>#N/A</v>
      </c>
      <c r="Y51" s="66" t="b">
        <f t="shared" si="3"/>
        <v>0</v>
      </c>
      <c r="Z51" s="66" t="b">
        <f t="shared" si="4"/>
        <v>0</v>
      </c>
      <c r="AA51" s="66" t="b">
        <f t="shared" si="5"/>
        <v>0</v>
      </c>
      <c r="AB51" s="436" t="str">
        <f t="shared" si="6"/>
        <v/>
      </c>
      <c r="AC51" s="66" t="str">
        <f>IF('FORMATO DIL'!U57="","","VolTotal:  "&amp;'FORMATO DIL'!U57&amp;"mL")</f>
        <v/>
      </c>
    </row>
    <row r="52" spans="1:29" s="66" customFormat="1" ht="20.100000000000001" customHeight="1">
      <c r="A52" s="225" t="str">
        <f>'FORMATO DIL'!A58</f>
        <v/>
      </c>
      <c r="B52" s="214" t="str">
        <f>UPPER(TRIM('FORMATO DIL'!B58))</f>
        <v/>
      </c>
      <c r="C52" s="215">
        <f>'FORMATO DIL'!C58</f>
        <v>0</v>
      </c>
      <c r="D52" s="218">
        <f>'FORMATO DIL'!D58</f>
        <v>0</v>
      </c>
      <c r="E52" s="217" t="str">
        <f>IF('FORMATO DIL'!E58&lt;&gt;"",'FORMATO DIL'!E58,"NA")</f>
        <v>NA</v>
      </c>
      <c r="F52" s="218">
        <f>'FORMATO DIL'!F58</f>
        <v>0</v>
      </c>
      <c r="G52" s="216">
        <f>'FORMATO DIL'!G58</f>
        <v>0</v>
      </c>
      <c r="H52" s="220">
        <f>IFERROR(IF(S52="L",VLOOKUP(G52,LOTES!A:E,2,0),VLOOKUP(G52,ESTANDAR!A:B,2,0)),0)</f>
        <v>0</v>
      </c>
      <c r="I52" s="219" t="e">
        <f>VLOOKUP(G52,ESTANDAR!A:N,3,0)</f>
        <v>#N/A</v>
      </c>
      <c r="J52" s="221">
        <f>VALUE('FORMATO DIL'!J58)</f>
        <v>0</v>
      </c>
      <c r="K52" s="228">
        <f>IFERROR(ROUNDUP((Q52*J52)/VLOOKUP(G52,ESTANDAR!A:M,5,0),0),0)</f>
        <v>0</v>
      </c>
      <c r="L52" s="309" t="str">
        <f>IFERROR(IF('FORMATO DIL'!B$6="NEO+PED",VLOOKUP(G52,ESTANDAR!A:N,6,0),VLOOKUP(G52,ESTANDAR!A:N,7,0)),"ERROR")</f>
        <v>ERROR</v>
      </c>
      <c r="M52" s="222" t="b">
        <f t="shared" si="0"/>
        <v>0</v>
      </c>
      <c r="N52" s="223">
        <f>IF('FORMATO DIL'!N58=0,Q52,'FORMATO DIL'!N58)</f>
        <v>0</v>
      </c>
      <c r="O52" s="227" t="str">
        <f>IF(S52="L",VLOOKUP(G52,LOTES!A:E,4,0),A52)</f>
        <v/>
      </c>
      <c r="P52" s="310" t="e">
        <f ca="1">IF(S52="L",VLOOKUP(G52,LOTES!A:E,5,0),B$70+VLOOKUP(G52,ESTANDAR!A:N,10,0))</f>
        <v>#N/A</v>
      </c>
      <c r="Q52" s="224">
        <f>VALUE('FORMATO DIL'!Q58)</f>
        <v>0</v>
      </c>
      <c r="R52" s="311" t="str">
        <f>IF('FORMATO DIL'!R58=0,"DIL 1/"&amp;'DATOS ETIQ'!P48,'FORMATO DIL'!R58)</f>
        <v>DIL 1/</v>
      </c>
      <c r="S52" s="224">
        <f>IFERROR(IF(VLOOKUP(G52,ESTANDAR!A:N,9,0)="L","L",IF(AND('FORMATO DIL'!B$6="NEO+PED",VLOOKUP(G52,ESTANDAR!A:N,8,0)="JERINGA",'FORMATO DIL'!$G$5="HOSPITAL SANTA CLARA",M52&gt;=20),"SSN 50mL",IF(OR('FORMATO DIL'!B$6="NEO+PED",VLOOKUP(G52,ESTANDAR!A:N,9,0)="JERINGA"),IF(M52&lt;0.5,"JER 1mL",IF(AND(M52&gt;=0.5,M52&lt;=2.5),"JER 3mL",IF(AND(M52&gt;2.5,M52&lt;=4),"JER 5mL",IF(AND(M52&gt;4,M52&lt;=8),"JER 10mL",IF(AND(M52&gt;8,M52&lt;=16),"JER 20mL","JER 50mL"))))),VLOOKUP(G52,ESTANDAR!A:N,9,0)))),0)</f>
        <v>0</v>
      </c>
      <c r="T52" s="68" t="e">
        <f>IF(VLOOKUP(G52,ESTANDAR!A:N,12,0)="SI",Q52+1,ROUNDUP((Q52+2)/2,0))</f>
        <v>#N/A</v>
      </c>
      <c r="U52" s="68" t="e">
        <f>VLOOKUP(G52,ESTANDAR!A$3:N$98,12,0)</f>
        <v>#N/A</v>
      </c>
      <c r="V52" s="241">
        <f t="shared" si="1"/>
        <v>1</v>
      </c>
      <c r="W52" s="66" t="e">
        <f t="shared" ca="1" si="2"/>
        <v>#N/A</v>
      </c>
      <c r="Y52" s="66" t="b">
        <f t="shared" si="3"/>
        <v>0</v>
      </c>
      <c r="Z52" s="66" t="b">
        <f t="shared" si="4"/>
        <v>0</v>
      </c>
      <c r="AA52" s="66" t="b">
        <f t="shared" si="5"/>
        <v>0</v>
      </c>
      <c r="AB52" s="436" t="str">
        <f t="shared" si="6"/>
        <v/>
      </c>
      <c r="AC52" s="66" t="str">
        <f>IF('FORMATO DIL'!U58="","","VolTotal:  "&amp;'FORMATO DIL'!U58&amp;"mL")</f>
        <v/>
      </c>
    </row>
    <row r="53" spans="1:29" s="66" customFormat="1" ht="20.100000000000001" customHeight="1">
      <c r="A53" s="225" t="str">
        <f>'FORMATO DIL'!A59</f>
        <v/>
      </c>
      <c r="B53" s="214" t="str">
        <f>UPPER(TRIM('FORMATO DIL'!B59))</f>
        <v/>
      </c>
      <c r="C53" s="215">
        <f>'FORMATO DIL'!C59</f>
        <v>0</v>
      </c>
      <c r="D53" s="218">
        <f>'FORMATO DIL'!D59</f>
        <v>0</v>
      </c>
      <c r="E53" s="217" t="str">
        <f>IF('FORMATO DIL'!E59&lt;&gt;"",'FORMATO DIL'!E59,"NA")</f>
        <v>NA</v>
      </c>
      <c r="F53" s="218">
        <f>'FORMATO DIL'!F59</f>
        <v>0</v>
      </c>
      <c r="G53" s="216">
        <f>'FORMATO DIL'!G59</f>
        <v>0</v>
      </c>
      <c r="H53" s="220">
        <f>IFERROR(IF(S53="L",VLOOKUP(G53,LOTES!A:E,2,0),VLOOKUP(G53,ESTANDAR!A:B,2,0)),0)</f>
        <v>0</v>
      </c>
      <c r="I53" s="219" t="e">
        <f>VLOOKUP(G53,ESTANDAR!A:N,3,0)</f>
        <v>#N/A</v>
      </c>
      <c r="J53" s="221">
        <f>VALUE('FORMATO DIL'!J59)</f>
        <v>0</v>
      </c>
      <c r="K53" s="228">
        <f>IFERROR(ROUNDUP((Q53*J53)/VLOOKUP(G53,ESTANDAR!A:M,5,0),0),0)</f>
        <v>0</v>
      </c>
      <c r="L53" s="309" t="str">
        <f>IFERROR(IF('FORMATO DIL'!B$6="NEO+PED",VLOOKUP(G53,ESTANDAR!A:N,6,0),VLOOKUP(G53,ESTANDAR!A:N,7,0)),"ERROR")</f>
        <v>ERROR</v>
      </c>
      <c r="M53" s="222" t="b">
        <f t="shared" si="0"/>
        <v>0</v>
      </c>
      <c r="N53" s="223">
        <f>IF('FORMATO DIL'!N59=0,Q53,'FORMATO DIL'!N59)</f>
        <v>0</v>
      </c>
      <c r="O53" s="227" t="str">
        <f>IF(S53="L",VLOOKUP(G53,LOTES!A:E,4,0),A53)</f>
        <v/>
      </c>
      <c r="P53" s="310" t="e">
        <f ca="1">IF(S53="L",VLOOKUP(G53,LOTES!A:E,5,0),B$70+VLOOKUP(G53,ESTANDAR!A:N,10,0))</f>
        <v>#N/A</v>
      </c>
      <c r="Q53" s="224">
        <f>VALUE('FORMATO DIL'!Q59)</f>
        <v>0</v>
      </c>
      <c r="R53" s="311" t="str">
        <f>IF('FORMATO DIL'!R59=0,"DIL 1/"&amp;'DATOS ETIQ'!P49,'FORMATO DIL'!R59)</f>
        <v>DIL 1/</v>
      </c>
      <c r="S53" s="224">
        <f>IFERROR(IF(VLOOKUP(G53,ESTANDAR!A:N,9,0)="L","L",IF(AND('FORMATO DIL'!B$6="NEO+PED",VLOOKUP(G53,ESTANDAR!A:N,8,0)="JERINGA",'FORMATO DIL'!$G$5="HOSPITAL SANTA CLARA",M53&gt;=20),"SSN 50mL",IF(OR('FORMATO DIL'!B$6="NEO+PED",VLOOKUP(G53,ESTANDAR!A:N,9,0)="JERINGA"),IF(M53&lt;0.5,"JER 1mL",IF(AND(M53&gt;=0.5,M53&lt;=2.5),"JER 3mL",IF(AND(M53&gt;2.5,M53&lt;=4),"JER 5mL",IF(AND(M53&gt;4,M53&lt;=8),"JER 10mL",IF(AND(M53&gt;8,M53&lt;=16),"JER 20mL","JER 50mL"))))),VLOOKUP(G53,ESTANDAR!A:N,9,0)))),0)</f>
        <v>0</v>
      </c>
      <c r="T53" s="68" t="e">
        <f>IF(VLOOKUP(G53,ESTANDAR!A:N,12,0)="SI",Q53+1,ROUNDUP((Q53+2)/2,0))</f>
        <v>#N/A</v>
      </c>
      <c r="U53" s="68" t="e">
        <f>VLOOKUP(G53,ESTANDAR!A$3:N$98,12,0)</f>
        <v>#N/A</v>
      </c>
      <c r="V53" s="241">
        <f t="shared" si="1"/>
        <v>1</v>
      </c>
      <c r="W53" s="66" t="e">
        <f t="shared" ca="1" si="2"/>
        <v>#N/A</v>
      </c>
      <c r="Y53" s="66" t="b">
        <f t="shared" si="3"/>
        <v>0</v>
      </c>
      <c r="Z53" s="66" t="b">
        <f t="shared" si="4"/>
        <v>0</v>
      </c>
      <c r="AA53" s="66" t="b">
        <f t="shared" si="5"/>
        <v>0</v>
      </c>
      <c r="AB53" s="436" t="str">
        <f t="shared" si="6"/>
        <v/>
      </c>
      <c r="AC53" s="66" t="str">
        <f>IF('FORMATO DIL'!U59="","","VolTotal:  "&amp;'FORMATO DIL'!U59&amp;"mL")</f>
        <v/>
      </c>
    </row>
    <row r="54" spans="1:29" s="66" customFormat="1" ht="20.100000000000001" customHeight="1">
      <c r="A54" s="225" t="str">
        <f>'FORMATO DIL'!A60</f>
        <v/>
      </c>
      <c r="B54" s="214" t="str">
        <f>UPPER(TRIM('FORMATO DIL'!B60))</f>
        <v/>
      </c>
      <c r="C54" s="215">
        <f>'FORMATO DIL'!C60</f>
        <v>0</v>
      </c>
      <c r="D54" s="218">
        <f>'FORMATO DIL'!D60</f>
        <v>0</v>
      </c>
      <c r="E54" s="217" t="str">
        <f>IF('FORMATO DIL'!E60&lt;&gt;"",'FORMATO DIL'!E60,"NA")</f>
        <v>NA</v>
      </c>
      <c r="F54" s="218">
        <f>'FORMATO DIL'!F60</f>
        <v>0</v>
      </c>
      <c r="G54" s="216">
        <f>'FORMATO DIL'!G60</f>
        <v>0</v>
      </c>
      <c r="H54" s="220">
        <f>IFERROR(IF(S54="L",VLOOKUP(G54,LOTES!A:E,2,0),VLOOKUP(G54,ESTANDAR!A:B,2,0)),0)</f>
        <v>0</v>
      </c>
      <c r="I54" s="219" t="e">
        <f>VLOOKUP(G54,ESTANDAR!A:N,3,0)</f>
        <v>#N/A</v>
      </c>
      <c r="J54" s="221">
        <f>VALUE('FORMATO DIL'!J60)</f>
        <v>0</v>
      </c>
      <c r="K54" s="228">
        <f>IFERROR(ROUNDUP((Q54*J54)/VLOOKUP(G54,ESTANDAR!A:M,5,0),0),0)</f>
        <v>0</v>
      </c>
      <c r="L54" s="309" t="str">
        <f>IFERROR(IF('FORMATO DIL'!B$6="NEO+PED",VLOOKUP(G54,ESTANDAR!A:N,6,0),VLOOKUP(G54,ESTANDAR!A:N,7,0)),"ERROR")</f>
        <v>ERROR</v>
      </c>
      <c r="M54" s="222" t="b">
        <f t="shared" si="0"/>
        <v>0</v>
      </c>
      <c r="N54" s="223">
        <f>IF('FORMATO DIL'!N60=0,Q54,'FORMATO DIL'!N60)</f>
        <v>0</v>
      </c>
      <c r="O54" s="227" t="str">
        <f>IF(S54="L",VLOOKUP(G54,LOTES!A:E,4,0),A54)</f>
        <v/>
      </c>
      <c r="P54" s="310" t="e">
        <f ca="1">IF(S54="L",VLOOKUP(G54,LOTES!A:E,5,0),B$70+VLOOKUP(G54,ESTANDAR!A:N,10,0))</f>
        <v>#N/A</v>
      </c>
      <c r="Q54" s="224">
        <f>VALUE('FORMATO DIL'!Q60)</f>
        <v>0</v>
      </c>
      <c r="R54" s="311" t="str">
        <f>IF('FORMATO DIL'!R60=0,"DIL 1/"&amp;'DATOS ETIQ'!P50,'FORMATO DIL'!R60)</f>
        <v>DIL 1/</v>
      </c>
      <c r="S54" s="224">
        <f>IFERROR(IF(VLOOKUP(G54,ESTANDAR!A:N,9,0)="L","L",IF(AND('FORMATO DIL'!B$6="NEO+PED",VLOOKUP(G54,ESTANDAR!A:N,8,0)="JERINGA",'FORMATO DIL'!$G$5="HOSPITAL SANTA CLARA",M54&gt;=20),"SSN 50mL",IF(OR('FORMATO DIL'!B$6="NEO+PED",VLOOKUP(G54,ESTANDAR!A:N,9,0)="JERINGA"),IF(M54&lt;0.5,"JER 1mL",IF(AND(M54&gt;=0.5,M54&lt;=2.5),"JER 3mL",IF(AND(M54&gt;2.5,M54&lt;=4),"JER 5mL",IF(AND(M54&gt;4,M54&lt;=8),"JER 10mL",IF(AND(M54&gt;8,M54&lt;=16),"JER 20mL","JER 50mL"))))),VLOOKUP(G54,ESTANDAR!A:N,9,0)))),0)</f>
        <v>0</v>
      </c>
      <c r="T54" s="68" t="e">
        <f>IF(VLOOKUP(G54,ESTANDAR!A:N,12,0)="SI",Q54+1,ROUNDUP((Q54+2)/2,0))</f>
        <v>#N/A</v>
      </c>
      <c r="U54" s="68" t="e">
        <f>VLOOKUP(G54,ESTANDAR!A$3:N$98,12,0)</f>
        <v>#N/A</v>
      </c>
      <c r="V54" s="241">
        <f t="shared" si="1"/>
        <v>1</v>
      </c>
      <c r="W54" s="66" t="e">
        <f t="shared" ca="1" si="2"/>
        <v>#N/A</v>
      </c>
      <c r="Y54" s="66" t="b">
        <f t="shared" si="3"/>
        <v>0</v>
      </c>
      <c r="Z54" s="66" t="b">
        <f t="shared" si="4"/>
        <v>0</v>
      </c>
      <c r="AA54" s="66" t="b">
        <f t="shared" si="5"/>
        <v>0</v>
      </c>
      <c r="AB54" s="436" t="str">
        <f t="shared" si="6"/>
        <v/>
      </c>
      <c r="AC54" s="66" t="str">
        <f>IF('FORMATO DIL'!U60="","","VolTotal:  "&amp;'FORMATO DIL'!U60&amp;"mL")</f>
        <v/>
      </c>
    </row>
    <row r="55" spans="1:29" s="66" customFormat="1" ht="20.100000000000001" customHeight="1">
      <c r="A55" s="225" t="str">
        <f>'FORMATO DIL'!A61</f>
        <v/>
      </c>
      <c r="B55" s="214" t="str">
        <f>UPPER(TRIM('FORMATO DIL'!B61))</f>
        <v/>
      </c>
      <c r="C55" s="215">
        <f>'FORMATO DIL'!C61</f>
        <v>0</v>
      </c>
      <c r="D55" s="218">
        <f>'FORMATO DIL'!D61</f>
        <v>0</v>
      </c>
      <c r="E55" s="217" t="str">
        <f>IF('FORMATO DIL'!E61&lt;&gt;"",'FORMATO DIL'!E61,"NA")</f>
        <v>NA</v>
      </c>
      <c r="F55" s="218">
        <f>'FORMATO DIL'!F61</f>
        <v>0</v>
      </c>
      <c r="G55" s="216">
        <f>'FORMATO DIL'!G61</f>
        <v>0</v>
      </c>
      <c r="H55" s="220">
        <f>IFERROR(IF(S55="L",VLOOKUP(G55,LOTES!A:E,2,0),VLOOKUP(G55,ESTANDAR!A:B,2,0)),0)</f>
        <v>0</v>
      </c>
      <c r="I55" s="219" t="e">
        <f>VLOOKUP(G55,ESTANDAR!A:N,3,0)</f>
        <v>#N/A</v>
      </c>
      <c r="J55" s="221">
        <f>VALUE('FORMATO DIL'!J61)</f>
        <v>0</v>
      </c>
      <c r="K55" s="228">
        <f>IFERROR(ROUNDUP((Q55*J55)/VLOOKUP(G55,ESTANDAR!A:M,5,0),0),0)</f>
        <v>0</v>
      </c>
      <c r="L55" s="309" t="str">
        <f>IFERROR(IF('FORMATO DIL'!B$6="NEO+PED",VLOOKUP(G55,ESTANDAR!A:N,6,0),VLOOKUP(G55,ESTANDAR!A:N,7,0)),"ERROR")</f>
        <v>ERROR</v>
      </c>
      <c r="M55" s="222" t="b">
        <f t="shared" si="0"/>
        <v>0</v>
      </c>
      <c r="N55" s="223">
        <f>IF('FORMATO DIL'!N61=0,Q55,'FORMATO DIL'!N61)</f>
        <v>0</v>
      </c>
      <c r="O55" s="227" t="str">
        <f>IF(S55="L",VLOOKUP(G55,LOTES!A:E,4,0),A55)</f>
        <v/>
      </c>
      <c r="P55" s="310" t="e">
        <f ca="1">IF(S55="L",VLOOKUP(G55,LOTES!A:E,5,0),B$70+VLOOKUP(G55,ESTANDAR!A:N,10,0))</f>
        <v>#N/A</v>
      </c>
      <c r="Q55" s="224">
        <f>VALUE('FORMATO DIL'!Q61)</f>
        <v>0</v>
      </c>
      <c r="R55" s="311" t="str">
        <f>IF('FORMATO DIL'!R61=0,"DIL 1/"&amp;'DATOS ETIQ'!P51,'FORMATO DIL'!R61)</f>
        <v>DIL 1/</v>
      </c>
      <c r="S55" s="224">
        <f>IFERROR(IF(VLOOKUP(G55,ESTANDAR!A:N,9,0)="L","L",IF(AND('FORMATO DIL'!B$6="NEO+PED",VLOOKUP(G55,ESTANDAR!A:N,8,0)="JERINGA",'FORMATO DIL'!$G$5="HOSPITAL SANTA CLARA",M55&gt;=20),"SSN 50mL",IF(OR('FORMATO DIL'!B$6="NEO+PED",VLOOKUP(G55,ESTANDAR!A:N,9,0)="JERINGA"),IF(M55&lt;0.5,"JER 1mL",IF(AND(M55&gt;=0.5,M55&lt;=2.5),"JER 3mL",IF(AND(M55&gt;2.5,M55&lt;=4),"JER 5mL",IF(AND(M55&gt;4,M55&lt;=8),"JER 10mL",IF(AND(M55&gt;8,M55&lt;=16),"JER 20mL","JER 50mL"))))),VLOOKUP(G55,ESTANDAR!A:N,9,0)))),0)</f>
        <v>0</v>
      </c>
      <c r="T55" s="68" t="e">
        <f>IF(VLOOKUP(G55,ESTANDAR!A:N,12,0)="SI",Q55+1,ROUNDUP((Q55+2)/2,0))</f>
        <v>#N/A</v>
      </c>
      <c r="U55" s="68" t="e">
        <f>VLOOKUP(G55,ESTANDAR!A$3:N$98,12,0)</f>
        <v>#N/A</v>
      </c>
      <c r="V55" s="241">
        <f t="shared" si="1"/>
        <v>1</v>
      </c>
      <c r="W55" s="66" t="e">
        <f t="shared" ca="1" si="2"/>
        <v>#N/A</v>
      </c>
      <c r="Y55" s="66" t="b">
        <f t="shared" si="3"/>
        <v>0</v>
      </c>
      <c r="Z55" s="66" t="b">
        <f t="shared" si="4"/>
        <v>0</v>
      </c>
      <c r="AA55" s="66" t="b">
        <f t="shared" si="5"/>
        <v>0</v>
      </c>
      <c r="AB55" s="436" t="str">
        <f t="shared" si="6"/>
        <v/>
      </c>
      <c r="AC55" s="66" t="str">
        <f>IF('FORMATO DIL'!U61="","","VolTotal:  "&amp;'FORMATO DIL'!U61&amp;"mL")</f>
        <v/>
      </c>
    </row>
    <row r="56" spans="1:29" s="66" customFormat="1" ht="20.100000000000001" customHeight="1">
      <c r="A56" s="225" t="str">
        <f>'FORMATO DIL'!A62</f>
        <v/>
      </c>
      <c r="B56" s="214" t="str">
        <f>UPPER(TRIM('FORMATO DIL'!B62))</f>
        <v/>
      </c>
      <c r="C56" s="215">
        <f>'FORMATO DIL'!C62</f>
        <v>0</v>
      </c>
      <c r="D56" s="218">
        <f>'FORMATO DIL'!D62</f>
        <v>0</v>
      </c>
      <c r="E56" s="217" t="str">
        <f>IF('FORMATO DIL'!E62&lt;&gt;"",'FORMATO DIL'!E62,"NA")</f>
        <v>NA</v>
      </c>
      <c r="F56" s="218">
        <f>'FORMATO DIL'!F62</f>
        <v>0</v>
      </c>
      <c r="G56" s="216">
        <f>'FORMATO DIL'!G62</f>
        <v>0</v>
      </c>
      <c r="H56" s="220">
        <f>IFERROR(IF(S56="L",VLOOKUP(G56,LOTES!A:E,2,0),VLOOKUP(G56,ESTANDAR!A:B,2,0)),0)</f>
        <v>0</v>
      </c>
      <c r="I56" s="219" t="e">
        <f>VLOOKUP(G56,ESTANDAR!A:N,3,0)</f>
        <v>#N/A</v>
      </c>
      <c r="J56" s="221">
        <f>VALUE('FORMATO DIL'!J62)</f>
        <v>0</v>
      </c>
      <c r="K56" s="228">
        <f>IFERROR(ROUNDUP((Q56*J56)/VLOOKUP(G56,ESTANDAR!A:M,5,0),0),0)</f>
        <v>0</v>
      </c>
      <c r="L56" s="309" t="str">
        <f>IFERROR(IF('FORMATO DIL'!B$6="NEO+PED",VLOOKUP(G56,ESTANDAR!A:N,6,0),VLOOKUP(G56,ESTANDAR!A:N,7,0)),"ERROR")</f>
        <v>ERROR</v>
      </c>
      <c r="M56" s="222" t="b">
        <f t="shared" si="0"/>
        <v>0</v>
      </c>
      <c r="N56" s="223">
        <f>IF('FORMATO DIL'!N62=0,Q56,'FORMATO DIL'!N62)</f>
        <v>0</v>
      </c>
      <c r="O56" s="227" t="str">
        <f>IF(S56="L",VLOOKUP(G56,LOTES!A:E,4,0),A56)</f>
        <v/>
      </c>
      <c r="P56" s="310" t="e">
        <f ca="1">IF(S56="L",VLOOKUP(G56,LOTES!A:E,5,0),B$70+VLOOKUP(G56,ESTANDAR!A:N,10,0))</f>
        <v>#N/A</v>
      </c>
      <c r="Q56" s="224">
        <f>VALUE('FORMATO DIL'!Q62)</f>
        <v>0</v>
      </c>
      <c r="R56" s="311" t="str">
        <f>IF('FORMATO DIL'!R62=0,"DIL 1/"&amp;'DATOS ETIQ'!P52,'FORMATO DIL'!R62)</f>
        <v>DIL 1/</v>
      </c>
      <c r="S56" s="224">
        <f>IFERROR(IF(VLOOKUP(G56,ESTANDAR!A:N,9,0)="L","L",IF(AND('FORMATO DIL'!B$6="NEO+PED",VLOOKUP(G56,ESTANDAR!A:N,8,0)="JERINGA",'FORMATO DIL'!$G$5="HOSPITAL SANTA CLARA",M56&gt;=20),"SSN 50mL",IF(OR('FORMATO DIL'!B$6="NEO+PED",VLOOKUP(G56,ESTANDAR!A:N,9,0)="JERINGA"),IF(M56&lt;0.5,"JER 1mL",IF(AND(M56&gt;=0.5,M56&lt;=2.5),"JER 3mL",IF(AND(M56&gt;2.5,M56&lt;=4),"JER 5mL",IF(AND(M56&gt;4,M56&lt;=8),"JER 10mL",IF(AND(M56&gt;8,M56&lt;=16),"JER 20mL","JER 50mL"))))),VLOOKUP(G56,ESTANDAR!A:N,9,0)))),0)</f>
        <v>0</v>
      </c>
      <c r="T56" s="68" t="e">
        <f>IF(VLOOKUP(G56,ESTANDAR!A:N,12,0)="SI",Q56+1,ROUNDUP((Q56+2)/2,0))</f>
        <v>#N/A</v>
      </c>
      <c r="U56" s="68" t="e">
        <f>VLOOKUP(G56,ESTANDAR!A$3:N$98,12,0)</f>
        <v>#N/A</v>
      </c>
      <c r="V56" s="241">
        <f t="shared" si="1"/>
        <v>1</v>
      </c>
      <c r="W56" s="66" t="e">
        <f t="shared" ca="1" si="2"/>
        <v>#N/A</v>
      </c>
      <c r="Y56" s="66" t="b">
        <f t="shared" si="3"/>
        <v>0</v>
      </c>
      <c r="Z56" s="66" t="b">
        <f t="shared" si="4"/>
        <v>0</v>
      </c>
      <c r="AA56" s="66" t="b">
        <f t="shared" si="5"/>
        <v>0</v>
      </c>
      <c r="AB56" s="436" t="str">
        <f t="shared" si="6"/>
        <v/>
      </c>
      <c r="AC56" s="66" t="str">
        <f>IF('FORMATO DIL'!U62="","","VolTotal:  "&amp;'FORMATO DIL'!U62&amp;"mL")</f>
        <v/>
      </c>
    </row>
    <row r="57" spans="1:29" s="66" customFormat="1" ht="20.100000000000001" customHeight="1">
      <c r="A57" s="225" t="str">
        <f>'FORMATO DIL'!A63</f>
        <v/>
      </c>
      <c r="B57" s="214" t="str">
        <f>UPPER(TRIM('FORMATO DIL'!B63))</f>
        <v/>
      </c>
      <c r="C57" s="215">
        <f>'FORMATO DIL'!C63</f>
        <v>0</v>
      </c>
      <c r="D57" s="218">
        <f>'FORMATO DIL'!D63</f>
        <v>0</v>
      </c>
      <c r="E57" s="217" t="str">
        <f>IF('FORMATO DIL'!E63&lt;&gt;"",'FORMATO DIL'!E63,"NA")</f>
        <v>NA</v>
      </c>
      <c r="F57" s="218">
        <f>'FORMATO DIL'!F63</f>
        <v>0</v>
      </c>
      <c r="G57" s="216">
        <f>'FORMATO DIL'!G63</f>
        <v>0</v>
      </c>
      <c r="H57" s="220">
        <f>IFERROR(IF(S57="L",VLOOKUP(G57,LOTES!A:E,2,0),VLOOKUP(G57,ESTANDAR!A:B,2,0)),0)</f>
        <v>0</v>
      </c>
      <c r="I57" s="219" t="e">
        <f>VLOOKUP(G57,ESTANDAR!A:N,3,0)</f>
        <v>#N/A</v>
      </c>
      <c r="J57" s="221">
        <f>VALUE('FORMATO DIL'!J63)</f>
        <v>0</v>
      </c>
      <c r="K57" s="228">
        <f>IFERROR(ROUNDUP((Q57*J57)/VLOOKUP(G57,ESTANDAR!A:M,5,0),0),0)</f>
        <v>0</v>
      </c>
      <c r="L57" s="309" t="str">
        <f>IFERROR(IF('FORMATO DIL'!B$6="NEO+PED",VLOOKUP(G57,ESTANDAR!A:N,6,0),VLOOKUP(G57,ESTANDAR!A:N,7,0)),"ERROR")</f>
        <v>ERROR</v>
      </c>
      <c r="M57" s="222" t="b">
        <f t="shared" si="0"/>
        <v>0</v>
      </c>
      <c r="N57" s="223">
        <f>IF('FORMATO DIL'!N63=0,Q57,'FORMATO DIL'!N63)</f>
        <v>0</v>
      </c>
      <c r="O57" s="227" t="str">
        <f>IF(S57="L",VLOOKUP(G57,LOTES!A:E,4,0),A57)</f>
        <v/>
      </c>
      <c r="P57" s="310" t="e">
        <f ca="1">IF(S57="L",VLOOKUP(G57,LOTES!A:E,5,0),B$70+VLOOKUP(G57,ESTANDAR!A:N,10,0))</f>
        <v>#N/A</v>
      </c>
      <c r="Q57" s="224">
        <f>VALUE('FORMATO DIL'!Q63)</f>
        <v>0</v>
      </c>
      <c r="R57" s="311" t="str">
        <f>IF('FORMATO DIL'!R63=0,"DIL 1/"&amp;'DATOS ETIQ'!P53,'FORMATO DIL'!R63)</f>
        <v>DIL 1/</v>
      </c>
      <c r="S57" s="224">
        <f>IFERROR(IF(VLOOKUP(G57,ESTANDAR!A:N,9,0)="L","L",IF(AND('FORMATO DIL'!B$6="NEO+PED",VLOOKUP(G57,ESTANDAR!A:N,8,0)="JERINGA",'FORMATO DIL'!$G$5="HOSPITAL SANTA CLARA",M57&gt;=20),"SSN 50mL",IF(OR('FORMATO DIL'!B$6="NEO+PED",VLOOKUP(G57,ESTANDAR!A:N,9,0)="JERINGA"),IF(M57&lt;0.5,"JER 1mL",IF(AND(M57&gt;=0.5,M57&lt;=2.5),"JER 3mL",IF(AND(M57&gt;2.5,M57&lt;=4),"JER 5mL",IF(AND(M57&gt;4,M57&lt;=8),"JER 10mL",IF(AND(M57&gt;8,M57&lt;=16),"JER 20mL","JER 50mL"))))),VLOOKUP(G57,ESTANDAR!A:N,9,0)))),0)</f>
        <v>0</v>
      </c>
      <c r="T57" s="68" t="e">
        <f>IF(VLOOKUP(G57,ESTANDAR!A:N,12,0)="SI",Q57+1,ROUNDUP((Q57+2)/2,0))</f>
        <v>#N/A</v>
      </c>
      <c r="U57" s="68" t="e">
        <f>VLOOKUP(G57,ESTANDAR!A$3:N$98,12,0)</f>
        <v>#N/A</v>
      </c>
      <c r="V57" s="241">
        <f t="shared" si="1"/>
        <v>1</v>
      </c>
      <c r="W57" s="66" t="e">
        <f t="shared" ca="1" si="2"/>
        <v>#N/A</v>
      </c>
      <c r="Y57" s="66" t="b">
        <f t="shared" si="3"/>
        <v>0</v>
      </c>
      <c r="Z57" s="66" t="b">
        <f t="shared" si="4"/>
        <v>0</v>
      </c>
      <c r="AA57" s="66" t="b">
        <f t="shared" si="5"/>
        <v>0</v>
      </c>
      <c r="AB57" s="436" t="str">
        <f t="shared" si="6"/>
        <v/>
      </c>
      <c r="AC57" s="66" t="str">
        <f>IF('FORMATO DIL'!U63="","","VolTotal:  "&amp;'FORMATO DIL'!U63&amp;"mL")</f>
        <v/>
      </c>
    </row>
    <row r="58" spans="1:29" s="66" customFormat="1" ht="20.100000000000001" customHeight="1">
      <c r="A58" s="225" t="str">
        <f>'FORMATO DIL'!A64</f>
        <v/>
      </c>
      <c r="B58" s="214" t="str">
        <f>UPPER(TRIM('FORMATO DIL'!B64))</f>
        <v/>
      </c>
      <c r="C58" s="215">
        <f>'FORMATO DIL'!C64</f>
        <v>0</v>
      </c>
      <c r="D58" s="218">
        <f>'FORMATO DIL'!D64</f>
        <v>0</v>
      </c>
      <c r="E58" s="217" t="str">
        <f>IF('FORMATO DIL'!E64&lt;&gt;"",'FORMATO DIL'!E64,"NA")</f>
        <v>NA</v>
      </c>
      <c r="F58" s="218">
        <f>'FORMATO DIL'!F64</f>
        <v>0</v>
      </c>
      <c r="G58" s="216">
        <f>'FORMATO DIL'!G64</f>
        <v>0</v>
      </c>
      <c r="H58" s="220">
        <f>IFERROR(IF(S58="L",VLOOKUP(G58,LOTES!A:E,2,0),VLOOKUP(G58,ESTANDAR!A:B,2,0)),0)</f>
        <v>0</v>
      </c>
      <c r="I58" s="219" t="e">
        <f>VLOOKUP(G58,ESTANDAR!A:N,3,0)</f>
        <v>#N/A</v>
      </c>
      <c r="J58" s="221">
        <f>VALUE('FORMATO DIL'!J64)</f>
        <v>0</v>
      </c>
      <c r="K58" s="228">
        <f>IFERROR(ROUNDUP((Q58*J58)/VLOOKUP(G58,ESTANDAR!A:M,5,0),0),0)</f>
        <v>0</v>
      </c>
      <c r="L58" s="309" t="str">
        <f>IFERROR(IF('FORMATO DIL'!B$6="NEO+PED",VLOOKUP(G58,ESTANDAR!A:N,6,0),VLOOKUP(G58,ESTANDAR!A:N,7,0)),"ERROR")</f>
        <v>ERROR</v>
      </c>
      <c r="M58" s="222" t="b">
        <f t="shared" si="0"/>
        <v>0</v>
      </c>
      <c r="N58" s="223">
        <f>IF('FORMATO DIL'!N64=0,Q58,'FORMATO DIL'!N64)</f>
        <v>0</v>
      </c>
      <c r="O58" s="227" t="str">
        <f>IF(S58="L",VLOOKUP(G58,LOTES!A:E,4,0),A58)</f>
        <v/>
      </c>
      <c r="P58" s="310" t="e">
        <f ca="1">IF(S58="L",VLOOKUP(G58,LOTES!A:E,5,0),B$70+VLOOKUP(G58,ESTANDAR!A:N,10,0))</f>
        <v>#N/A</v>
      </c>
      <c r="Q58" s="224">
        <f>VALUE('FORMATO DIL'!Q64)</f>
        <v>0</v>
      </c>
      <c r="R58" s="311" t="str">
        <f>IF('FORMATO DIL'!R64=0,"DIL 1/"&amp;'DATOS ETIQ'!P54,'FORMATO DIL'!R64)</f>
        <v>DIL 1/</v>
      </c>
      <c r="S58" s="224">
        <f>IFERROR(IF(VLOOKUP(G58,ESTANDAR!A:N,9,0)="L","L",IF(AND('FORMATO DIL'!B$6="NEO+PED",VLOOKUP(G58,ESTANDAR!A:N,8,0)="JERINGA",'FORMATO DIL'!$G$5="HOSPITAL SANTA CLARA",M58&gt;=20),"SSN 50mL",IF(OR('FORMATO DIL'!B$6="NEO+PED",VLOOKUP(G58,ESTANDAR!A:N,9,0)="JERINGA"),IF(M58&lt;0.5,"JER 1mL",IF(AND(M58&gt;=0.5,M58&lt;=2.5),"JER 3mL",IF(AND(M58&gt;2.5,M58&lt;=4),"JER 5mL",IF(AND(M58&gt;4,M58&lt;=8),"JER 10mL",IF(AND(M58&gt;8,M58&lt;=16),"JER 20mL","JER 50mL"))))),VLOOKUP(G58,ESTANDAR!A:N,9,0)))),0)</f>
        <v>0</v>
      </c>
      <c r="T58" s="68" t="e">
        <f>IF(VLOOKUP(G58,ESTANDAR!A:N,12,0)="SI",Q58+1,ROUNDUP((Q58+2)/2,0))</f>
        <v>#N/A</v>
      </c>
      <c r="U58" s="68" t="e">
        <f>VLOOKUP(G58,ESTANDAR!A$3:N$98,12,0)</f>
        <v>#N/A</v>
      </c>
      <c r="V58" s="241">
        <f t="shared" si="1"/>
        <v>1</v>
      </c>
      <c r="W58" s="66" t="e">
        <f t="shared" ca="1" si="2"/>
        <v>#N/A</v>
      </c>
      <c r="Y58" s="66" t="b">
        <f t="shared" si="3"/>
        <v>0</v>
      </c>
      <c r="Z58" s="66" t="b">
        <f t="shared" si="4"/>
        <v>0</v>
      </c>
      <c r="AA58" s="66" t="b">
        <f t="shared" si="5"/>
        <v>0</v>
      </c>
      <c r="AB58" s="436" t="str">
        <f t="shared" si="6"/>
        <v/>
      </c>
      <c r="AC58" s="66" t="str">
        <f>IF('FORMATO DIL'!U64="","","VolTotal:  "&amp;'FORMATO DIL'!U64&amp;"mL")</f>
        <v/>
      </c>
    </row>
    <row r="59" spans="1:29" s="66" customFormat="1" ht="20.100000000000001" customHeight="1">
      <c r="A59" s="225" t="str">
        <f>'FORMATO DIL'!A65</f>
        <v/>
      </c>
      <c r="B59" s="214" t="str">
        <f>UPPER(TRIM('FORMATO DIL'!B65))</f>
        <v/>
      </c>
      <c r="C59" s="215">
        <f>'FORMATO DIL'!C65</f>
        <v>0</v>
      </c>
      <c r="D59" s="218">
        <f>'FORMATO DIL'!D65</f>
        <v>0</v>
      </c>
      <c r="E59" s="217" t="str">
        <f>IF('FORMATO DIL'!E65&lt;&gt;"",'FORMATO DIL'!E65,"NA")</f>
        <v>NA</v>
      </c>
      <c r="F59" s="218">
        <f>'FORMATO DIL'!F65</f>
        <v>0</v>
      </c>
      <c r="G59" s="216">
        <f>'FORMATO DIL'!G65</f>
        <v>0</v>
      </c>
      <c r="H59" s="220">
        <f>IFERROR(IF(S59="L",VLOOKUP(G59,LOTES!A:E,2,0),VLOOKUP(G59,ESTANDAR!A:B,2,0)),0)</f>
        <v>0</v>
      </c>
      <c r="I59" s="219" t="e">
        <f>VLOOKUP(G59,ESTANDAR!A:N,3,0)</f>
        <v>#N/A</v>
      </c>
      <c r="J59" s="221">
        <f>VALUE('FORMATO DIL'!J65)</f>
        <v>0</v>
      </c>
      <c r="K59" s="228">
        <f>IFERROR(ROUNDUP((Q59*J59)/VLOOKUP(G59,ESTANDAR!A:M,5,0),0),0)</f>
        <v>0</v>
      </c>
      <c r="L59" s="309" t="str">
        <f>IFERROR(IF('FORMATO DIL'!B$6="NEO+PED",VLOOKUP(G59,ESTANDAR!A:N,6,0),VLOOKUP(G59,ESTANDAR!A:N,7,0)),"ERROR")</f>
        <v>ERROR</v>
      </c>
      <c r="M59" s="222" t="b">
        <f t="shared" si="0"/>
        <v>0</v>
      </c>
      <c r="N59" s="223">
        <f>IF('FORMATO DIL'!N65=0,Q59,'FORMATO DIL'!N65)</f>
        <v>0</v>
      </c>
      <c r="O59" s="227" t="str">
        <f>IF(S59="L",VLOOKUP(G59,LOTES!A:E,4,0),A59)</f>
        <v/>
      </c>
      <c r="P59" s="310" t="e">
        <f ca="1">IF(S59="L",VLOOKUP(G59,LOTES!A:E,5,0),B$70+VLOOKUP(G59,ESTANDAR!A:N,10,0))</f>
        <v>#N/A</v>
      </c>
      <c r="Q59" s="224">
        <f>VALUE('FORMATO DIL'!Q65)</f>
        <v>0</v>
      </c>
      <c r="R59" s="311" t="str">
        <f>IF('FORMATO DIL'!R65=0,"DIL 1/"&amp;'DATOS ETIQ'!P55,'FORMATO DIL'!R65)</f>
        <v>DIL 1/</v>
      </c>
      <c r="S59" s="224">
        <f>IFERROR(IF(VLOOKUP(G59,ESTANDAR!A:N,9,0)="L","L",IF(AND('FORMATO DIL'!B$6="NEO+PED",VLOOKUP(G59,ESTANDAR!A:N,8,0)="JERINGA",'FORMATO DIL'!$G$5="HOSPITAL SANTA CLARA",M59&gt;=20),"SSN 50mL",IF(OR('FORMATO DIL'!B$6="NEO+PED",VLOOKUP(G59,ESTANDAR!A:N,9,0)="JERINGA"),IF(M59&lt;0.5,"JER 1mL",IF(AND(M59&gt;=0.5,M59&lt;=2.5),"JER 3mL",IF(AND(M59&gt;2.5,M59&lt;=4),"JER 5mL",IF(AND(M59&gt;4,M59&lt;=8),"JER 10mL",IF(AND(M59&gt;8,M59&lt;=16),"JER 20mL","JER 50mL"))))),VLOOKUP(G59,ESTANDAR!A:N,9,0)))),0)</f>
        <v>0</v>
      </c>
      <c r="T59" s="68" t="e">
        <f>IF(VLOOKUP(G59,ESTANDAR!A:N,12,0)="SI",Q59+1,ROUNDUP((Q59+2)/2,0))</f>
        <v>#N/A</v>
      </c>
      <c r="U59" s="68" t="e">
        <f>VLOOKUP(G59,ESTANDAR!A$3:N$98,12,0)</f>
        <v>#N/A</v>
      </c>
      <c r="V59" s="241">
        <f t="shared" si="1"/>
        <v>1</v>
      </c>
      <c r="W59" s="66" t="e">
        <f t="shared" ca="1" si="2"/>
        <v>#N/A</v>
      </c>
      <c r="Y59" s="66" t="b">
        <f t="shared" si="3"/>
        <v>0</v>
      </c>
      <c r="Z59" s="66" t="b">
        <f t="shared" si="4"/>
        <v>0</v>
      </c>
      <c r="AA59" s="66" t="b">
        <f t="shared" si="5"/>
        <v>0</v>
      </c>
      <c r="AB59" s="436" t="str">
        <f t="shared" si="6"/>
        <v/>
      </c>
      <c r="AC59" s="66" t="str">
        <f>IF('FORMATO DIL'!U65="","","VolTotal:  "&amp;'FORMATO DIL'!U65&amp;"mL")</f>
        <v/>
      </c>
    </row>
    <row r="60" spans="1:29" s="66" customFormat="1" ht="20.100000000000001" customHeight="1">
      <c r="A60" s="225" t="str">
        <f>'FORMATO DIL'!A66</f>
        <v/>
      </c>
      <c r="B60" s="214" t="str">
        <f>UPPER(TRIM('FORMATO DIL'!B66))</f>
        <v/>
      </c>
      <c r="C60" s="215">
        <f>'FORMATO DIL'!C66</f>
        <v>0</v>
      </c>
      <c r="D60" s="218">
        <f>'FORMATO DIL'!D66</f>
        <v>0</v>
      </c>
      <c r="E60" s="217" t="str">
        <f>IF('FORMATO DIL'!E66&lt;&gt;"",'FORMATO DIL'!E66,"NA")</f>
        <v>NA</v>
      </c>
      <c r="F60" s="218">
        <f>'FORMATO DIL'!F66</f>
        <v>0</v>
      </c>
      <c r="G60" s="216">
        <f>'FORMATO DIL'!G66</f>
        <v>0</v>
      </c>
      <c r="H60" s="220">
        <f>IFERROR(IF(S60="L",VLOOKUP(G60,LOTES!A:E,2,0),VLOOKUP(G60,ESTANDAR!A:B,2,0)),0)</f>
        <v>0</v>
      </c>
      <c r="I60" s="219" t="e">
        <f>VLOOKUP(G60,ESTANDAR!A:N,3,0)</f>
        <v>#N/A</v>
      </c>
      <c r="J60" s="221">
        <f>VALUE('FORMATO DIL'!J66)</f>
        <v>0</v>
      </c>
      <c r="K60" s="228">
        <f>IFERROR(ROUNDUP((Q60*J60)/VLOOKUP(G60,ESTANDAR!A:M,5,0),0),0)</f>
        <v>0</v>
      </c>
      <c r="L60" s="309" t="str">
        <f>IFERROR(IF('FORMATO DIL'!B$6="NEO+PED",VLOOKUP(G60,ESTANDAR!A:N,6,0),VLOOKUP(G60,ESTANDAR!A:N,7,0)),"ERROR")</f>
        <v>ERROR</v>
      </c>
      <c r="M60" s="222" t="b">
        <f t="shared" si="0"/>
        <v>0</v>
      </c>
      <c r="N60" s="223">
        <f>IF('FORMATO DIL'!N66=0,Q60,'FORMATO DIL'!N66)</f>
        <v>0</v>
      </c>
      <c r="O60" s="227" t="str">
        <f>IF(S60="L",VLOOKUP(G60,LOTES!A:E,4,0),A60)</f>
        <v/>
      </c>
      <c r="P60" s="310" t="e">
        <f ca="1">IF(S60="L",VLOOKUP(G60,LOTES!A:E,5,0),B$70+VLOOKUP(G60,ESTANDAR!A:N,10,0))</f>
        <v>#N/A</v>
      </c>
      <c r="Q60" s="224">
        <f>VALUE('FORMATO DIL'!Q66)</f>
        <v>0</v>
      </c>
      <c r="R60" s="311" t="str">
        <f>IF('FORMATO DIL'!R66=0,"DIL 1/"&amp;'DATOS ETIQ'!P56,'FORMATO DIL'!R66)</f>
        <v>DIL 1/</v>
      </c>
      <c r="S60" s="224">
        <f>IFERROR(IF(VLOOKUP(G60,ESTANDAR!A:N,9,0)="L","L",IF(AND('FORMATO DIL'!B$6="NEO+PED",VLOOKUP(G60,ESTANDAR!A:N,8,0)="JERINGA",'FORMATO DIL'!$G$5="HOSPITAL SANTA CLARA",M60&gt;=20),"SSN 50mL",IF(OR('FORMATO DIL'!B$6="NEO+PED",VLOOKUP(G60,ESTANDAR!A:N,9,0)="JERINGA"),IF(M60&lt;0.5,"JER 1mL",IF(AND(M60&gt;=0.5,M60&lt;=2.5),"JER 3mL",IF(AND(M60&gt;2.5,M60&lt;=4),"JER 5mL",IF(AND(M60&gt;4,M60&lt;=8),"JER 10mL",IF(AND(M60&gt;8,M60&lt;=16),"JER 20mL","JER 50mL"))))),VLOOKUP(G60,ESTANDAR!A:N,9,0)))),0)</f>
        <v>0</v>
      </c>
      <c r="T60" s="68" t="e">
        <f>IF(VLOOKUP(G60,ESTANDAR!A:N,12,0)="SI",Q60+1,ROUNDUP((Q60+2)/2,0))</f>
        <v>#N/A</v>
      </c>
      <c r="U60" s="68" t="e">
        <f>VLOOKUP(G60,ESTANDAR!A$3:N$98,12,0)</f>
        <v>#N/A</v>
      </c>
      <c r="V60" s="241">
        <f t="shared" si="1"/>
        <v>1</v>
      </c>
      <c r="W60" s="66" t="e">
        <f t="shared" ca="1" si="2"/>
        <v>#N/A</v>
      </c>
      <c r="Y60" s="66" t="b">
        <f t="shared" si="3"/>
        <v>0</v>
      </c>
      <c r="Z60" s="66" t="b">
        <f t="shared" si="4"/>
        <v>0</v>
      </c>
      <c r="AA60" s="66" t="b">
        <f t="shared" si="5"/>
        <v>0</v>
      </c>
      <c r="AB60" s="436" t="str">
        <f t="shared" si="6"/>
        <v/>
      </c>
      <c r="AC60" s="66" t="str">
        <f>IF('FORMATO DIL'!U66="","","VolTotal:  "&amp;'FORMATO DIL'!U66&amp;"mL")</f>
        <v/>
      </c>
    </row>
    <row r="61" spans="1:29" s="66" customFormat="1" ht="20.100000000000001" customHeight="1">
      <c r="A61" s="225" t="str">
        <f>'FORMATO DIL'!A67</f>
        <v/>
      </c>
      <c r="B61" s="214" t="str">
        <f>UPPER(TRIM('FORMATO DIL'!B67))</f>
        <v/>
      </c>
      <c r="C61" s="215">
        <f>'FORMATO DIL'!C67</f>
        <v>0</v>
      </c>
      <c r="D61" s="218">
        <f>'FORMATO DIL'!D67</f>
        <v>0</v>
      </c>
      <c r="E61" s="217" t="str">
        <f>IF('FORMATO DIL'!E67&lt;&gt;"",'FORMATO DIL'!E67,"NA")</f>
        <v>NA</v>
      </c>
      <c r="F61" s="218">
        <f>'FORMATO DIL'!F67</f>
        <v>0</v>
      </c>
      <c r="G61" s="216">
        <f>'FORMATO DIL'!G67</f>
        <v>0</v>
      </c>
      <c r="H61" s="220">
        <f>IFERROR(IF(S61="L",VLOOKUP(G61,LOTES!A:E,2,0),VLOOKUP(G61,ESTANDAR!A:B,2,0)),0)</f>
        <v>0</v>
      </c>
      <c r="I61" s="219" t="e">
        <f>VLOOKUP(G61,ESTANDAR!A:N,3,0)</f>
        <v>#N/A</v>
      </c>
      <c r="J61" s="221">
        <f>VALUE('FORMATO DIL'!J67)</f>
        <v>0</v>
      </c>
      <c r="K61" s="228">
        <f>IFERROR(ROUNDUP((Q61*J61)/VLOOKUP(G61,ESTANDAR!A:M,5,0),0),0)</f>
        <v>0</v>
      </c>
      <c r="L61" s="309" t="str">
        <f>IFERROR(IF('FORMATO DIL'!B$6="NEO+PED",VLOOKUP(G61,ESTANDAR!A:N,6,0),VLOOKUP(G61,ESTANDAR!A:N,7,0)),"ERROR")</f>
        <v>ERROR</v>
      </c>
      <c r="M61" s="222" t="b">
        <f t="shared" si="0"/>
        <v>0</v>
      </c>
      <c r="N61" s="223">
        <f>IF('FORMATO DIL'!N67=0,Q61,'FORMATO DIL'!N67)</f>
        <v>0</v>
      </c>
      <c r="O61" s="227" t="str">
        <f>IF(S61="L",VLOOKUP(G61,LOTES!A:E,4,0),A61)</f>
        <v/>
      </c>
      <c r="P61" s="310" t="e">
        <f ca="1">IF(S61="L",VLOOKUP(G61,LOTES!A:E,5,0),B$70+VLOOKUP(G61,ESTANDAR!A:N,10,0))</f>
        <v>#N/A</v>
      </c>
      <c r="Q61" s="224">
        <f>VALUE('FORMATO DIL'!Q67)</f>
        <v>0</v>
      </c>
      <c r="R61" s="311" t="str">
        <f>IF('FORMATO DIL'!R67=0,"DIL 1/"&amp;'DATOS ETIQ'!P57,'FORMATO DIL'!R67)</f>
        <v>DIL 1/</v>
      </c>
      <c r="S61" s="224">
        <f>IFERROR(IF(VLOOKUP(G61,ESTANDAR!A:N,9,0)="L","L",IF(AND('FORMATO DIL'!B$6="NEO+PED",VLOOKUP(G61,ESTANDAR!A:N,8,0)="JERINGA",'FORMATO DIL'!$G$5="HOSPITAL SANTA CLARA",M61&gt;=20),"SSN 50mL",IF(OR('FORMATO DIL'!B$6="NEO+PED",VLOOKUP(G61,ESTANDAR!A:N,9,0)="JERINGA"),IF(M61&lt;0.5,"JER 1mL",IF(AND(M61&gt;=0.5,M61&lt;=2.5),"JER 3mL",IF(AND(M61&gt;2.5,M61&lt;=4),"JER 5mL",IF(AND(M61&gt;4,M61&lt;=8),"JER 10mL",IF(AND(M61&gt;8,M61&lt;=16),"JER 20mL","JER 50mL"))))),VLOOKUP(G61,ESTANDAR!A:N,9,0)))),0)</f>
        <v>0</v>
      </c>
      <c r="T61" s="68" t="e">
        <f>IF(VLOOKUP(G61,ESTANDAR!A:N,12,0)="SI",Q61+1,ROUNDUP((Q61+2)/2,0))</f>
        <v>#N/A</v>
      </c>
      <c r="U61" s="68" t="e">
        <f>VLOOKUP(G61,ESTANDAR!A$3:N$98,12,0)</f>
        <v>#N/A</v>
      </c>
      <c r="V61" s="241">
        <f t="shared" si="1"/>
        <v>1</v>
      </c>
      <c r="W61" s="66" t="e">
        <f t="shared" ca="1" si="2"/>
        <v>#N/A</v>
      </c>
      <c r="Y61" s="66" t="b">
        <f t="shared" si="3"/>
        <v>0</v>
      </c>
      <c r="Z61" s="66" t="b">
        <f t="shared" si="4"/>
        <v>0</v>
      </c>
      <c r="AA61" s="66" t="b">
        <f t="shared" si="5"/>
        <v>0</v>
      </c>
      <c r="AB61" s="436" t="str">
        <f t="shared" si="6"/>
        <v/>
      </c>
      <c r="AC61" s="66" t="str">
        <f>IF('FORMATO DIL'!U67="","","VolTotal:  "&amp;'FORMATO DIL'!U67&amp;"mL")</f>
        <v/>
      </c>
    </row>
    <row r="62" spans="1:29" s="66" customFormat="1" ht="20.100000000000001" customHeight="1">
      <c r="A62" s="225" t="str">
        <f>'FORMATO DIL'!A68</f>
        <v/>
      </c>
      <c r="B62" s="214" t="str">
        <f>UPPER(TRIM('FORMATO DIL'!B68))</f>
        <v/>
      </c>
      <c r="C62" s="215">
        <f>'FORMATO DIL'!C68</f>
        <v>0</v>
      </c>
      <c r="D62" s="218">
        <f>'FORMATO DIL'!D68</f>
        <v>0</v>
      </c>
      <c r="E62" s="217" t="str">
        <f>IF('FORMATO DIL'!E68&lt;&gt;"",'FORMATO DIL'!E68,"NA")</f>
        <v>NA</v>
      </c>
      <c r="F62" s="218">
        <f>'FORMATO DIL'!F68</f>
        <v>0</v>
      </c>
      <c r="G62" s="216">
        <f>'FORMATO DIL'!G68</f>
        <v>0</v>
      </c>
      <c r="H62" s="220">
        <f>IFERROR(IF(S62="L",VLOOKUP(G62,LOTES!A:E,2,0),VLOOKUP(G62,ESTANDAR!A:B,2,0)),0)</f>
        <v>0</v>
      </c>
      <c r="I62" s="219" t="e">
        <f>VLOOKUP(G62,ESTANDAR!A:N,3,0)</f>
        <v>#N/A</v>
      </c>
      <c r="J62" s="221">
        <f>VALUE('FORMATO DIL'!J68)</f>
        <v>0</v>
      </c>
      <c r="K62" s="228">
        <f>IFERROR(ROUNDUP((Q62*J62)/VLOOKUP(G62,ESTANDAR!A:M,5,0),0),0)</f>
        <v>0</v>
      </c>
      <c r="L62" s="309" t="str">
        <f>IFERROR(IF('FORMATO DIL'!B$6="NEO+PED",VLOOKUP(G62,ESTANDAR!A:N,6,0),VLOOKUP(G62,ESTANDAR!A:N,7,0)),"ERROR")</f>
        <v>ERROR</v>
      </c>
      <c r="M62" s="222" t="b">
        <f t="shared" si="0"/>
        <v>0</v>
      </c>
      <c r="N62" s="223">
        <f>IF('FORMATO DIL'!N68=0,Q62,'FORMATO DIL'!N68)</f>
        <v>0</v>
      </c>
      <c r="O62" s="227" t="str">
        <f>IF(S62="L",VLOOKUP(G62,LOTES!A:E,4,0),A62)</f>
        <v/>
      </c>
      <c r="P62" s="310" t="e">
        <f ca="1">IF(S62="L",VLOOKUP(G62,LOTES!A:E,5,0),B$70+VLOOKUP(G62,ESTANDAR!A:N,10,0))</f>
        <v>#N/A</v>
      </c>
      <c r="Q62" s="224">
        <f>VALUE('FORMATO DIL'!Q68)</f>
        <v>0</v>
      </c>
      <c r="R62" s="311" t="str">
        <f>IF('FORMATO DIL'!R68=0,"DIL 1/"&amp;'DATOS ETIQ'!P58,'FORMATO DIL'!R68)</f>
        <v>DIL 1/</v>
      </c>
      <c r="S62" s="224">
        <f>IFERROR(IF(VLOOKUP(G62,ESTANDAR!A:N,9,0)="L","L",IF(AND('FORMATO DIL'!B$6="NEO+PED",VLOOKUP(G62,ESTANDAR!A:N,8,0)="JERINGA",'FORMATO DIL'!$G$5="HOSPITAL SANTA CLARA",M62&gt;=20),"SSN 50mL",IF(OR('FORMATO DIL'!B$6="NEO+PED",VLOOKUP(G62,ESTANDAR!A:N,9,0)="JERINGA"),IF(M62&lt;0.5,"JER 1mL",IF(AND(M62&gt;=0.5,M62&lt;=2.5),"JER 3mL",IF(AND(M62&gt;2.5,M62&lt;=4),"JER 5mL",IF(AND(M62&gt;4,M62&lt;=8),"JER 10mL",IF(AND(M62&gt;8,M62&lt;=16),"JER 20mL","JER 50mL"))))),VLOOKUP(G62,ESTANDAR!A:N,9,0)))),0)</f>
        <v>0</v>
      </c>
      <c r="T62" s="68" t="e">
        <f>IF(VLOOKUP(G62,ESTANDAR!A:N,12,0)="SI",Q62+1,ROUNDUP((Q62+2)/2,0))</f>
        <v>#N/A</v>
      </c>
      <c r="U62" s="68" t="e">
        <f>VLOOKUP(G62,ESTANDAR!A$3:N$98,12,0)</f>
        <v>#N/A</v>
      </c>
      <c r="V62" s="241">
        <f t="shared" si="1"/>
        <v>1</v>
      </c>
      <c r="W62" s="66" t="e">
        <f t="shared" ca="1" si="2"/>
        <v>#N/A</v>
      </c>
      <c r="Y62" s="66" t="b">
        <f t="shared" si="3"/>
        <v>0</v>
      </c>
      <c r="Z62" s="66" t="b">
        <f t="shared" si="4"/>
        <v>0</v>
      </c>
      <c r="AA62" s="66" t="b">
        <f t="shared" si="5"/>
        <v>0</v>
      </c>
      <c r="AB62" s="436" t="str">
        <f t="shared" si="6"/>
        <v/>
      </c>
      <c r="AC62" s="66" t="str">
        <f>IF('FORMATO DIL'!U68="","","VolTotal:  "&amp;'FORMATO DIL'!U68&amp;"mL")</f>
        <v/>
      </c>
    </row>
    <row r="63" spans="1:29" s="66" customFormat="1" ht="20.100000000000001" customHeight="1">
      <c r="A63" s="225" t="str">
        <f>'FORMATO DIL'!A69</f>
        <v/>
      </c>
      <c r="B63" s="214" t="str">
        <f>UPPER(TRIM('FORMATO DIL'!B69))</f>
        <v/>
      </c>
      <c r="C63" s="215">
        <f>'FORMATO DIL'!C69</f>
        <v>0</v>
      </c>
      <c r="D63" s="218">
        <f>'FORMATO DIL'!D69</f>
        <v>0</v>
      </c>
      <c r="E63" s="217" t="str">
        <f>IF('FORMATO DIL'!E69&lt;&gt;"",'FORMATO DIL'!E69,"NA")</f>
        <v>NA</v>
      </c>
      <c r="F63" s="218">
        <f>'FORMATO DIL'!F69</f>
        <v>0</v>
      </c>
      <c r="G63" s="216">
        <f>'FORMATO DIL'!G69</f>
        <v>0</v>
      </c>
      <c r="H63" s="220">
        <f>IFERROR(IF(S63="L",VLOOKUP(G63,LOTES!A:E,2,0),VLOOKUP(G63,ESTANDAR!A:B,2,0)),0)</f>
        <v>0</v>
      </c>
      <c r="I63" s="219" t="e">
        <f>VLOOKUP(G63,ESTANDAR!A:N,3,0)</f>
        <v>#N/A</v>
      </c>
      <c r="J63" s="221">
        <f>VALUE('FORMATO DIL'!J69)</f>
        <v>0</v>
      </c>
      <c r="K63" s="228">
        <f>IFERROR(ROUNDUP((Q63*J63)/VLOOKUP(G63,ESTANDAR!A:M,5,0),0),0)</f>
        <v>0</v>
      </c>
      <c r="L63" s="309" t="str">
        <f>IFERROR(IF('FORMATO DIL'!B$6="NEO+PED",VLOOKUP(G63,ESTANDAR!A:N,6,0),VLOOKUP(G63,ESTANDAR!A:N,7,0)),"ERROR")</f>
        <v>ERROR</v>
      </c>
      <c r="M63" s="222" t="b">
        <f t="shared" si="0"/>
        <v>0</v>
      </c>
      <c r="N63" s="223">
        <f>IF('FORMATO DIL'!N69=0,Q63,'FORMATO DIL'!N69)</f>
        <v>0</v>
      </c>
      <c r="O63" s="227" t="str">
        <f>IF(S63="L",VLOOKUP(G63,LOTES!A:E,4,0),A63)</f>
        <v/>
      </c>
      <c r="P63" s="310" t="e">
        <f ca="1">IF(S63="L",VLOOKUP(G63,LOTES!A:E,5,0),B$70+VLOOKUP(G63,ESTANDAR!A:N,10,0))</f>
        <v>#N/A</v>
      </c>
      <c r="Q63" s="224">
        <f>VALUE('FORMATO DIL'!Q69)</f>
        <v>0</v>
      </c>
      <c r="R63" s="311" t="str">
        <f>IF('FORMATO DIL'!R69=0,"DIL 1/"&amp;'DATOS ETIQ'!P59,'FORMATO DIL'!R69)</f>
        <v>DIL 1/</v>
      </c>
      <c r="S63" s="224">
        <f>IFERROR(IF(VLOOKUP(G63,ESTANDAR!A:N,9,0)="L","L",IF(AND('FORMATO DIL'!B$6="NEO+PED",VLOOKUP(G63,ESTANDAR!A:N,8,0)="JERINGA",'FORMATO DIL'!$G$5="HOSPITAL SANTA CLARA",M63&gt;=20),"SSN 50mL",IF(OR('FORMATO DIL'!B$6="NEO+PED",VLOOKUP(G63,ESTANDAR!A:N,9,0)="JERINGA"),IF(M63&lt;0.5,"JER 1mL",IF(AND(M63&gt;=0.5,M63&lt;=2.5),"JER 3mL",IF(AND(M63&gt;2.5,M63&lt;=4),"JER 5mL",IF(AND(M63&gt;4,M63&lt;=8),"JER 10mL",IF(AND(M63&gt;8,M63&lt;=16),"JER 20mL","JER 50mL"))))),VLOOKUP(G63,ESTANDAR!A:N,9,0)))),0)</f>
        <v>0</v>
      </c>
      <c r="T63" s="68" t="e">
        <f>IF(VLOOKUP(G63,ESTANDAR!A:N,12,0)="SI",Q63+1,ROUNDUP((Q63+2)/2,0))</f>
        <v>#N/A</v>
      </c>
      <c r="U63" s="68" t="e">
        <f>VLOOKUP(G63,ESTANDAR!A$3:N$98,12,0)</f>
        <v>#N/A</v>
      </c>
      <c r="V63" s="241">
        <f t="shared" si="1"/>
        <v>1</v>
      </c>
      <c r="W63" s="66" t="e">
        <f t="shared" ca="1" si="2"/>
        <v>#N/A</v>
      </c>
      <c r="Y63" s="66" t="b">
        <f t="shared" si="3"/>
        <v>0</v>
      </c>
      <c r="Z63" s="66" t="b">
        <f t="shared" si="4"/>
        <v>0</v>
      </c>
      <c r="AA63" s="66" t="b">
        <f t="shared" si="5"/>
        <v>0</v>
      </c>
      <c r="AB63" s="436" t="str">
        <f t="shared" si="6"/>
        <v/>
      </c>
      <c r="AC63" s="66" t="str">
        <f>IF('FORMATO DIL'!U69="","","VolTotal:  "&amp;'FORMATO DIL'!U69&amp;"mL")</f>
        <v/>
      </c>
    </row>
    <row r="64" spans="1:29" s="66" customFormat="1" ht="20.100000000000001" customHeight="1">
      <c r="A64" s="225" t="str">
        <f>'FORMATO DIL'!A70</f>
        <v/>
      </c>
      <c r="B64" s="214" t="str">
        <f>UPPER(TRIM('FORMATO DIL'!B70))</f>
        <v/>
      </c>
      <c r="C64" s="215">
        <f>'FORMATO DIL'!C70</f>
        <v>0</v>
      </c>
      <c r="D64" s="218">
        <f>'FORMATO DIL'!D70</f>
        <v>0</v>
      </c>
      <c r="E64" s="217" t="str">
        <f>IF('FORMATO DIL'!E70&lt;&gt;"",'FORMATO DIL'!E70,"NA")</f>
        <v>NA</v>
      </c>
      <c r="F64" s="218">
        <f>'FORMATO DIL'!F70</f>
        <v>0</v>
      </c>
      <c r="G64" s="216">
        <f>'FORMATO DIL'!G70</f>
        <v>0</v>
      </c>
      <c r="H64" s="220">
        <f>IFERROR(IF(S64="L",VLOOKUP(G64,LOTES!A:E,2,0),VLOOKUP(G64,ESTANDAR!A:B,2,0)),0)</f>
        <v>0</v>
      </c>
      <c r="I64" s="219" t="e">
        <f>VLOOKUP(G64,ESTANDAR!A:N,3,0)</f>
        <v>#N/A</v>
      </c>
      <c r="J64" s="221">
        <f>VALUE('FORMATO DIL'!J70)</f>
        <v>0</v>
      </c>
      <c r="K64" s="228">
        <f>IFERROR(ROUNDUP((Q64*J64)/VLOOKUP(G64,ESTANDAR!A:M,5,0),0),0)</f>
        <v>0</v>
      </c>
      <c r="L64" s="309" t="str">
        <f>IFERROR(IF('FORMATO DIL'!B$6="NEO+PED",VLOOKUP(G64,ESTANDAR!A:N,6,0),VLOOKUP(G64,ESTANDAR!A:N,7,0)),"ERROR")</f>
        <v>ERROR</v>
      </c>
      <c r="M64" s="222" t="b">
        <f t="shared" si="0"/>
        <v>0</v>
      </c>
      <c r="N64" s="223">
        <f>IF('FORMATO DIL'!N70=0,Q64,'FORMATO DIL'!N70)</f>
        <v>0</v>
      </c>
      <c r="O64" s="227" t="str">
        <f>IF(S64="L",VLOOKUP(G64,LOTES!A:E,4,0),A64)</f>
        <v/>
      </c>
      <c r="P64" s="310" t="e">
        <f ca="1">IF(S64="L",VLOOKUP(G64,LOTES!A:E,5,0),B$70+VLOOKUP(G64,ESTANDAR!A:N,10,0))</f>
        <v>#N/A</v>
      </c>
      <c r="Q64" s="224">
        <f>VALUE('FORMATO DIL'!Q70)</f>
        <v>0</v>
      </c>
      <c r="R64" s="311" t="str">
        <f>IF('FORMATO DIL'!R70=0,"DIL 1/"&amp;'DATOS ETIQ'!P60,'FORMATO DIL'!R70)</f>
        <v>DIL 1/</v>
      </c>
      <c r="S64" s="224">
        <f>IFERROR(IF(VLOOKUP(G64,ESTANDAR!A:N,9,0)="L","L",IF(AND('FORMATO DIL'!B$6="NEO+PED",VLOOKUP(G64,ESTANDAR!A:N,8,0)="JERINGA",'FORMATO DIL'!$G$5="HOSPITAL SANTA CLARA",M64&gt;=20),"SSN 50mL",IF(OR('FORMATO DIL'!B$6="NEO+PED",VLOOKUP(G64,ESTANDAR!A:N,9,0)="JERINGA"),IF(M64&lt;0.5,"JER 1mL",IF(AND(M64&gt;=0.5,M64&lt;=2.5),"JER 3mL",IF(AND(M64&gt;2.5,M64&lt;=4),"JER 5mL",IF(AND(M64&gt;4,M64&lt;=8),"JER 10mL",IF(AND(M64&gt;8,M64&lt;=16),"JER 20mL","JER 50mL"))))),VLOOKUP(G64,ESTANDAR!A:N,9,0)))),0)</f>
        <v>0</v>
      </c>
      <c r="T64" s="68" t="e">
        <f>IF(VLOOKUP(G64,ESTANDAR!A:N,12,0)="SI",Q64+1,ROUNDUP((Q64+2)/2,0))</f>
        <v>#N/A</v>
      </c>
      <c r="U64" s="68" t="e">
        <f>VLOOKUP(G64,ESTANDAR!A$3:N$98,12,0)</f>
        <v>#N/A</v>
      </c>
      <c r="V64" s="241">
        <f t="shared" si="1"/>
        <v>1</v>
      </c>
      <c r="W64" s="66" t="e">
        <f t="shared" ca="1" si="2"/>
        <v>#N/A</v>
      </c>
      <c r="Y64" s="66" t="b">
        <f t="shared" si="3"/>
        <v>0</v>
      </c>
      <c r="Z64" s="66" t="b">
        <f t="shared" si="4"/>
        <v>0</v>
      </c>
      <c r="AA64" s="66" t="b">
        <f t="shared" si="5"/>
        <v>0</v>
      </c>
      <c r="AB64" s="436" t="str">
        <f t="shared" si="6"/>
        <v/>
      </c>
      <c r="AC64" s="66" t="str">
        <f>IF('FORMATO DIL'!U70="","","VolTotal:  "&amp;'FORMATO DIL'!U70&amp;"mL")</f>
        <v/>
      </c>
    </row>
    <row r="65" spans="1:29" s="66" customFormat="1" ht="20.100000000000001" customHeight="1">
      <c r="A65" s="225" t="str">
        <f>'FORMATO DIL'!A71</f>
        <v/>
      </c>
      <c r="B65" s="214" t="str">
        <f>UPPER(TRIM('FORMATO DIL'!B71))</f>
        <v/>
      </c>
      <c r="C65" s="215">
        <f>'FORMATO DIL'!C71</f>
        <v>0</v>
      </c>
      <c r="D65" s="218">
        <f>'FORMATO DIL'!D71</f>
        <v>0</v>
      </c>
      <c r="E65" s="217" t="str">
        <f>IF('FORMATO DIL'!E71&lt;&gt;"",'FORMATO DIL'!E71,"NA")</f>
        <v>NA</v>
      </c>
      <c r="F65" s="218">
        <f>'FORMATO DIL'!F71</f>
        <v>0</v>
      </c>
      <c r="G65" s="216">
        <f>'FORMATO DIL'!G71</f>
        <v>0</v>
      </c>
      <c r="H65" s="220">
        <f>IFERROR(IF(S65="L",VLOOKUP(G65,LOTES!A:E,2,0),VLOOKUP(G65,ESTANDAR!A:B,2,0)),0)</f>
        <v>0</v>
      </c>
      <c r="I65" s="219" t="e">
        <f>VLOOKUP(G65,ESTANDAR!A:N,3,0)</f>
        <v>#N/A</v>
      </c>
      <c r="J65" s="221">
        <f>VALUE('FORMATO DIL'!J71)</f>
        <v>0</v>
      </c>
      <c r="K65" s="228">
        <f>IFERROR(ROUNDUP((Q65*J65)/VLOOKUP(G65,ESTANDAR!A:M,5,0),0),0)</f>
        <v>0</v>
      </c>
      <c r="L65" s="309" t="str">
        <f>IFERROR(IF('FORMATO DIL'!B$6="NEO+PED",VLOOKUP(G65,ESTANDAR!A:N,6,0),VLOOKUP(G65,ESTANDAR!A:N,7,0)),"ERROR")</f>
        <v>ERROR</v>
      </c>
      <c r="M65" s="222" t="b">
        <f t="shared" si="0"/>
        <v>0</v>
      </c>
      <c r="N65" s="223">
        <f>IF('FORMATO DIL'!N71=0,Q65,'FORMATO DIL'!N71)</f>
        <v>0</v>
      </c>
      <c r="O65" s="227" t="str">
        <f>IF(S65="L",VLOOKUP(G65,LOTES!A:E,4,0),A65)</f>
        <v/>
      </c>
      <c r="P65" s="310" t="e">
        <f ca="1">IF(S65="L",VLOOKUP(G65,LOTES!A:E,5,0),B$70+VLOOKUP(G65,ESTANDAR!A:N,10,0))</f>
        <v>#N/A</v>
      </c>
      <c r="Q65" s="224">
        <f>VALUE('FORMATO DIL'!Q71)</f>
        <v>0</v>
      </c>
      <c r="R65" s="311" t="str">
        <f>IF('FORMATO DIL'!R71=0,"DIL 1/"&amp;'DATOS ETIQ'!P61,'FORMATO DIL'!R71)</f>
        <v>DIL 1/</v>
      </c>
      <c r="S65" s="224">
        <f>IFERROR(IF(VLOOKUP(G65,ESTANDAR!A:N,9,0)="L","L",IF(AND('FORMATO DIL'!B$6="NEO+PED",VLOOKUP(G65,ESTANDAR!A:N,8,0)="JERINGA",'FORMATO DIL'!$G$5="HOSPITAL SANTA CLARA",M65&gt;=20),"SSN 50mL",IF(OR('FORMATO DIL'!B$6="NEO+PED",VLOOKUP(G65,ESTANDAR!A:N,9,0)="JERINGA"),IF(M65&lt;0.5,"JER 1mL",IF(AND(M65&gt;=0.5,M65&lt;=2.5),"JER 3mL",IF(AND(M65&gt;2.5,M65&lt;=4),"JER 5mL",IF(AND(M65&gt;4,M65&lt;=8),"JER 10mL",IF(AND(M65&gt;8,M65&lt;=16),"JER 20mL","JER 50mL"))))),VLOOKUP(G65,ESTANDAR!A:N,9,0)))),0)</f>
        <v>0</v>
      </c>
      <c r="T65" s="68" t="e">
        <f>IF(VLOOKUP(G65,ESTANDAR!A:N,12,0)="SI",Q65+1,ROUNDUP((Q65+2)/2,0))</f>
        <v>#N/A</v>
      </c>
      <c r="U65" s="68" t="e">
        <f>VLOOKUP(G65,ESTANDAR!A$3:N$98,12,0)</f>
        <v>#N/A</v>
      </c>
      <c r="V65" s="241">
        <f t="shared" si="1"/>
        <v>1</v>
      </c>
      <c r="W65" s="66" t="e">
        <f t="shared" ca="1" si="2"/>
        <v>#N/A</v>
      </c>
      <c r="Y65" s="66" t="b">
        <f t="shared" si="3"/>
        <v>0</v>
      </c>
      <c r="Z65" s="66" t="b">
        <f t="shared" si="4"/>
        <v>0</v>
      </c>
      <c r="AA65" s="66" t="b">
        <f t="shared" si="5"/>
        <v>0</v>
      </c>
      <c r="AB65" s="436" t="str">
        <f t="shared" si="6"/>
        <v/>
      </c>
      <c r="AC65" s="66" t="str">
        <f>IF('FORMATO DIL'!U71="","","VolTotal:  "&amp;'FORMATO DIL'!U71&amp;"mL")</f>
        <v/>
      </c>
    </row>
    <row r="66" spans="1:29" s="66" customFormat="1" ht="20.100000000000001" customHeight="1">
      <c r="A66" s="225" t="str">
        <f>'FORMATO DIL'!A72</f>
        <v/>
      </c>
      <c r="B66" s="214" t="str">
        <f>UPPER(TRIM('FORMATO DIL'!B72))</f>
        <v/>
      </c>
      <c r="C66" s="215">
        <f>'FORMATO DIL'!C72</f>
        <v>0</v>
      </c>
      <c r="D66" s="218">
        <f>'FORMATO DIL'!D72</f>
        <v>0</v>
      </c>
      <c r="E66" s="217" t="str">
        <f>IF('FORMATO DIL'!E72&lt;&gt;"",'FORMATO DIL'!E72,"NA")</f>
        <v>NA</v>
      </c>
      <c r="F66" s="218">
        <f>'FORMATO DIL'!F72</f>
        <v>0</v>
      </c>
      <c r="G66" s="216">
        <f>'FORMATO DIL'!G72</f>
        <v>0</v>
      </c>
      <c r="H66" s="220">
        <f>IFERROR(IF(S66="L",VLOOKUP(G66,LOTES!A:E,2,0),VLOOKUP(G66,ESTANDAR!A:B,2,0)),0)</f>
        <v>0</v>
      </c>
      <c r="I66" s="219" t="e">
        <f>VLOOKUP(G66,ESTANDAR!A:N,3,0)</f>
        <v>#N/A</v>
      </c>
      <c r="J66" s="221">
        <f>VALUE('FORMATO DIL'!J72)</f>
        <v>0</v>
      </c>
      <c r="K66" s="228">
        <f>IFERROR(ROUNDUP((Q66*J66)/VLOOKUP(G66,ESTANDAR!A:M,5,0),0),0)</f>
        <v>0</v>
      </c>
      <c r="L66" s="309" t="str">
        <f>IFERROR(IF('FORMATO DIL'!B$6="NEO+PED",VLOOKUP(G66,ESTANDAR!A:N,6,0),VLOOKUP(G66,ESTANDAR!A:N,7,0)),"ERROR")</f>
        <v>ERROR</v>
      </c>
      <c r="M66" s="222" t="b">
        <f t="shared" si="0"/>
        <v>0</v>
      </c>
      <c r="N66" s="223">
        <f>IF('FORMATO DIL'!N72=0,Q66,'FORMATO DIL'!N72)</f>
        <v>0</v>
      </c>
      <c r="O66" s="227" t="str">
        <f>IF(S66="L",VLOOKUP(G66,LOTES!A:E,4,0),A66)</f>
        <v/>
      </c>
      <c r="P66" s="310" t="e">
        <f ca="1">IF(S66="L",VLOOKUP(G66,LOTES!A:E,5,0),B$70+VLOOKUP(G66,ESTANDAR!A:N,10,0))</f>
        <v>#N/A</v>
      </c>
      <c r="Q66" s="224">
        <f>VALUE('FORMATO DIL'!Q72)</f>
        <v>0</v>
      </c>
      <c r="R66" s="311" t="str">
        <f>IF('FORMATO DIL'!R72=0,"DIL 1/"&amp;'DATOS ETIQ'!P62,'FORMATO DIL'!R72)</f>
        <v>DIL 1/</v>
      </c>
      <c r="S66" s="224">
        <f>IFERROR(IF(VLOOKUP(G66,ESTANDAR!A:N,9,0)="L","L",IF(AND('FORMATO DIL'!B$6="NEO+PED",VLOOKUP(G66,ESTANDAR!A:N,8,0)="JERINGA",'FORMATO DIL'!$G$5="HOSPITAL SANTA CLARA",M66&gt;=20),"SSN 50mL",IF(OR('FORMATO DIL'!B$6="NEO+PED",VLOOKUP(G66,ESTANDAR!A:N,9,0)="JERINGA"),IF(M66&lt;0.5,"JER 1mL",IF(AND(M66&gt;=0.5,M66&lt;=2.5),"JER 3mL",IF(AND(M66&gt;2.5,M66&lt;=4),"JER 5mL",IF(AND(M66&gt;4,M66&lt;=8),"JER 10mL",IF(AND(M66&gt;8,M66&lt;=16),"JER 20mL","JER 50mL"))))),VLOOKUP(G66,ESTANDAR!A:N,9,0)))),0)</f>
        <v>0</v>
      </c>
      <c r="T66" s="68" t="e">
        <f>IF(VLOOKUP(G66,ESTANDAR!A:N,12,0)="SI",Q66+1,ROUNDUP((Q66+2)/2,0))</f>
        <v>#N/A</v>
      </c>
      <c r="U66" s="68" t="e">
        <f>VLOOKUP(G66,ESTANDAR!A$3:N$98,12,0)</f>
        <v>#N/A</v>
      </c>
      <c r="V66" s="241">
        <f t="shared" si="1"/>
        <v>1</v>
      </c>
      <c r="W66" s="66" t="e">
        <f t="shared" ca="1" si="2"/>
        <v>#N/A</v>
      </c>
      <c r="Y66" s="66" t="b">
        <f t="shared" si="3"/>
        <v>0</v>
      </c>
      <c r="Z66" s="66" t="b">
        <f t="shared" si="4"/>
        <v>0</v>
      </c>
      <c r="AA66" s="66" t="b">
        <f t="shared" si="5"/>
        <v>0</v>
      </c>
      <c r="AB66" s="436" t="str">
        <f t="shared" si="6"/>
        <v/>
      </c>
      <c r="AC66" s="66" t="str">
        <f>IF('FORMATO DIL'!U72="","","VolTotal:  "&amp;'FORMATO DIL'!U72&amp;"mL")</f>
        <v/>
      </c>
    </row>
    <row r="67" spans="1:29" s="66" customFormat="1" ht="20.100000000000001" customHeight="1">
      <c r="A67" s="225" t="str">
        <f>'FORMATO DIL'!A73</f>
        <v/>
      </c>
      <c r="B67" s="214" t="str">
        <f>UPPER(TRIM('FORMATO DIL'!B73))</f>
        <v/>
      </c>
      <c r="C67" s="215">
        <f>'FORMATO DIL'!C73</f>
        <v>0</v>
      </c>
      <c r="D67" s="218">
        <f>'FORMATO DIL'!D73</f>
        <v>0</v>
      </c>
      <c r="E67" s="217" t="str">
        <f>IF('FORMATO DIL'!E73&lt;&gt;"",'FORMATO DIL'!E73,"NA")</f>
        <v>NA</v>
      </c>
      <c r="F67" s="218">
        <f>'FORMATO DIL'!F73</f>
        <v>0</v>
      </c>
      <c r="G67" s="216">
        <f>'FORMATO DIL'!G73</f>
        <v>0</v>
      </c>
      <c r="H67" s="220">
        <f>IFERROR(IF(S67="L",VLOOKUP(G67,LOTES!A:E,2,0),VLOOKUP(G67,ESTANDAR!A:B,2,0)),0)</f>
        <v>0</v>
      </c>
      <c r="I67" s="219" t="e">
        <f>VLOOKUP(G67,ESTANDAR!A:N,3,0)</f>
        <v>#N/A</v>
      </c>
      <c r="J67" s="221">
        <f>VALUE('FORMATO DIL'!J73)</f>
        <v>0</v>
      </c>
      <c r="K67" s="228">
        <f>IFERROR(ROUNDUP((Q67*J67)/VLOOKUP(G67,ESTANDAR!A:M,5,0),0),0)</f>
        <v>0</v>
      </c>
      <c r="L67" s="309" t="str">
        <f>IFERROR(IF('FORMATO DIL'!B$6="NEO+PED",VLOOKUP(G67,ESTANDAR!A:N,6,0),VLOOKUP(G67,ESTANDAR!A:N,7,0)),"ERROR")</f>
        <v>ERROR</v>
      </c>
      <c r="M67" s="222" t="b">
        <f t="shared" si="0"/>
        <v>0</v>
      </c>
      <c r="N67" s="223">
        <f>IF('FORMATO DIL'!N73=0,Q67,'FORMATO DIL'!N73)</f>
        <v>0</v>
      </c>
      <c r="O67" s="227" t="str">
        <f>IF(S67="L",VLOOKUP(G67,LOTES!A:E,4,0),A67)</f>
        <v/>
      </c>
      <c r="P67" s="310" t="e">
        <f ca="1">IF(S67="L",VLOOKUP(G67,LOTES!A:E,5,0),B$70+VLOOKUP(G67,ESTANDAR!A:N,10,0))</f>
        <v>#N/A</v>
      </c>
      <c r="Q67" s="224">
        <f>VALUE('FORMATO DIL'!Q73)</f>
        <v>0</v>
      </c>
      <c r="R67" s="311" t="str">
        <f>IF('FORMATO DIL'!R73=0,"DIL 1/"&amp;'DATOS ETIQ'!P63,'FORMATO DIL'!R73)</f>
        <v>DIL 1/</v>
      </c>
      <c r="S67" s="224">
        <f>IFERROR(IF(VLOOKUP(G67,ESTANDAR!A:N,9,0)="L","L",IF(AND('FORMATO DIL'!B$6="NEO+PED",VLOOKUP(G67,ESTANDAR!A:N,8,0)="JERINGA",'FORMATO DIL'!$G$5="HOSPITAL SANTA CLARA",M67&gt;=20),"SSN 50mL",IF(OR('FORMATO DIL'!B$6="NEO+PED",VLOOKUP(G67,ESTANDAR!A:N,9,0)="JERINGA"),IF(M67&lt;0.5,"JER 1mL",IF(AND(M67&gt;=0.5,M67&lt;=2.5),"JER 3mL",IF(AND(M67&gt;2.5,M67&lt;=4),"JER 5mL",IF(AND(M67&gt;4,M67&lt;=8),"JER 10mL",IF(AND(M67&gt;8,M67&lt;=16),"JER 20mL","JER 50mL"))))),VLOOKUP(G67,ESTANDAR!A:N,9,0)))),0)</f>
        <v>0</v>
      </c>
      <c r="T67" s="68" t="e">
        <f>IF(VLOOKUP(G67,ESTANDAR!A:N,12,0)="SI",Q67+1,ROUNDUP((Q67+2)/2,0))</f>
        <v>#N/A</v>
      </c>
      <c r="U67" s="68" t="e">
        <f>VLOOKUP(G67,ESTANDAR!A$3:N$98,12,0)</f>
        <v>#N/A</v>
      </c>
      <c r="V67" s="241">
        <f t="shared" si="1"/>
        <v>1</v>
      </c>
      <c r="W67" s="66" t="e">
        <f t="shared" ca="1" si="2"/>
        <v>#N/A</v>
      </c>
      <c r="Y67" s="66" t="b">
        <f t="shared" si="3"/>
        <v>0</v>
      </c>
      <c r="Z67" s="66" t="b">
        <f t="shared" si="4"/>
        <v>0</v>
      </c>
      <c r="AA67" s="66" t="b">
        <f t="shared" si="5"/>
        <v>0</v>
      </c>
      <c r="AB67" s="436" t="str">
        <f t="shared" si="6"/>
        <v/>
      </c>
      <c r="AC67" s="66" t="str">
        <f>IF('FORMATO DIL'!U73="","","VolTotal:  "&amp;'FORMATO DIL'!U73&amp;"mL")</f>
        <v/>
      </c>
    </row>
    <row r="68" spans="1:29" s="66" customFormat="1" ht="20.100000000000001" customHeight="1">
      <c r="A68" s="225" t="str">
        <f>'FORMATO DIL'!A74</f>
        <v/>
      </c>
      <c r="B68" s="214" t="str">
        <f>UPPER(TRIM('FORMATO DIL'!B74))</f>
        <v/>
      </c>
      <c r="C68" s="215">
        <f>'FORMATO DIL'!C74</f>
        <v>0</v>
      </c>
      <c r="D68" s="218">
        <f>'FORMATO DIL'!D74</f>
        <v>0</v>
      </c>
      <c r="E68" s="217" t="str">
        <f>IF('FORMATO DIL'!E74&lt;&gt;"",'FORMATO DIL'!E74,"NA")</f>
        <v>NA</v>
      </c>
      <c r="F68" s="218">
        <f>'FORMATO DIL'!F74</f>
        <v>0</v>
      </c>
      <c r="G68" s="216">
        <f>'FORMATO DIL'!G74</f>
        <v>0</v>
      </c>
      <c r="H68" s="220">
        <f>IFERROR(IF(S68="L",VLOOKUP(G68,LOTES!A:E,2,0),VLOOKUP(G68,ESTANDAR!A:B,2,0)),0)</f>
        <v>0</v>
      </c>
      <c r="I68" s="219" t="e">
        <f>VLOOKUP(G68,ESTANDAR!A:N,3,0)</f>
        <v>#N/A</v>
      </c>
      <c r="J68" s="221">
        <f>VALUE('FORMATO DIL'!J74)</f>
        <v>0</v>
      </c>
      <c r="K68" s="228">
        <f>IFERROR(ROUNDUP((Q68*J68)/VLOOKUP(G68,ESTANDAR!A:M,5,0),0),0)</f>
        <v>0</v>
      </c>
      <c r="L68" s="309" t="str">
        <f>IFERROR(IF('FORMATO DIL'!B$6="NEO+PED",VLOOKUP(G68,ESTANDAR!A:N,6,0),VLOOKUP(G68,ESTANDAR!A:N,7,0)),"ERROR")</f>
        <v>ERROR</v>
      </c>
      <c r="M68" s="222" t="b">
        <f t="shared" si="0"/>
        <v>0</v>
      </c>
      <c r="N68" s="223">
        <f>IF('FORMATO DIL'!N74=0,Q68,'FORMATO DIL'!N74)</f>
        <v>0</v>
      </c>
      <c r="O68" s="227" t="str">
        <f>IF(S68="L",VLOOKUP(G68,LOTES!A:E,4,0),A68)</f>
        <v/>
      </c>
      <c r="P68" s="310" t="e">
        <f ca="1">IF(S68="L",VLOOKUP(G68,LOTES!A:E,5,0),B$70+VLOOKUP(G68,ESTANDAR!A:N,10,0))</f>
        <v>#N/A</v>
      </c>
      <c r="Q68" s="224">
        <f>VALUE('FORMATO DIL'!Q74)</f>
        <v>0</v>
      </c>
      <c r="R68" s="311" t="str">
        <f>IF('FORMATO DIL'!R74=0,"DIL 1/"&amp;'DATOS ETIQ'!P64,'FORMATO DIL'!R74)</f>
        <v>DIL 1/</v>
      </c>
      <c r="S68" s="224">
        <f>IFERROR(IF(VLOOKUP(G68,ESTANDAR!A:N,9,0)="L","L",IF(AND('FORMATO DIL'!B$6="NEO+PED",VLOOKUP(G68,ESTANDAR!A:N,8,0)="JERINGA",'FORMATO DIL'!$G$5="HOSPITAL SANTA CLARA",M68&gt;=20),"SSN 50mL",IF(OR('FORMATO DIL'!B$6="NEO+PED",VLOOKUP(G68,ESTANDAR!A:N,9,0)="JERINGA"),IF(M68&lt;0.5,"JER 1mL",IF(AND(M68&gt;=0.5,M68&lt;=2.5),"JER 3mL",IF(AND(M68&gt;2.5,M68&lt;=4),"JER 5mL",IF(AND(M68&gt;4,M68&lt;=8),"JER 10mL",IF(AND(M68&gt;8,M68&lt;=16),"JER 20mL","JER 50mL"))))),VLOOKUP(G68,ESTANDAR!A:N,9,0)))),0)</f>
        <v>0</v>
      </c>
      <c r="T68" s="68" t="e">
        <f>IF(VLOOKUP(G68,ESTANDAR!A:N,12,0)="SI",Q68+1,ROUNDUP((Q68+2)/2,0))</f>
        <v>#N/A</v>
      </c>
      <c r="U68" s="68" t="e">
        <f>VLOOKUP(G68,ESTANDAR!A$3:N$98,12,0)</f>
        <v>#N/A</v>
      </c>
      <c r="V68" s="241">
        <f t="shared" si="1"/>
        <v>1</v>
      </c>
      <c r="W68" s="66" t="e">
        <f t="shared" ca="1" si="2"/>
        <v>#N/A</v>
      </c>
      <c r="Y68" s="66" t="b">
        <f t="shared" si="3"/>
        <v>0</v>
      </c>
      <c r="Z68" s="66" t="b">
        <f t="shared" si="4"/>
        <v>0</v>
      </c>
      <c r="AA68" s="66" t="b">
        <f t="shared" si="5"/>
        <v>0</v>
      </c>
      <c r="AB68" s="436" t="str">
        <f t="shared" si="6"/>
        <v/>
      </c>
      <c r="AC68" s="66" t="str">
        <f>IF('FORMATO DIL'!U74="","","VolTotal:  "&amp;'FORMATO DIL'!U74&amp;"mL")</f>
        <v/>
      </c>
    </row>
    <row r="69" spans="1:29" s="66" customFormat="1" ht="20.100000000000001" customHeight="1">
      <c r="A69" s="225" t="str">
        <f>'FORMATO DIL'!A75</f>
        <v/>
      </c>
      <c r="B69" s="214" t="str">
        <f>UPPER(TRIM('FORMATO DIL'!B75))</f>
        <v/>
      </c>
      <c r="C69" s="215">
        <f>'FORMATO DIL'!C75</f>
        <v>0</v>
      </c>
      <c r="D69" s="218">
        <f>'FORMATO DIL'!D75</f>
        <v>0</v>
      </c>
      <c r="E69" s="217" t="str">
        <f>IF('FORMATO DIL'!E75&lt;&gt;"",'FORMATO DIL'!E75,"NA")</f>
        <v>NA</v>
      </c>
      <c r="F69" s="218">
        <f>'FORMATO DIL'!F75</f>
        <v>0</v>
      </c>
      <c r="G69" s="216">
        <f>'FORMATO DIL'!G75</f>
        <v>0</v>
      </c>
      <c r="H69" s="220">
        <f>IFERROR(IF(S69="L",VLOOKUP(G69,LOTES!A:E,2,0),VLOOKUP(G69,ESTANDAR!A:B,2,0)),0)</f>
        <v>0</v>
      </c>
      <c r="I69" s="219" t="e">
        <f>VLOOKUP(G69,ESTANDAR!A:N,3,0)</f>
        <v>#N/A</v>
      </c>
      <c r="J69" s="221">
        <f>VALUE('FORMATO DIL'!J75)</f>
        <v>0</v>
      </c>
      <c r="K69" s="228">
        <f>IFERROR(ROUNDUP((Q69*J69)/VLOOKUP(G69,ESTANDAR!A:M,5,0),0),0)</f>
        <v>0</v>
      </c>
      <c r="L69" s="309" t="str">
        <f>IFERROR(IF('FORMATO DIL'!B$6="NEO+PED",VLOOKUP(G69,ESTANDAR!A:N,6,0),VLOOKUP(G69,ESTANDAR!A:N,7,0)),"ERROR")</f>
        <v>ERROR</v>
      </c>
      <c r="M69" s="222" t="b">
        <f>IFERROR(J69/L69,FALSE)</f>
        <v>0</v>
      </c>
      <c r="N69" s="223">
        <f>IF('FORMATO DIL'!N75=0,Q69,'FORMATO DIL'!N75)</f>
        <v>0</v>
      </c>
      <c r="O69" s="227" t="str">
        <f>IF(S69="L",VLOOKUP(G69,LOTES!A:E,4,0),A69)</f>
        <v/>
      </c>
      <c r="P69" s="310" t="e">
        <f ca="1">IF(S69="L",VLOOKUP(G69,LOTES!A:E,5,0),B$70+VLOOKUP(G69,ESTANDAR!A:N,10,0))</f>
        <v>#N/A</v>
      </c>
      <c r="Q69" s="224">
        <f>VALUE('FORMATO DIL'!Q75)</f>
        <v>0</v>
      </c>
      <c r="R69" s="311" t="str">
        <f>IF('FORMATO DIL'!R75=0,"DIL 1/"&amp;'DATOS ETIQ'!P65,'FORMATO DIL'!R75)</f>
        <v>DIL 1/</v>
      </c>
      <c r="S69" s="224">
        <f>IFERROR(IF(VLOOKUP(G69,ESTANDAR!A:N,9,0)="L","L",IF(AND('FORMATO DIL'!B$6="NEO+PED",VLOOKUP(G69,ESTANDAR!A:N,8,0)="JERINGA",'FORMATO DIL'!$G$5="HOSPITAL SANTA CLARA",M69&gt;=20),"SSN 50mL",IF(OR('FORMATO DIL'!B$6="NEO+PED",VLOOKUP(G69,ESTANDAR!A:N,9,0)="JERINGA"),IF(M69&lt;0.5,"JER 1mL",IF(AND(M69&gt;=0.5,M69&lt;=2.5),"JER 3mL",IF(AND(M69&gt;2.5,M69&lt;=4),"JER 5mL",IF(AND(M69&gt;4,M69&lt;=8),"JER 10mL",IF(AND(M69&gt;8,M69&lt;=16),"JER 20mL","JER 50mL"))))),VLOOKUP(G69,ESTANDAR!A:N,9,0)))),0)</f>
        <v>0</v>
      </c>
      <c r="T69" s="68" t="e">
        <f>IF(VLOOKUP(G69,ESTANDAR!A:N,12,0)="SI",Q69+1,ROUNDUP((Q69+2)/2,0))</f>
        <v>#N/A</v>
      </c>
      <c r="U69" s="68" t="e">
        <f>VLOOKUP(G69,ESTANDAR!A$3:N$98,12,0)</f>
        <v>#N/A</v>
      </c>
      <c r="V69" s="241">
        <f t="shared" si="1"/>
        <v>1</v>
      </c>
      <c r="W69" s="66" t="e">
        <f t="shared" ca="1" si="2"/>
        <v>#N/A</v>
      </c>
      <c r="Y69" s="66" t="b">
        <f t="shared" ca="1" si="3"/>
        <v>0</v>
      </c>
      <c r="Z69" s="66" t="b">
        <f t="shared" si="4"/>
        <v>0</v>
      </c>
      <c r="AA69" s="66" t="b">
        <f t="shared" si="5"/>
        <v>0</v>
      </c>
      <c r="AB69" s="436" t="str">
        <f t="shared" si="6"/>
        <v/>
      </c>
      <c r="AC69" s="66" t="str">
        <f>IF('FORMATO DIL'!U75="","","VolTotal:  "&amp;'FORMATO DIL'!U75&amp;"mL")</f>
        <v/>
      </c>
    </row>
    <row r="70" spans="1:29" ht="20.100000000000001" customHeight="1">
      <c r="A70" s="240" t="s">
        <v>12</v>
      </c>
      <c r="B70" s="230">
        <f ca="1">'FORMATO DIL'!B5</f>
        <v>44777</v>
      </c>
      <c r="C70" s="667" t="s">
        <v>15</v>
      </c>
      <c r="D70" s="667"/>
      <c r="E70" s="667"/>
      <c r="F70" s="667" t="str">
        <f>LEFT(A6,6)</f>
        <v>0</v>
      </c>
      <c r="G70" s="667"/>
      <c r="H70" s="667"/>
      <c r="I70" s="667" t="s">
        <v>18</v>
      </c>
      <c r="J70" s="667"/>
      <c r="K70" s="70"/>
      <c r="L70" s="667" t="s">
        <v>22</v>
      </c>
      <c r="M70" s="667"/>
      <c r="N70" s="207"/>
      <c r="O70" s="667" t="s">
        <v>23</v>
      </c>
      <c r="P70" s="679"/>
      <c r="Q70" s="208">
        <f>SUM(Q6:Q69)</f>
        <v>0</v>
      </c>
      <c r="S70" s="71"/>
      <c r="T70" s="71"/>
      <c r="U70" s="72"/>
      <c r="V70" s="66"/>
    </row>
    <row r="71" spans="1:29" ht="20.100000000000001" customHeight="1">
      <c r="A71" s="692" t="s">
        <v>16</v>
      </c>
      <c r="B71" s="693"/>
      <c r="C71" s="693"/>
      <c r="D71" s="693"/>
      <c r="E71" s="694"/>
      <c r="F71" s="686" t="s">
        <v>17</v>
      </c>
      <c r="G71" s="686"/>
      <c r="H71" s="686"/>
      <c r="I71" s="686"/>
      <c r="J71" s="686"/>
      <c r="K71" s="686"/>
      <c r="L71" s="686" t="s">
        <v>21</v>
      </c>
      <c r="M71" s="686"/>
      <c r="N71" s="686"/>
      <c r="O71" s="686"/>
      <c r="P71" s="686"/>
      <c r="Q71" s="686"/>
      <c r="V71" s="66"/>
    </row>
    <row r="72" spans="1:29" ht="20.100000000000001" customHeight="1">
      <c r="A72" s="690" t="str">
        <f>'FORMATO DIL'!B9</f>
        <v>DIEGOS</v>
      </c>
      <c r="B72" s="691"/>
      <c r="C72" s="691"/>
      <c r="D72" s="691"/>
      <c r="E72" s="691"/>
      <c r="F72" s="685"/>
      <c r="G72" s="685"/>
      <c r="H72" s="685"/>
      <c r="I72" s="685"/>
      <c r="J72" s="685"/>
      <c r="K72" s="685"/>
      <c r="L72" s="685"/>
      <c r="M72" s="685"/>
      <c r="N72" s="685"/>
      <c r="O72" s="685"/>
      <c r="P72" s="685"/>
      <c r="Q72" s="685"/>
      <c r="V72" s="66"/>
    </row>
    <row r="73" spans="1:29" ht="20.100000000000001" customHeight="1">
      <c r="A73" s="687" t="s">
        <v>247</v>
      </c>
      <c r="B73" s="688"/>
      <c r="C73" s="688"/>
      <c r="D73" s="688"/>
      <c r="E73" s="688"/>
      <c r="F73" s="688"/>
      <c r="G73" s="688"/>
      <c r="H73" s="688"/>
      <c r="I73" s="688"/>
      <c r="J73" s="688"/>
      <c r="K73" s="688"/>
      <c r="L73" s="688"/>
      <c r="M73" s="688"/>
      <c r="N73" s="688"/>
      <c r="O73" s="688"/>
      <c r="P73" s="688"/>
      <c r="Q73" s="689"/>
      <c r="V73" s="66"/>
    </row>
    <row r="74" spans="1:29" ht="20.100000000000001" customHeight="1">
      <c r="A74" s="695" t="str">
        <f>'FORMATO DIL'!B2</f>
        <v>C.JPC/SEXTO NTE/SCOOP</v>
      </c>
      <c r="B74" s="695"/>
      <c r="C74" s="695"/>
      <c r="D74" s="695"/>
      <c r="E74" s="695"/>
      <c r="F74" s="695"/>
      <c r="G74" s="695"/>
      <c r="H74" s="695"/>
      <c r="I74" s="695"/>
      <c r="J74" s="695"/>
      <c r="K74" s="695"/>
      <c r="L74" s="695"/>
      <c r="M74" s="695"/>
      <c r="N74" s="695"/>
      <c r="O74" s="695"/>
      <c r="P74" s="695"/>
      <c r="Q74" s="695"/>
      <c r="V74" s="66"/>
    </row>
    <row r="75" spans="1:29" ht="20.100000000000001" customHeight="1">
      <c r="A75" s="696" t="str">
        <f ca="1">'FORMATO DIL'!B3</f>
        <v>12:03:43</v>
      </c>
      <c r="B75" s="696"/>
      <c r="C75" s="696"/>
      <c r="D75" s="696"/>
      <c r="E75" s="696"/>
      <c r="F75" s="696"/>
      <c r="G75" s="696"/>
      <c r="H75" s="696"/>
      <c r="I75" s="696"/>
      <c r="J75" s="696"/>
      <c r="K75" s="696"/>
      <c r="L75" s="696"/>
      <c r="M75" s="696"/>
      <c r="N75" s="696"/>
      <c r="O75" s="696"/>
      <c r="P75" s="696"/>
      <c r="Q75" s="696"/>
      <c r="V75" s="66"/>
    </row>
    <row r="76" spans="1:29" ht="20.100000000000001" customHeight="1">
      <c r="A76" s="682" t="str">
        <f>'FORMATO DIL'!B4</f>
        <v>NA</v>
      </c>
      <c r="B76" s="683"/>
      <c r="C76" s="683"/>
      <c r="D76" s="683"/>
      <c r="E76" s="683"/>
      <c r="F76" s="683"/>
      <c r="G76" s="683"/>
      <c r="H76" s="683"/>
      <c r="I76" s="683"/>
      <c r="J76" s="683"/>
      <c r="K76" s="683"/>
      <c r="L76" s="683"/>
      <c r="M76" s="683"/>
      <c r="N76" s="683"/>
      <c r="O76" s="683"/>
      <c r="P76" s="683"/>
      <c r="Q76" s="684"/>
      <c r="V76" s="66"/>
    </row>
    <row r="77" spans="1:29" ht="20.100000000000001" customHeight="1">
      <c r="B77" s="212"/>
      <c r="V77" s="66"/>
    </row>
    <row r="78" spans="1:29" ht="20.100000000000001" customHeight="1">
      <c r="B78" s="210"/>
    </row>
    <row r="79" spans="1:29" ht="20.100000000000001" customHeight="1">
      <c r="F79" s="64"/>
    </row>
    <row r="80" spans="1:29" s="383" customFormat="1" ht="20.100000000000001" customHeight="1">
      <c r="A80" s="382"/>
      <c r="B80" s="382"/>
      <c r="C80" s="382"/>
      <c r="D80" s="382"/>
      <c r="E80" s="382"/>
      <c r="F80" s="382"/>
      <c r="G80" s="382"/>
      <c r="N80" s="384"/>
      <c r="P80" s="385"/>
      <c r="R80" s="382"/>
      <c r="S80" s="212"/>
      <c r="T80" s="212"/>
    </row>
    <row r="81" spans="1:20" s="383" customFormat="1" ht="20.100000000000001" customHeight="1">
      <c r="A81" s="386" t="str">
        <f>IF('FORMATO DIL'!$B$2="LOTE SCOOP",IF($F$70=0,"",$F$70),"")</f>
        <v/>
      </c>
      <c r="B81" s="387" t="str">
        <f>IF('FORMATO DIL'!$B$2="LOTE SCOOP",IF(H6=0,"",H6),"")</f>
        <v/>
      </c>
      <c r="C81" s="387" t="str">
        <f>IF('FORMATO DIL'!$B$2="LOTE SCOOP",IF(J6=0,"",J6),"")</f>
        <v/>
      </c>
      <c r="D81" s="387" t="str">
        <f>IF('FORMATO DIL'!$B$2="LOTE SCOOP",IF(O6=0,"",O6),"")</f>
        <v/>
      </c>
      <c r="E81" s="387" t="str">
        <f>IFERROR(IF('FORMATO DIL'!$B$2="LOTE SCOOP",IF(P6=0,"",P6),""),"")</f>
        <v/>
      </c>
      <c r="F81" s="387" t="str">
        <f>IF('FORMATO DIL'!$B$2="LOTE SCOOP",IF(Q6=0,"",Q6),"")</f>
        <v/>
      </c>
      <c r="G81" s="386" t="str">
        <f>IF('FORMATO DIL'!$B$2="LOTE SCOOP",B70,"")</f>
        <v/>
      </c>
      <c r="N81" s="384"/>
      <c r="P81" s="385"/>
      <c r="R81" s="382"/>
      <c r="S81" s="212"/>
      <c r="T81" s="212"/>
    </row>
    <row r="82" spans="1:20" s="383" customFormat="1" ht="20.100000000000001" customHeight="1">
      <c r="A82" s="386" t="str">
        <f t="shared" ref="A82:A87" si="7">IF(A81&gt;0,"","")</f>
        <v/>
      </c>
      <c r="B82" s="387" t="str">
        <f>IF('FORMATO DIL'!$B$2="LOTE SCOOP",IF(H7=0,"",H7),"")</f>
        <v/>
      </c>
      <c r="C82" s="387" t="str">
        <f>IF('FORMATO DIL'!$B$2="LOTE SCOOP",IF(J7=0,"",J7),"")</f>
        <v/>
      </c>
      <c r="D82" s="387" t="str">
        <f>IF('FORMATO DIL'!$B$2="LOTE SCOOP",IF(O7=0,"",O7),"")</f>
        <v/>
      </c>
      <c r="E82" s="387" t="str">
        <f>IFERROR(IF('FORMATO DIL'!$B$2="LOTE SCOOP",IF(P7=0,"",P7),""),"")</f>
        <v/>
      </c>
      <c r="F82" s="387" t="str">
        <f>IF('FORMATO DIL'!$B$2="LOTE SCOOP",IF(Q7=0,"",Q7),"")</f>
        <v/>
      </c>
      <c r="G82" s="386"/>
      <c r="N82" s="384"/>
      <c r="P82" s="385"/>
      <c r="R82" s="382"/>
      <c r="S82" s="212"/>
      <c r="T82" s="212"/>
    </row>
    <row r="83" spans="1:20" s="383" customFormat="1" ht="20.100000000000001" customHeight="1">
      <c r="A83" s="386" t="str">
        <f t="shared" si="7"/>
        <v/>
      </c>
      <c r="B83" s="387" t="str">
        <f>IF('FORMATO DIL'!$B$2="LOTE SCOOP",IF(H8=0,"",H8),"")</f>
        <v/>
      </c>
      <c r="C83" s="387" t="str">
        <f>IF('FORMATO DIL'!$B$2="LOTE SCOOP",IF(J8=0,"",J8),"")</f>
        <v/>
      </c>
      <c r="D83" s="387" t="str">
        <f>IF('FORMATO DIL'!$B$2="LOTE SCOOP",IF(O8=0,"",O8),"")</f>
        <v/>
      </c>
      <c r="E83" s="387" t="str">
        <f>IFERROR(IF('FORMATO DIL'!$B$2="LOTE SCOOP",IF(P8=0,"",P8),""),"")</f>
        <v/>
      </c>
      <c r="F83" s="387" t="str">
        <f>IF('FORMATO DIL'!$B$2="LOTE SCOOP",IF(Q8=0,"",Q8),"")</f>
        <v/>
      </c>
      <c r="G83" s="386"/>
      <c r="N83" s="384"/>
      <c r="P83" s="385"/>
      <c r="R83" s="382"/>
      <c r="S83" s="212"/>
      <c r="T83" s="212"/>
    </row>
    <row r="84" spans="1:20" s="383" customFormat="1" ht="20.100000000000001" customHeight="1">
      <c r="A84" s="386" t="str">
        <f t="shared" si="7"/>
        <v/>
      </c>
      <c r="B84" s="387" t="str">
        <f>IF('FORMATO DIL'!$B$2="LOTE SCOOP",IF(H9=0,"",H9),"")</f>
        <v/>
      </c>
      <c r="C84" s="387" t="str">
        <f>IF('FORMATO DIL'!$B$2="LOTE SCOOP",IF(J9=0,"",J9),"")</f>
        <v/>
      </c>
      <c r="D84" s="387" t="str">
        <f>IF('FORMATO DIL'!$B$2="LOTE SCOOP",IF(O9=0,"",O9),"")</f>
        <v/>
      </c>
      <c r="E84" s="387" t="str">
        <f>IFERROR(IF('FORMATO DIL'!$B$2="LOTE SCOOP",IF(P9=0,"",P9),""),"")</f>
        <v/>
      </c>
      <c r="F84" s="387" t="str">
        <f>IF('FORMATO DIL'!$B$2="LOTE SCOOP",IF(Q9=0,"",Q9),"")</f>
        <v/>
      </c>
      <c r="G84" s="386"/>
      <c r="N84" s="384"/>
      <c r="P84" s="385"/>
      <c r="R84" s="382"/>
      <c r="S84" s="212"/>
      <c r="T84" s="212"/>
    </row>
    <row r="85" spans="1:20" s="383" customFormat="1" ht="20.100000000000001" customHeight="1">
      <c r="A85" s="386" t="str">
        <f t="shared" si="7"/>
        <v/>
      </c>
      <c r="B85" s="387" t="str">
        <f>IF('FORMATO DIL'!$B$2="LOTE SCOOP",IF(H10=0,"",H10),"")</f>
        <v/>
      </c>
      <c r="C85" s="387" t="str">
        <f>IF('FORMATO DIL'!$B$2="LOTE SCOOP",IF(J10=0,"",J10),"")</f>
        <v/>
      </c>
      <c r="D85" s="387" t="str">
        <f>IF('FORMATO DIL'!$B$2="LOTE SCOOP",IF(O10=0,"",O10),"")</f>
        <v/>
      </c>
      <c r="E85" s="387" t="str">
        <f>IFERROR(IF('FORMATO DIL'!$B$2="LOTE SCOOP",IF(P10=0,"",P10),""),"")</f>
        <v/>
      </c>
      <c r="F85" s="387" t="str">
        <f>IF('FORMATO DIL'!$B$2="LOTE SCOOP",IF(Q10=0,"",Q10),"")</f>
        <v/>
      </c>
      <c r="G85" s="386"/>
      <c r="N85" s="384"/>
      <c r="P85" s="385"/>
      <c r="R85" s="382"/>
      <c r="S85" s="212"/>
      <c r="T85" s="212"/>
    </row>
    <row r="86" spans="1:20" s="383" customFormat="1" ht="20.100000000000001" customHeight="1">
      <c r="A86" s="386" t="str">
        <f t="shared" si="7"/>
        <v/>
      </c>
      <c r="B86" s="387" t="str">
        <f>IF('FORMATO DIL'!$B$2="LOTE SCOOP",IF(H11=0,"",H11),"")</f>
        <v/>
      </c>
      <c r="C86" s="387" t="str">
        <f>IF('FORMATO DIL'!$B$2="LOTE SCOOP",IF(J11=0,"",J11),"")</f>
        <v/>
      </c>
      <c r="D86" s="387" t="str">
        <f>IF('FORMATO DIL'!$B$2="LOTE SCOOP",IF(O11=0,"",O11),"")</f>
        <v/>
      </c>
      <c r="E86" s="387" t="str">
        <f>IFERROR(IF('FORMATO DIL'!$B$2="LOTE SCOOP",IF(P11=0,"",P11),""),"")</f>
        <v/>
      </c>
      <c r="F86" s="387" t="str">
        <f>IF('FORMATO DIL'!$B$2="LOTE SCOOP",IF(Q11=0,"",Q11),"")</f>
        <v/>
      </c>
      <c r="G86" s="386"/>
      <c r="N86" s="384"/>
      <c r="P86" s="385"/>
      <c r="R86" s="382"/>
      <c r="S86" s="212"/>
      <c r="T86" s="212"/>
    </row>
    <row r="87" spans="1:20" s="383" customFormat="1" ht="20.100000000000001" customHeight="1">
      <c r="A87" s="386" t="str">
        <f t="shared" si="7"/>
        <v/>
      </c>
      <c r="B87" s="387" t="str">
        <f>IF('FORMATO DIL'!$B$2="LOTE SCOOP",IF(H12=0,"",H12),"")</f>
        <v/>
      </c>
      <c r="C87" s="387" t="str">
        <f>IF('FORMATO DIL'!$B$2="LOTE SCOOP",IF(J12=0,"",J12),"")</f>
        <v/>
      </c>
      <c r="D87" s="387" t="str">
        <f>IF('FORMATO DIL'!$B$2="LOTE SCOOP",IF(O12=0,"",O12),"")</f>
        <v/>
      </c>
      <c r="E87" s="387" t="str">
        <f>IFERROR(IF('FORMATO DIL'!$B$2="LOTE SCOOP",IF(P12=0,"",P12),""),"")</f>
        <v/>
      </c>
      <c r="F87" s="387" t="str">
        <f>IF('FORMATO DIL'!$B$2="LOTE SCOOP",IF(Q12=0,"",Q12),"")</f>
        <v/>
      </c>
      <c r="G87" s="386"/>
      <c r="N87" s="384"/>
      <c r="P87" s="385"/>
      <c r="R87" s="382"/>
      <c r="S87" s="212"/>
      <c r="T87" s="212"/>
    </row>
    <row r="88" spans="1:20" s="383" customFormat="1" ht="20.100000000000001" customHeight="1">
      <c r="A88" s="386"/>
      <c r="B88" s="387"/>
      <c r="C88" s="387"/>
      <c r="D88" s="387"/>
      <c r="E88" s="387"/>
      <c r="F88" s="387"/>
      <c r="G88" s="388"/>
      <c r="N88" s="384"/>
      <c r="P88" s="385"/>
      <c r="R88" s="382"/>
      <c r="S88" s="212"/>
      <c r="T88" s="212"/>
    </row>
    <row r="89" spans="1:20" s="383" customFormat="1" ht="20.100000000000001" customHeight="1">
      <c r="A89" s="386"/>
      <c r="B89" s="387"/>
      <c r="C89" s="387"/>
      <c r="D89" s="387"/>
      <c r="E89" s="387"/>
      <c r="F89" s="387"/>
      <c r="G89" s="388"/>
      <c r="N89" s="384"/>
      <c r="P89" s="385"/>
      <c r="R89" s="382"/>
      <c r="S89" s="212"/>
      <c r="T89" s="212"/>
    </row>
    <row r="90" spans="1:20" ht="20.100000000000001" customHeight="1">
      <c r="A90" s="73"/>
      <c r="B90" s="211"/>
      <c r="C90" s="211"/>
      <c r="D90" s="211"/>
      <c r="E90" s="211"/>
      <c r="F90" s="211"/>
    </row>
    <row r="91" spans="1:20" ht="20.100000000000001" customHeight="1">
      <c r="A91" s="73"/>
      <c r="B91" s="211"/>
      <c r="C91" s="211"/>
      <c r="D91" s="211"/>
      <c r="E91" s="211"/>
      <c r="F91" s="211"/>
    </row>
    <row r="92" spans="1:20" ht="20.100000000000001" customHeight="1">
      <c r="A92" s="73"/>
      <c r="B92" s="211"/>
      <c r="C92" s="211"/>
      <c r="D92" s="211"/>
      <c r="E92" s="211"/>
      <c r="F92" s="211"/>
    </row>
    <row r="93" spans="1:20" ht="20.100000000000001" customHeight="1">
      <c r="A93" s="73"/>
      <c r="B93" s="211"/>
      <c r="C93" s="211"/>
      <c r="D93" s="211"/>
      <c r="E93" s="211"/>
      <c r="F93" s="211"/>
    </row>
    <row r="94" spans="1:20" ht="20.100000000000001" customHeight="1">
      <c r="A94" s="73"/>
      <c r="B94" s="211"/>
      <c r="C94" s="211"/>
      <c r="D94" s="211"/>
      <c r="E94" s="211"/>
      <c r="F94" s="211"/>
    </row>
    <row r="95" spans="1:20" ht="20.100000000000001" customHeight="1">
      <c r="A95" s="73"/>
      <c r="B95" s="211"/>
      <c r="C95" s="211"/>
      <c r="D95" s="211"/>
      <c r="E95" s="211"/>
      <c r="F95" s="211"/>
    </row>
    <row r="96" spans="1:20" ht="20.100000000000001" customHeight="1">
      <c r="A96" s="73"/>
      <c r="B96" s="211"/>
      <c r="C96" s="211"/>
      <c r="D96" s="211"/>
      <c r="E96" s="211"/>
      <c r="F96" s="211"/>
    </row>
    <row r="97" spans="1:6" ht="20.100000000000001" customHeight="1">
      <c r="A97" s="73"/>
      <c r="B97" s="211"/>
      <c r="C97" s="211"/>
      <c r="D97" s="211"/>
      <c r="E97" s="211"/>
      <c r="F97" s="211"/>
    </row>
    <row r="98" spans="1:6" ht="20.100000000000001" customHeight="1">
      <c r="A98" s="73"/>
      <c r="B98" s="211"/>
      <c r="C98" s="211"/>
      <c r="D98" s="211"/>
      <c r="E98" s="211"/>
      <c r="F98" s="211"/>
    </row>
    <row r="99" spans="1:6" ht="20.100000000000001" customHeight="1">
      <c r="A99" s="73"/>
      <c r="B99" s="211"/>
      <c r="C99" s="211"/>
      <c r="D99" s="211"/>
      <c r="E99" s="211"/>
      <c r="F99" s="211"/>
    </row>
    <row r="100" spans="1:6" ht="20.100000000000001" customHeight="1">
      <c r="A100" s="73"/>
      <c r="B100" s="211"/>
      <c r="C100" s="211"/>
      <c r="D100" s="211"/>
      <c r="E100" s="211"/>
      <c r="F100" s="211"/>
    </row>
    <row r="101" spans="1:6" ht="20.100000000000001" customHeight="1">
      <c r="A101" s="73"/>
      <c r="B101" s="211"/>
      <c r="C101" s="211"/>
      <c r="D101" s="211"/>
      <c r="E101" s="211"/>
      <c r="F101" s="211"/>
    </row>
    <row r="102" spans="1:6" ht="20.100000000000001" customHeight="1">
      <c r="A102" s="73"/>
      <c r="B102" s="211"/>
      <c r="C102" s="211"/>
      <c r="D102" s="211"/>
      <c r="E102" s="211"/>
      <c r="F102" s="211"/>
    </row>
    <row r="103" spans="1:6" ht="20.100000000000001" customHeight="1">
      <c r="A103" s="73"/>
      <c r="B103" s="211"/>
      <c r="C103" s="211"/>
      <c r="D103" s="211"/>
      <c r="E103" s="211"/>
      <c r="F103" s="211"/>
    </row>
    <row r="104" spans="1:6" ht="20.100000000000001" customHeight="1">
      <c r="A104" s="73"/>
      <c r="B104" s="211"/>
      <c r="C104" s="211"/>
      <c r="D104" s="211"/>
      <c r="E104" s="211"/>
      <c r="F104" s="211"/>
    </row>
    <row r="105" spans="1:6" ht="20.100000000000001" customHeight="1">
      <c r="A105" s="73"/>
      <c r="B105" s="211"/>
      <c r="C105" s="211"/>
      <c r="D105" s="211"/>
      <c r="E105" s="211"/>
      <c r="F105" s="211"/>
    </row>
    <row r="106" spans="1:6" ht="20.100000000000001" customHeight="1">
      <c r="A106" s="73"/>
      <c r="B106" s="211"/>
      <c r="C106" s="211"/>
      <c r="D106" s="211"/>
      <c r="E106" s="211"/>
      <c r="F106" s="211"/>
    </row>
    <row r="107" spans="1:6" ht="20.100000000000001" customHeight="1">
      <c r="A107" s="73"/>
      <c r="B107" s="211"/>
      <c r="C107" s="211"/>
      <c r="D107" s="211"/>
      <c r="E107" s="211"/>
      <c r="F107" s="211"/>
    </row>
    <row r="108" spans="1:6" ht="20.100000000000001" customHeight="1">
      <c r="A108" s="73"/>
      <c r="B108" s="211"/>
      <c r="C108" s="211"/>
      <c r="D108" s="211"/>
      <c r="E108" s="211"/>
      <c r="F108" s="211"/>
    </row>
    <row r="109" spans="1:6" ht="20.100000000000001" customHeight="1">
      <c r="A109" s="73"/>
      <c r="B109" s="211"/>
      <c r="C109" s="211"/>
      <c r="D109" s="211"/>
      <c r="E109" s="211"/>
      <c r="F109" s="211"/>
    </row>
    <row r="110" spans="1:6" ht="20.100000000000001" customHeight="1">
      <c r="A110" s="73"/>
      <c r="B110" s="211"/>
      <c r="C110" s="211"/>
      <c r="D110" s="211"/>
      <c r="E110" s="211"/>
      <c r="F110" s="211"/>
    </row>
    <row r="111" spans="1:6" ht="20.100000000000001" customHeight="1">
      <c r="A111" s="73"/>
      <c r="B111" s="211"/>
      <c r="C111" s="211"/>
      <c r="D111" s="211"/>
      <c r="E111" s="211"/>
      <c r="F111" s="211"/>
    </row>
    <row r="112" spans="1:6" ht="20.100000000000001" customHeight="1">
      <c r="A112" s="73"/>
      <c r="B112" s="211"/>
      <c r="C112" s="211"/>
      <c r="D112" s="211"/>
      <c r="E112" s="211"/>
      <c r="F112" s="211"/>
    </row>
    <row r="113" spans="1:6" ht="20.100000000000001" customHeight="1">
      <c r="A113" s="73"/>
      <c r="B113" s="211"/>
      <c r="C113" s="211"/>
      <c r="D113" s="211"/>
      <c r="E113" s="211"/>
      <c r="F113" s="211"/>
    </row>
    <row r="114" spans="1:6" ht="20.100000000000001" customHeight="1">
      <c r="A114" s="73"/>
      <c r="B114" s="211"/>
      <c r="C114" s="211"/>
      <c r="D114" s="211"/>
      <c r="E114" s="211"/>
      <c r="F114" s="211"/>
    </row>
    <row r="115" spans="1:6" ht="20.100000000000001" customHeight="1">
      <c r="A115" s="73"/>
      <c r="B115" s="211"/>
      <c r="C115" s="211"/>
      <c r="D115" s="211"/>
      <c r="E115" s="211"/>
      <c r="F115" s="211"/>
    </row>
    <row r="116" spans="1:6" ht="20.100000000000001" customHeight="1">
      <c r="A116" s="73"/>
      <c r="B116" s="211"/>
      <c r="C116" s="211"/>
      <c r="D116" s="211"/>
      <c r="E116" s="211"/>
      <c r="F116" s="211"/>
    </row>
    <row r="117" spans="1:6" ht="20.100000000000001" customHeight="1">
      <c r="A117" s="73"/>
      <c r="B117" s="211"/>
      <c r="C117" s="211"/>
      <c r="D117" s="211"/>
      <c r="E117" s="211"/>
      <c r="F117" s="211"/>
    </row>
    <row r="118" spans="1:6" ht="20.100000000000001" customHeight="1">
      <c r="A118" s="73"/>
      <c r="B118" s="211"/>
      <c r="C118" s="211"/>
      <c r="D118" s="211"/>
      <c r="E118" s="211"/>
      <c r="F118" s="211"/>
    </row>
    <row r="119" spans="1:6" ht="20.100000000000001" customHeight="1">
      <c r="A119" s="73"/>
      <c r="B119" s="211"/>
      <c r="C119" s="211"/>
      <c r="D119" s="211"/>
      <c r="E119" s="211"/>
      <c r="F119" s="211"/>
    </row>
    <row r="120" spans="1:6" ht="20.100000000000001" customHeight="1">
      <c r="A120" s="73"/>
      <c r="B120" s="211"/>
      <c r="C120" s="211"/>
      <c r="D120" s="211"/>
      <c r="E120" s="211"/>
      <c r="F120" s="211"/>
    </row>
    <row r="121" spans="1:6" ht="20.100000000000001" customHeight="1">
      <c r="A121" s="73"/>
      <c r="B121" s="211"/>
      <c r="C121" s="211"/>
      <c r="D121" s="211"/>
      <c r="E121" s="211"/>
      <c r="F121" s="211"/>
    </row>
    <row r="122" spans="1:6" ht="20.100000000000001" customHeight="1">
      <c r="A122" s="73"/>
      <c r="B122" s="211"/>
      <c r="C122" s="211"/>
      <c r="D122" s="211"/>
      <c r="E122" s="211"/>
      <c r="F122" s="211"/>
    </row>
    <row r="123" spans="1:6" ht="20.100000000000001" customHeight="1">
      <c r="A123" s="73"/>
      <c r="B123" s="211"/>
      <c r="C123" s="211"/>
      <c r="D123" s="211"/>
      <c r="E123" s="211"/>
      <c r="F123" s="211"/>
    </row>
    <row r="124" spans="1:6" ht="20.100000000000001" customHeight="1">
      <c r="A124" s="73"/>
      <c r="B124" s="211"/>
      <c r="C124" s="211"/>
      <c r="D124" s="211"/>
      <c r="E124" s="211"/>
      <c r="F124" s="211"/>
    </row>
    <row r="125" spans="1:6" ht="20.100000000000001" customHeight="1">
      <c r="A125" s="73"/>
      <c r="B125" s="211"/>
      <c r="C125" s="211"/>
      <c r="D125" s="211"/>
      <c r="E125" s="211"/>
      <c r="F125" s="211"/>
    </row>
    <row r="126" spans="1:6" ht="20.100000000000001" customHeight="1">
      <c r="A126" s="73"/>
      <c r="B126" s="211"/>
      <c r="C126" s="211"/>
      <c r="D126" s="211"/>
      <c r="E126" s="211"/>
      <c r="F126" s="211"/>
    </row>
    <row r="127" spans="1:6" ht="20.100000000000001" customHeight="1">
      <c r="A127" s="73"/>
      <c r="B127" s="211"/>
      <c r="C127" s="211"/>
      <c r="D127" s="211"/>
      <c r="E127" s="211"/>
      <c r="F127" s="211"/>
    </row>
    <row r="128" spans="1:6" ht="20.100000000000001" customHeight="1">
      <c r="A128" s="73"/>
      <c r="B128" s="211"/>
      <c r="C128" s="211"/>
      <c r="D128" s="211"/>
      <c r="E128" s="211"/>
      <c r="F128" s="211"/>
    </row>
    <row r="129" spans="1:6" ht="20.100000000000001" customHeight="1">
      <c r="A129" s="73"/>
      <c r="B129" s="211"/>
      <c r="C129" s="211"/>
      <c r="D129" s="211"/>
      <c r="E129" s="211"/>
      <c r="F129" s="211"/>
    </row>
    <row r="130" spans="1:6" ht="20.100000000000001" customHeight="1">
      <c r="A130" s="73"/>
      <c r="B130" s="211"/>
      <c r="C130" s="211"/>
      <c r="D130" s="211"/>
      <c r="E130" s="211"/>
      <c r="F130" s="211"/>
    </row>
    <row r="131" spans="1:6" ht="20.100000000000001" customHeight="1">
      <c r="A131" s="73"/>
      <c r="B131" s="211"/>
      <c r="C131" s="211"/>
      <c r="D131" s="211"/>
      <c r="E131" s="211"/>
      <c r="F131" s="211"/>
    </row>
    <row r="132" spans="1:6" ht="20.100000000000001" customHeight="1">
      <c r="A132" s="73"/>
      <c r="B132" s="211"/>
      <c r="C132" s="211"/>
      <c r="D132" s="211"/>
      <c r="E132" s="211"/>
      <c r="F132" s="211"/>
    </row>
    <row r="133" spans="1:6" ht="20.100000000000001" customHeight="1">
      <c r="A133" s="73"/>
      <c r="B133" s="211"/>
      <c r="C133" s="211"/>
      <c r="D133" s="211"/>
      <c r="E133" s="211"/>
      <c r="F133" s="211"/>
    </row>
    <row r="134" spans="1:6" ht="20.100000000000001" customHeight="1">
      <c r="A134" s="73"/>
      <c r="B134" s="211"/>
      <c r="C134" s="211"/>
      <c r="D134" s="211"/>
      <c r="E134" s="211"/>
      <c r="F134" s="211"/>
    </row>
    <row r="135" spans="1:6" ht="20.100000000000001" customHeight="1">
      <c r="A135" s="73"/>
      <c r="B135" s="211"/>
      <c r="C135" s="211"/>
      <c r="D135" s="211"/>
      <c r="E135" s="211"/>
      <c r="F135" s="211"/>
    </row>
    <row r="136" spans="1:6" ht="20.100000000000001" customHeight="1">
      <c r="A136" s="73"/>
      <c r="B136" s="211"/>
      <c r="C136" s="211"/>
      <c r="D136" s="211"/>
      <c r="E136" s="211"/>
      <c r="F136" s="211"/>
    </row>
    <row r="137" spans="1:6" ht="20.100000000000001" customHeight="1">
      <c r="A137" s="73"/>
      <c r="B137" s="211"/>
      <c r="C137" s="211"/>
      <c r="D137" s="211"/>
      <c r="E137" s="211"/>
      <c r="F137" s="211"/>
    </row>
    <row r="138" spans="1:6" ht="20.100000000000001" customHeight="1">
      <c r="A138" s="73"/>
      <c r="B138" s="211"/>
      <c r="C138" s="211"/>
      <c r="D138" s="211"/>
      <c r="E138" s="211"/>
      <c r="F138" s="211"/>
    </row>
    <row r="139" spans="1:6" ht="20.100000000000001" customHeight="1">
      <c r="A139" s="73"/>
      <c r="B139" s="211"/>
      <c r="C139" s="211"/>
      <c r="D139" s="211"/>
      <c r="E139" s="211"/>
      <c r="F139" s="211"/>
    </row>
    <row r="140" spans="1:6" ht="20.100000000000001" customHeight="1">
      <c r="A140" s="73"/>
      <c r="B140" s="211"/>
      <c r="C140" s="211"/>
      <c r="D140" s="211"/>
      <c r="E140" s="211"/>
      <c r="F140" s="211"/>
    </row>
    <row r="141" spans="1:6" ht="20.100000000000001" customHeight="1">
      <c r="A141" s="73"/>
      <c r="B141" s="211"/>
      <c r="C141" s="211"/>
      <c r="D141" s="211"/>
      <c r="E141" s="211"/>
      <c r="F141" s="211"/>
    </row>
    <row r="142" spans="1:6" ht="20.100000000000001" customHeight="1">
      <c r="A142" s="73"/>
      <c r="B142" s="211"/>
      <c r="C142" s="211"/>
      <c r="D142" s="211"/>
      <c r="E142" s="211"/>
      <c r="F142" s="211"/>
    </row>
    <row r="143" spans="1:6" ht="20.100000000000001" customHeight="1">
      <c r="A143" s="73"/>
      <c r="B143" s="211"/>
      <c r="C143" s="211"/>
      <c r="D143" s="211"/>
      <c r="E143" s="211"/>
      <c r="F143" s="211"/>
    </row>
    <row r="144" spans="1:6" ht="20.100000000000001" customHeight="1">
      <c r="A144" s="73"/>
      <c r="B144" s="211"/>
      <c r="C144" s="211"/>
      <c r="D144" s="211"/>
      <c r="E144" s="211"/>
      <c r="F144" s="211"/>
    </row>
  </sheetData>
  <sheetProtection deleteColumns="0" deleteRows="0"/>
  <protectedRanges>
    <protectedRange sqref="A6:A69" name="Rango1_2_2"/>
  </protectedRanges>
  <mergeCells count="44">
    <mergeCell ref="AC4:AC5"/>
    <mergeCell ref="A1:B1"/>
    <mergeCell ref="F1:G1"/>
    <mergeCell ref="U4:U5"/>
    <mergeCell ref="J4:J5"/>
    <mergeCell ref="H4:H5"/>
    <mergeCell ref="F4:F5"/>
    <mergeCell ref="G4:G5"/>
    <mergeCell ref="O2:Q3"/>
    <mergeCell ref="P4:P5"/>
    <mergeCell ref="N4:N5"/>
    <mergeCell ref="K1:M1"/>
    <mergeCell ref="A4:A5"/>
    <mergeCell ref="A2:B3"/>
    <mergeCell ref="C2:N3"/>
    <mergeCell ref="C4:C5"/>
    <mergeCell ref="B4:B5"/>
    <mergeCell ref="I70:J70"/>
    <mergeCell ref="A76:Q76"/>
    <mergeCell ref="F72:K72"/>
    <mergeCell ref="F71:K71"/>
    <mergeCell ref="A73:Q73"/>
    <mergeCell ref="A72:E72"/>
    <mergeCell ref="L72:Q72"/>
    <mergeCell ref="A71:E71"/>
    <mergeCell ref="L71:Q71"/>
    <mergeCell ref="A74:Q74"/>
    <mergeCell ref="A75:Q75"/>
    <mergeCell ref="E4:E5"/>
    <mergeCell ref="D4:D5"/>
    <mergeCell ref="W4:W5"/>
    <mergeCell ref="C70:E70"/>
    <mergeCell ref="F70:H70"/>
    <mergeCell ref="S4:S5"/>
    <mergeCell ref="L4:L5"/>
    <mergeCell ref="Q4:Q5"/>
    <mergeCell ref="O4:O5"/>
    <mergeCell ref="M4:M5"/>
    <mergeCell ref="R4:R5"/>
    <mergeCell ref="T4:T5"/>
    <mergeCell ref="K4:K5"/>
    <mergeCell ref="I4:I5"/>
    <mergeCell ref="L70:M70"/>
    <mergeCell ref="O70:P70"/>
  </mergeCells>
  <conditionalFormatting sqref="A72:E72">
    <cfRule type="cellIs" dxfId="158" priority="7687" operator="equal">
      <formula>""""""</formula>
    </cfRule>
    <cfRule type="cellIs" dxfId="157" priority="7688" operator="equal">
      <formula>""""""</formula>
    </cfRule>
  </conditionalFormatting>
  <conditionalFormatting sqref="U4 U17:U1048576">
    <cfRule type="cellIs" dxfId="156" priority="7686" operator="equal">
      <formula>"SI"</formula>
    </cfRule>
  </conditionalFormatting>
  <conditionalFormatting sqref="H4 H70:H1048576">
    <cfRule type="cellIs" dxfId="155" priority="7678" operator="equal">
      <formula>"AMIKACINA"</formula>
    </cfRule>
    <cfRule type="cellIs" dxfId="154" priority="7683" operator="equal">
      <formula>"PENICILINA CRISTALINA"</formula>
    </cfRule>
  </conditionalFormatting>
  <conditionalFormatting sqref="U6:U16">
    <cfRule type="cellIs" dxfId="153" priority="7674" operator="equal">
      <formula>"SI"</formula>
    </cfRule>
  </conditionalFormatting>
  <conditionalFormatting sqref="R2:R3 R70:R1048576">
    <cfRule type="cellIs" dxfId="152" priority="7661" operator="equal">
      <formula>"DIL 1/1"</formula>
    </cfRule>
  </conditionalFormatting>
  <conditionalFormatting sqref="S69">
    <cfRule type="expression" dxfId="151" priority="7620">
      <formula>ISODD($V69)</formula>
    </cfRule>
  </conditionalFormatting>
  <conditionalFormatting sqref="S69">
    <cfRule type="expression" dxfId="150" priority="7612">
      <formula>$W69=1</formula>
    </cfRule>
  </conditionalFormatting>
  <conditionalFormatting sqref="R69">
    <cfRule type="cellIs" dxfId="149" priority="7610" operator="equal">
      <formula>"DIL 1/1"</formula>
    </cfRule>
  </conditionalFormatting>
  <conditionalFormatting sqref="P69">
    <cfRule type="expression" dxfId="148" priority="7609">
      <formula>P69&lt;TODAY()</formula>
    </cfRule>
  </conditionalFormatting>
  <conditionalFormatting sqref="A69 N69:R69 C69:G69 I69 K69">
    <cfRule type="expression" dxfId="147" priority="7611">
      <formula>ISODD($V69)</formula>
    </cfRule>
  </conditionalFormatting>
  <conditionalFormatting sqref="M69">
    <cfRule type="cellIs" dxfId="146" priority="7606" operator="equal">
      <formula>0</formula>
    </cfRule>
    <cfRule type="cellIs" dxfId="145" priority="7607" operator="lessThan">
      <formula>0.1</formula>
    </cfRule>
  </conditionalFormatting>
  <conditionalFormatting sqref="L69:M69">
    <cfRule type="expression" dxfId="144" priority="7608">
      <formula>ISODD($V69)</formula>
    </cfRule>
  </conditionalFormatting>
  <conditionalFormatting sqref="A69 C69:G69 I69 K69:R69">
    <cfRule type="expression" dxfId="143" priority="7605">
      <formula>$W69=1</formula>
    </cfRule>
  </conditionalFormatting>
  <conditionalFormatting sqref="W4">
    <cfRule type="cellIs" dxfId="142" priority="7604" operator="equal">
      <formula>"SI"</formula>
    </cfRule>
  </conditionalFormatting>
  <conditionalFormatting sqref="B69">
    <cfRule type="expression" dxfId="141" priority="6939">
      <formula>ISODD($V69)</formula>
    </cfRule>
  </conditionalFormatting>
  <conditionalFormatting sqref="B69">
    <cfRule type="expression" dxfId="140" priority="6938">
      <formula>$W69=1</formula>
    </cfRule>
  </conditionalFormatting>
  <conditionalFormatting sqref="B69">
    <cfRule type="expression" dxfId="139" priority="6937">
      <formula>$AB69=FALSE</formula>
    </cfRule>
  </conditionalFormatting>
  <conditionalFormatting sqref="H69">
    <cfRule type="expression" dxfId="138" priority="6936">
      <formula>ISODD($V69)</formula>
    </cfRule>
  </conditionalFormatting>
  <conditionalFormatting sqref="H69">
    <cfRule type="expression" dxfId="137" priority="6935">
      <formula>$W69=1</formula>
    </cfRule>
  </conditionalFormatting>
  <conditionalFormatting sqref="H69">
    <cfRule type="expression" dxfId="136" priority="6934">
      <formula>$AB69=FALSE</formula>
    </cfRule>
  </conditionalFormatting>
  <conditionalFormatting sqref="J69">
    <cfRule type="expression" dxfId="135" priority="6933">
      <formula>ISODD($V69)</formula>
    </cfRule>
  </conditionalFormatting>
  <conditionalFormatting sqref="J69">
    <cfRule type="expression" dxfId="134" priority="6932">
      <formula>$W69=1</formula>
    </cfRule>
  </conditionalFormatting>
  <conditionalFormatting sqref="J69">
    <cfRule type="expression" dxfId="133" priority="6931">
      <formula>$AB69=FALSE</formula>
    </cfRule>
  </conditionalFormatting>
  <conditionalFormatting sqref="S6:S68">
    <cfRule type="expression" dxfId="132" priority="18">
      <formula>ISODD($V6)</formula>
    </cfRule>
  </conditionalFormatting>
  <conditionalFormatting sqref="S6:S68">
    <cfRule type="expression" dxfId="131" priority="17">
      <formula>$W6=1</formula>
    </cfRule>
  </conditionalFormatting>
  <conditionalFormatting sqref="R6:R68">
    <cfRule type="cellIs" dxfId="130" priority="15" operator="equal">
      <formula>"DIL 1/1"</formula>
    </cfRule>
  </conditionalFormatting>
  <conditionalFormatting sqref="P6:P68">
    <cfRule type="expression" dxfId="129" priority="14">
      <formula>P6&lt;TODAY()</formula>
    </cfRule>
  </conditionalFormatting>
  <conditionalFormatting sqref="A6:A68 N6:R68 C6:G68 I6:I68 K6:K68">
    <cfRule type="expression" dxfId="128" priority="16">
      <formula>ISODD($V6)</formula>
    </cfRule>
  </conditionalFormatting>
  <conditionalFormatting sqref="M6:M68">
    <cfRule type="cellIs" dxfId="127" priority="11" operator="equal">
      <formula>0</formula>
    </cfRule>
    <cfRule type="cellIs" dxfId="126" priority="12" operator="lessThan">
      <formula>0.1</formula>
    </cfRule>
  </conditionalFormatting>
  <conditionalFormatting sqref="L6:M68">
    <cfRule type="expression" dxfId="125" priority="13">
      <formula>ISODD($V6)</formula>
    </cfRule>
  </conditionalFormatting>
  <conditionalFormatting sqref="A6:A68 C6:G68 I6:I68 K6:R68">
    <cfRule type="expression" dxfId="124" priority="10">
      <formula>$W6=1</formula>
    </cfRule>
  </conditionalFormatting>
  <conditionalFormatting sqref="B6:B68">
    <cfRule type="expression" dxfId="123" priority="9">
      <formula>ISODD($V6)</formula>
    </cfRule>
  </conditionalFormatting>
  <conditionalFormatting sqref="B6:B68">
    <cfRule type="expression" dxfId="122" priority="8">
      <formula>$W6=1</formula>
    </cfRule>
  </conditionalFormatting>
  <conditionalFormatting sqref="B6:B68">
    <cfRule type="expression" dxfId="121" priority="7">
      <formula>$AB6=FALSE</formula>
    </cfRule>
  </conditionalFormatting>
  <conditionalFormatting sqref="H6:H68">
    <cfRule type="expression" dxfId="120" priority="6">
      <formula>ISODD($V6)</formula>
    </cfRule>
  </conditionalFormatting>
  <conditionalFormatting sqref="H6:H68">
    <cfRule type="expression" dxfId="119" priority="5">
      <formula>$W6=1</formula>
    </cfRule>
  </conditionalFormatting>
  <conditionalFormatting sqref="H6:H68">
    <cfRule type="expression" dxfId="118" priority="4">
      <formula>$AB6=FALSE</formula>
    </cfRule>
  </conditionalFormatting>
  <conditionalFormatting sqref="J6:J68">
    <cfRule type="expression" dxfId="117" priority="3">
      <formula>ISODD($V6)</formula>
    </cfRule>
  </conditionalFormatting>
  <conditionalFormatting sqref="J6:J68">
    <cfRule type="expression" dxfId="116" priority="2">
      <formula>$W6=1</formula>
    </cfRule>
  </conditionalFormatting>
  <conditionalFormatting sqref="J6:J68">
    <cfRule type="expression" dxfId="115" priority="1">
      <formula>$AB6=FALSE</formula>
    </cfRule>
  </conditionalFormatting>
  <printOptions horizontalCentered="1" verticalCentered="1"/>
  <pageMargins left="0.31496062992125984" right="0.19685039370078741" top="0.35433070866141736" bottom="0.35433070866141736" header="0" footer="0"/>
  <pageSetup scale="3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LOTES!$L$3:$L$23</xm:f>
          </x14:formula1>
          <xm:sqref>S6:S69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pageSetUpPr fitToPage="1"/>
  </sheetPr>
  <dimension ref="A1:P95"/>
  <sheetViews>
    <sheetView view="pageBreakPreview" zoomScale="90" zoomScaleSheetLayoutView="90" workbookViewId="0">
      <selection activeCell="A2" sqref="A2:B2"/>
    </sheetView>
  </sheetViews>
  <sheetFormatPr defaultColWidth="15.7109375" defaultRowHeight="15"/>
  <cols>
    <col min="1" max="1" width="18.28515625" style="64" customWidth="1"/>
    <col min="2" max="2" width="15.5703125" style="64" customWidth="1"/>
    <col min="3" max="3" width="27.85546875" style="64" customWidth="1"/>
    <col min="4" max="4" width="23.5703125" style="64" bestFit="1" customWidth="1"/>
    <col min="5" max="5" width="16.140625" style="64" customWidth="1"/>
    <col min="6" max="6" width="8" style="64" customWidth="1"/>
    <col min="7" max="7" width="15.42578125" style="64" customWidth="1"/>
    <col min="8" max="8" width="11.28515625" style="120" customWidth="1"/>
    <col min="9" max="9" width="17.5703125" style="64" customWidth="1"/>
    <col min="10" max="10" width="13.42578125" style="64" customWidth="1"/>
    <col min="11" max="11" width="10.85546875" style="64" bestFit="1" customWidth="1"/>
    <col min="12" max="249" width="11.42578125" style="64" customWidth="1"/>
    <col min="250" max="250" width="18.28515625" style="64" customWidth="1"/>
    <col min="251" max="251" width="15.5703125" style="64" customWidth="1"/>
    <col min="252" max="252" width="28.140625" style="64" customWidth="1"/>
    <col min="253" max="253" width="15.7109375" style="64"/>
    <col min="254" max="254" width="18.28515625" style="64" customWidth="1"/>
    <col min="255" max="255" width="15.5703125" style="64" customWidth="1"/>
    <col min="256" max="256" width="28.140625" style="64" customWidth="1"/>
    <col min="257" max="257" width="23.5703125" style="64" bestFit="1" customWidth="1"/>
    <col min="258" max="258" width="16.140625" style="64" customWidth="1"/>
    <col min="259" max="259" width="10.28515625" style="64" bestFit="1" customWidth="1"/>
    <col min="260" max="260" width="12" style="64" bestFit="1" customWidth="1"/>
    <col min="261" max="261" width="10.140625" style="64" customWidth="1"/>
    <col min="262" max="262" width="18.28515625" style="64" bestFit="1" customWidth="1"/>
    <col min="263" max="263" width="8.85546875" style="64" customWidth="1"/>
    <col min="264" max="264" width="5.85546875" style="64" customWidth="1"/>
    <col min="265" max="505" width="11.42578125" style="64" customWidth="1"/>
    <col min="506" max="506" width="18.28515625" style="64" customWidth="1"/>
    <col min="507" max="507" width="15.5703125" style="64" customWidth="1"/>
    <col min="508" max="508" width="28.140625" style="64" customWidth="1"/>
    <col min="509" max="509" width="15.7109375" style="64"/>
    <col min="510" max="510" width="18.28515625" style="64" customWidth="1"/>
    <col min="511" max="511" width="15.5703125" style="64" customWidth="1"/>
    <col min="512" max="512" width="28.140625" style="64" customWidth="1"/>
    <col min="513" max="513" width="23.5703125" style="64" bestFit="1" customWidth="1"/>
    <col min="514" max="514" width="16.140625" style="64" customWidth="1"/>
    <col min="515" max="515" width="10.28515625" style="64" bestFit="1" customWidth="1"/>
    <col min="516" max="516" width="12" style="64" bestFit="1" customWidth="1"/>
    <col min="517" max="517" width="10.140625" style="64" customWidth="1"/>
    <col min="518" max="518" width="18.28515625" style="64" bestFit="1" customWidth="1"/>
    <col min="519" max="519" width="8.85546875" style="64" customWidth="1"/>
    <col min="520" max="520" width="5.85546875" style="64" customWidth="1"/>
    <col min="521" max="761" width="11.42578125" style="64" customWidth="1"/>
    <col min="762" max="762" width="18.28515625" style="64" customWidth="1"/>
    <col min="763" max="763" width="15.5703125" style="64" customWidth="1"/>
    <col min="764" max="764" width="28.140625" style="64" customWidth="1"/>
    <col min="765" max="765" width="15.7109375" style="64"/>
    <col min="766" max="766" width="18.28515625" style="64" customWidth="1"/>
    <col min="767" max="767" width="15.5703125" style="64" customWidth="1"/>
    <col min="768" max="768" width="28.140625" style="64" customWidth="1"/>
    <col min="769" max="769" width="23.5703125" style="64" bestFit="1" customWidth="1"/>
    <col min="770" max="770" width="16.140625" style="64" customWidth="1"/>
    <col min="771" max="771" width="10.28515625" style="64" bestFit="1" customWidth="1"/>
    <col min="772" max="772" width="12" style="64" bestFit="1" customWidth="1"/>
    <col min="773" max="773" width="10.140625" style="64" customWidth="1"/>
    <col min="774" max="774" width="18.28515625" style="64" bestFit="1" customWidth="1"/>
    <col min="775" max="775" width="8.85546875" style="64" customWidth="1"/>
    <col min="776" max="776" width="5.85546875" style="64" customWidth="1"/>
    <col min="777" max="1017" width="11.42578125" style="64" customWidth="1"/>
    <col min="1018" max="1018" width="18.28515625" style="64" customWidth="1"/>
    <col min="1019" max="1019" width="15.5703125" style="64" customWidth="1"/>
    <col min="1020" max="1020" width="28.140625" style="64" customWidth="1"/>
    <col min="1021" max="1021" width="15.7109375" style="64"/>
    <col min="1022" max="1022" width="18.28515625" style="64" customWidth="1"/>
    <col min="1023" max="1023" width="15.5703125" style="64" customWidth="1"/>
    <col min="1024" max="1024" width="28.140625" style="64" customWidth="1"/>
    <col min="1025" max="1025" width="23.5703125" style="64" bestFit="1" customWidth="1"/>
    <col min="1026" max="1026" width="16.140625" style="64" customWidth="1"/>
    <col min="1027" max="1027" width="10.28515625" style="64" bestFit="1" customWidth="1"/>
    <col min="1028" max="1028" width="12" style="64" bestFit="1" customWidth="1"/>
    <col min="1029" max="1029" width="10.140625" style="64" customWidth="1"/>
    <col min="1030" max="1030" width="18.28515625" style="64" bestFit="1" customWidth="1"/>
    <col min="1031" max="1031" width="8.85546875" style="64" customWidth="1"/>
    <col min="1032" max="1032" width="5.85546875" style="64" customWidth="1"/>
    <col min="1033" max="1273" width="11.42578125" style="64" customWidth="1"/>
    <col min="1274" max="1274" width="18.28515625" style="64" customWidth="1"/>
    <col min="1275" max="1275" width="15.5703125" style="64" customWidth="1"/>
    <col min="1276" max="1276" width="28.140625" style="64" customWidth="1"/>
    <col min="1277" max="1277" width="15.7109375" style="64"/>
    <col min="1278" max="1278" width="18.28515625" style="64" customWidth="1"/>
    <col min="1279" max="1279" width="15.5703125" style="64" customWidth="1"/>
    <col min="1280" max="1280" width="28.140625" style="64" customWidth="1"/>
    <col min="1281" max="1281" width="23.5703125" style="64" bestFit="1" customWidth="1"/>
    <col min="1282" max="1282" width="16.140625" style="64" customWidth="1"/>
    <col min="1283" max="1283" width="10.28515625" style="64" bestFit="1" customWidth="1"/>
    <col min="1284" max="1284" width="12" style="64" bestFit="1" customWidth="1"/>
    <col min="1285" max="1285" width="10.140625" style="64" customWidth="1"/>
    <col min="1286" max="1286" width="18.28515625" style="64" bestFit="1" customWidth="1"/>
    <col min="1287" max="1287" width="8.85546875" style="64" customWidth="1"/>
    <col min="1288" max="1288" width="5.85546875" style="64" customWidth="1"/>
    <col min="1289" max="1529" width="11.42578125" style="64" customWidth="1"/>
    <col min="1530" max="1530" width="18.28515625" style="64" customWidth="1"/>
    <col min="1531" max="1531" width="15.5703125" style="64" customWidth="1"/>
    <col min="1532" max="1532" width="28.140625" style="64" customWidth="1"/>
    <col min="1533" max="1533" width="15.7109375" style="64"/>
    <col min="1534" max="1534" width="18.28515625" style="64" customWidth="1"/>
    <col min="1535" max="1535" width="15.5703125" style="64" customWidth="1"/>
    <col min="1536" max="1536" width="28.140625" style="64" customWidth="1"/>
    <col min="1537" max="1537" width="23.5703125" style="64" bestFit="1" customWidth="1"/>
    <col min="1538" max="1538" width="16.140625" style="64" customWidth="1"/>
    <col min="1539" max="1539" width="10.28515625" style="64" bestFit="1" customWidth="1"/>
    <col min="1540" max="1540" width="12" style="64" bestFit="1" customWidth="1"/>
    <col min="1541" max="1541" width="10.140625" style="64" customWidth="1"/>
    <col min="1542" max="1542" width="18.28515625" style="64" bestFit="1" customWidth="1"/>
    <col min="1543" max="1543" width="8.85546875" style="64" customWidth="1"/>
    <col min="1544" max="1544" width="5.85546875" style="64" customWidth="1"/>
    <col min="1545" max="1785" width="11.42578125" style="64" customWidth="1"/>
    <col min="1786" max="1786" width="18.28515625" style="64" customWidth="1"/>
    <col min="1787" max="1787" width="15.5703125" style="64" customWidth="1"/>
    <col min="1788" max="1788" width="28.140625" style="64" customWidth="1"/>
    <col min="1789" max="1789" width="15.7109375" style="64"/>
    <col min="1790" max="1790" width="18.28515625" style="64" customWidth="1"/>
    <col min="1791" max="1791" width="15.5703125" style="64" customWidth="1"/>
    <col min="1792" max="1792" width="28.140625" style="64" customWidth="1"/>
    <col min="1793" max="1793" width="23.5703125" style="64" bestFit="1" customWidth="1"/>
    <col min="1794" max="1794" width="16.140625" style="64" customWidth="1"/>
    <col min="1795" max="1795" width="10.28515625" style="64" bestFit="1" customWidth="1"/>
    <col min="1796" max="1796" width="12" style="64" bestFit="1" customWidth="1"/>
    <col min="1797" max="1797" width="10.140625" style="64" customWidth="1"/>
    <col min="1798" max="1798" width="18.28515625" style="64" bestFit="1" customWidth="1"/>
    <col min="1799" max="1799" width="8.85546875" style="64" customWidth="1"/>
    <col min="1800" max="1800" width="5.85546875" style="64" customWidth="1"/>
    <col min="1801" max="2041" width="11.42578125" style="64" customWidth="1"/>
    <col min="2042" max="2042" width="18.28515625" style="64" customWidth="1"/>
    <col min="2043" max="2043" width="15.5703125" style="64" customWidth="1"/>
    <col min="2044" max="2044" width="28.140625" style="64" customWidth="1"/>
    <col min="2045" max="2045" width="15.7109375" style="64"/>
    <col min="2046" max="2046" width="18.28515625" style="64" customWidth="1"/>
    <col min="2047" max="2047" width="15.5703125" style="64" customWidth="1"/>
    <col min="2048" max="2048" width="28.140625" style="64" customWidth="1"/>
    <col min="2049" max="2049" width="23.5703125" style="64" bestFit="1" customWidth="1"/>
    <col min="2050" max="2050" width="16.140625" style="64" customWidth="1"/>
    <col min="2051" max="2051" width="10.28515625" style="64" bestFit="1" customWidth="1"/>
    <col min="2052" max="2052" width="12" style="64" bestFit="1" customWidth="1"/>
    <col min="2053" max="2053" width="10.140625" style="64" customWidth="1"/>
    <col min="2054" max="2054" width="18.28515625" style="64" bestFit="1" customWidth="1"/>
    <col min="2055" max="2055" width="8.85546875" style="64" customWidth="1"/>
    <col min="2056" max="2056" width="5.85546875" style="64" customWidth="1"/>
    <col min="2057" max="2297" width="11.42578125" style="64" customWidth="1"/>
    <col min="2298" max="2298" width="18.28515625" style="64" customWidth="1"/>
    <col min="2299" max="2299" width="15.5703125" style="64" customWidth="1"/>
    <col min="2300" max="2300" width="28.140625" style="64" customWidth="1"/>
    <col min="2301" max="2301" width="15.7109375" style="64"/>
    <col min="2302" max="2302" width="18.28515625" style="64" customWidth="1"/>
    <col min="2303" max="2303" width="15.5703125" style="64" customWidth="1"/>
    <col min="2304" max="2304" width="28.140625" style="64" customWidth="1"/>
    <col min="2305" max="2305" width="23.5703125" style="64" bestFit="1" customWidth="1"/>
    <col min="2306" max="2306" width="16.140625" style="64" customWidth="1"/>
    <col min="2307" max="2307" width="10.28515625" style="64" bestFit="1" customWidth="1"/>
    <col min="2308" max="2308" width="12" style="64" bestFit="1" customWidth="1"/>
    <col min="2309" max="2309" width="10.140625" style="64" customWidth="1"/>
    <col min="2310" max="2310" width="18.28515625" style="64" bestFit="1" customWidth="1"/>
    <col min="2311" max="2311" width="8.85546875" style="64" customWidth="1"/>
    <col min="2312" max="2312" width="5.85546875" style="64" customWidth="1"/>
    <col min="2313" max="2553" width="11.42578125" style="64" customWidth="1"/>
    <col min="2554" max="2554" width="18.28515625" style="64" customWidth="1"/>
    <col min="2555" max="2555" width="15.5703125" style="64" customWidth="1"/>
    <col min="2556" max="2556" width="28.140625" style="64" customWidth="1"/>
    <col min="2557" max="2557" width="15.7109375" style="64"/>
    <col min="2558" max="2558" width="18.28515625" style="64" customWidth="1"/>
    <col min="2559" max="2559" width="15.5703125" style="64" customWidth="1"/>
    <col min="2560" max="2560" width="28.140625" style="64" customWidth="1"/>
    <col min="2561" max="2561" width="23.5703125" style="64" bestFit="1" customWidth="1"/>
    <col min="2562" max="2562" width="16.140625" style="64" customWidth="1"/>
    <col min="2563" max="2563" width="10.28515625" style="64" bestFit="1" customWidth="1"/>
    <col min="2564" max="2564" width="12" style="64" bestFit="1" customWidth="1"/>
    <col min="2565" max="2565" width="10.140625" style="64" customWidth="1"/>
    <col min="2566" max="2566" width="18.28515625" style="64" bestFit="1" customWidth="1"/>
    <col min="2567" max="2567" width="8.85546875" style="64" customWidth="1"/>
    <col min="2568" max="2568" width="5.85546875" style="64" customWidth="1"/>
    <col min="2569" max="2809" width="11.42578125" style="64" customWidth="1"/>
    <col min="2810" max="2810" width="18.28515625" style="64" customWidth="1"/>
    <col min="2811" max="2811" width="15.5703125" style="64" customWidth="1"/>
    <col min="2812" max="2812" width="28.140625" style="64" customWidth="1"/>
    <col min="2813" max="2813" width="15.7109375" style="64"/>
    <col min="2814" max="2814" width="18.28515625" style="64" customWidth="1"/>
    <col min="2815" max="2815" width="15.5703125" style="64" customWidth="1"/>
    <col min="2816" max="2816" width="28.140625" style="64" customWidth="1"/>
    <col min="2817" max="2817" width="23.5703125" style="64" bestFit="1" customWidth="1"/>
    <col min="2818" max="2818" width="16.140625" style="64" customWidth="1"/>
    <col min="2819" max="2819" width="10.28515625" style="64" bestFit="1" customWidth="1"/>
    <col min="2820" max="2820" width="12" style="64" bestFit="1" customWidth="1"/>
    <col min="2821" max="2821" width="10.140625" style="64" customWidth="1"/>
    <col min="2822" max="2822" width="18.28515625" style="64" bestFit="1" customWidth="1"/>
    <col min="2823" max="2823" width="8.85546875" style="64" customWidth="1"/>
    <col min="2824" max="2824" width="5.85546875" style="64" customWidth="1"/>
    <col min="2825" max="3065" width="11.42578125" style="64" customWidth="1"/>
    <col min="3066" max="3066" width="18.28515625" style="64" customWidth="1"/>
    <col min="3067" max="3067" width="15.5703125" style="64" customWidth="1"/>
    <col min="3068" max="3068" width="28.140625" style="64" customWidth="1"/>
    <col min="3069" max="3069" width="15.7109375" style="64"/>
    <col min="3070" max="3070" width="18.28515625" style="64" customWidth="1"/>
    <col min="3071" max="3071" width="15.5703125" style="64" customWidth="1"/>
    <col min="3072" max="3072" width="28.140625" style="64" customWidth="1"/>
    <col min="3073" max="3073" width="23.5703125" style="64" bestFit="1" customWidth="1"/>
    <col min="3074" max="3074" width="16.140625" style="64" customWidth="1"/>
    <col min="3075" max="3075" width="10.28515625" style="64" bestFit="1" customWidth="1"/>
    <col min="3076" max="3076" width="12" style="64" bestFit="1" customWidth="1"/>
    <col min="3077" max="3077" width="10.140625" style="64" customWidth="1"/>
    <col min="3078" max="3078" width="18.28515625" style="64" bestFit="1" customWidth="1"/>
    <col min="3079" max="3079" width="8.85546875" style="64" customWidth="1"/>
    <col min="3080" max="3080" width="5.85546875" style="64" customWidth="1"/>
    <col min="3081" max="3321" width="11.42578125" style="64" customWidth="1"/>
    <col min="3322" max="3322" width="18.28515625" style="64" customWidth="1"/>
    <col min="3323" max="3323" width="15.5703125" style="64" customWidth="1"/>
    <col min="3324" max="3324" width="28.140625" style="64" customWidth="1"/>
    <col min="3325" max="3325" width="15.7109375" style="64"/>
    <col min="3326" max="3326" width="18.28515625" style="64" customWidth="1"/>
    <col min="3327" max="3327" width="15.5703125" style="64" customWidth="1"/>
    <col min="3328" max="3328" width="28.140625" style="64" customWidth="1"/>
    <col min="3329" max="3329" width="23.5703125" style="64" bestFit="1" customWidth="1"/>
    <col min="3330" max="3330" width="16.140625" style="64" customWidth="1"/>
    <col min="3331" max="3331" width="10.28515625" style="64" bestFit="1" customWidth="1"/>
    <col min="3332" max="3332" width="12" style="64" bestFit="1" customWidth="1"/>
    <col min="3333" max="3333" width="10.140625" style="64" customWidth="1"/>
    <col min="3334" max="3334" width="18.28515625" style="64" bestFit="1" customWidth="1"/>
    <col min="3335" max="3335" width="8.85546875" style="64" customWidth="1"/>
    <col min="3336" max="3336" width="5.85546875" style="64" customWidth="1"/>
    <col min="3337" max="3577" width="11.42578125" style="64" customWidth="1"/>
    <col min="3578" max="3578" width="18.28515625" style="64" customWidth="1"/>
    <col min="3579" max="3579" width="15.5703125" style="64" customWidth="1"/>
    <col min="3580" max="3580" width="28.140625" style="64" customWidth="1"/>
    <col min="3581" max="3581" width="15.7109375" style="64"/>
    <col min="3582" max="3582" width="18.28515625" style="64" customWidth="1"/>
    <col min="3583" max="3583" width="15.5703125" style="64" customWidth="1"/>
    <col min="3584" max="3584" width="28.140625" style="64" customWidth="1"/>
    <col min="3585" max="3585" width="23.5703125" style="64" bestFit="1" customWidth="1"/>
    <col min="3586" max="3586" width="16.140625" style="64" customWidth="1"/>
    <col min="3587" max="3587" width="10.28515625" style="64" bestFit="1" customWidth="1"/>
    <col min="3588" max="3588" width="12" style="64" bestFit="1" customWidth="1"/>
    <col min="3589" max="3589" width="10.140625" style="64" customWidth="1"/>
    <col min="3590" max="3590" width="18.28515625" style="64" bestFit="1" customWidth="1"/>
    <col min="3591" max="3591" width="8.85546875" style="64" customWidth="1"/>
    <col min="3592" max="3592" width="5.85546875" style="64" customWidth="1"/>
    <col min="3593" max="3833" width="11.42578125" style="64" customWidth="1"/>
    <col min="3834" max="3834" width="18.28515625" style="64" customWidth="1"/>
    <col min="3835" max="3835" width="15.5703125" style="64" customWidth="1"/>
    <col min="3836" max="3836" width="28.140625" style="64" customWidth="1"/>
    <col min="3837" max="3837" width="15.7109375" style="64"/>
    <col min="3838" max="3838" width="18.28515625" style="64" customWidth="1"/>
    <col min="3839" max="3839" width="15.5703125" style="64" customWidth="1"/>
    <col min="3840" max="3840" width="28.140625" style="64" customWidth="1"/>
    <col min="3841" max="3841" width="23.5703125" style="64" bestFit="1" customWidth="1"/>
    <col min="3842" max="3842" width="16.140625" style="64" customWidth="1"/>
    <col min="3843" max="3843" width="10.28515625" style="64" bestFit="1" customWidth="1"/>
    <col min="3844" max="3844" width="12" style="64" bestFit="1" customWidth="1"/>
    <col min="3845" max="3845" width="10.140625" style="64" customWidth="1"/>
    <col min="3846" max="3846" width="18.28515625" style="64" bestFit="1" customWidth="1"/>
    <col min="3847" max="3847" width="8.85546875" style="64" customWidth="1"/>
    <col min="3848" max="3848" width="5.85546875" style="64" customWidth="1"/>
    <col min="3849" max="4089" width="11.42578125" style="64" customWidth="1"/>
    <col min="4090" max="4090" width="18.28515625" style="64" customWidth="1"/>
    <col min="4091" max="4091" width="15.5703125" style="64" customWidth="1"/>
    <col min="4092" max="4092" width="28.140625" style="64" customWidth="1"/>
    <col min="4093" max="4093" width="15.7109375" style="64"/>
    <col min="4094" max="4094" width="18.28515625" style="64" customWidth="1"/>
    <col min="4095" max="4095" width="15.5703125" style="64" customWidth="1"/>
    <col min="4096" max="4096" width="28.140625" style="64" customWidth="1"/>
    <col min="4097" max="4097" width="23.5703125" style="64" bestFit="1" customWidth="1"/>
    <col min="4098" max="4098" width="16.140625" style="64" customWidth="1"/>
    <col min="4099" max="4099" width="10.28515625" style="64" bestFit="1" customWidth="1"/>
    <col min="4100" max="4100" width="12" style="64" bestFit="1" customWidth="1"/>
    <col min="4101" max="4101" width="10.140625" style="64" customWidth="1"/>
    <col min="4102" max="4102" width="18.28515625" style="64" bestFit="1" customWidth="1"/>
    <col min="4103" max="4103" width="8.85546875" style="64" customWidth="1"/>
    <col min="4104" max="4104" width="5.85546875" style="64" customWidth="1"/>
    <col min="4105" max="4345" width="11.42578125" style="64" customWidth="1"/>
    <col min="4346" max="4346" width="18.28515625" style="64" customWidth="1"/>
    <col min="4347" max="4347" width="15.5703125" style="64" customWidth="1"/>
    <col min="4348" max="4348" width="28.140625" style="64" customWidth="1"/>
    <col min="4349" max="4349" width="15.7109375" style="64"/>
    <col min="4350" max="4350" width="18.28515625" style="64" customWidth="1"/>
    <col min="4351" max="4351" width="15.5703125" style="64" customWidth="1"/>
    <col min="4352" max="4352" width="28.140625" style="64" customWidth="1"/>
    <col min="4353" max="4353" width="23.5703125" style="64" bestFit="1" customWidth="1"/>
    <col min="4354" max="4354" width="16.140625" style="64" customWidth="1"/>
    <col min="4355" max="4355" width="10.28515625" style="64" bestFit="1" customWidth="1"/>
    <col min="4356" max="4356" width="12" style="64" bestFit="1" customWidth="1"/>
    <col min="4357" max="4357" width="10.140625" style="64" customWidth="1"/>
    <col min="4358" max="4358" width="18.28515625" style="64" bestFit="1" customWidth="1"/>
    <col min="4359" max="4359" width="8.85546875" style="64" customWidth="1"/>
    <col min="4360" max="4360" width="5.85546875" style="64" customWidth="1"/>
    <col min="4361" max="4601" width="11.42578125" style="64" customWidth="1"/>
    <col min="4602" max="4602" width="18.28515625" style="64" customWidth="1"/>
    <col min="4603" max="4603" width="15.5703125" style="64" customWidth="1"/>
    <col min="4604" max="4604" width="28.140625" style="64" customWidth="1"/>
    <col min="4605" max="4605" width="15.7109375" style="64"/>
    <col min="4606" max="4606" width="18.28515625" style="64" customWidth="1"/>
    <col min="4607" max="4607" width="15.5703125" style="64" customWidth="1"/>
    <col min="4608" max="4608" width="28.140625" style="64" customWidth="1"/>
    <col min="4609" max="4609" width="23.5703125" style="64" bestFit="1" customWidth="1"/>
    <col min="4610" max="4610" width="16.140625" style="64" customWidth="1"/>
    <col min="4611" max="4611" width="10.28515625" style="64" bestFit="1" customWidth="1"/>
    <col min="4612" max="4612" width="12" style="64" bestFit="1" customWidth="1"/>
    <col min="4613" max="4613" width="10.140625" style="64" customWidth="1"/>
    <col min="4614" max="4614" width="18.28515625" style="64" bestFit="1" customWidth="1"/>
    <col min="4615" max="4615" width="8.85546875" style="64" customWidth="1"/>
    <col min="4616" max="4616" width="5.85546875" style="64" customWidth="1"/>
    <col min="4617" max="4857" width="11.42578125" style="64" customWidth="1"/>
    <col min="4858" max="4858" width="18.28515625" style="64" customWidth="1"/>
    <col min="4859" max="4859" width="15.5703125" style="64" customWidth="1"/>
    <col min="4860" max="4860" width="28.140625" style="64" customWidth="1"/>
    <col min="4861" max="4861" width="15.7109375" style="64"/>
    <col min="4862" max="4862" width="18.28515625" style="64" customWidth="1"/>
    <col min="4863" max="4863" width="15.5703125" style="64" customWidth="1"/>
    <col min="4864" max="4864" width="28.140625" style="64" customWidth="1"/>
    <col min="4865" max="4865" width="23.5703125" style="64" bestFit="1" customWidth="1"/>
    <col min="4866" max="4866" width="16.140625" style="64" customWidth="1"/>
    <col min="4867" max="4867" width="10.28515625" style="64" bestFit="1" customWidth="1"/>
    <col min="4868" max="4868" width="12" style="64" bestFit="1" customWidth="1"/>
    <col min="4869" max="4869" width="10.140625" style="64" customWidth="1"/>
    <col min="4870" max="4870" width="18.28515625" style="64" bestFit="1" customWidth="1"/>
    <col min="4871" max="4871" width="8.85546875" style="64" customWidth="1"/>
    <col min="4872" max="4872" width="5.85546875" style="64" customWidth="1"/>
    <col min="4873" max="5113" width="11.42578125" style="64" customWidth="1"/>
    <col min="5114" max="5114" width="18.28515625" style="64" customWidth="1"/>
    <col min="5115" max="5115" width="15.5703125" style="64" customWidth="1"/>
    <col min="5116" max="5116" width="28.140625" style="64" customWidth="1"/>
    <col min="5117" max="5117" width="15.7109375" style="64"/>
    <col min="5118" max="5118" width="18.28515625" style="64" customWidth="1"/>
    <col min="5119" max="5119" width="15.5703125" style="64" customWidth="1"/>
    <col min="5120" max="5120" width="28.140625" style="64" customWidth="1"/>
    <col min="5121" max="5121" width="23.5703125" style="64" bestFit="1" customWidth="1"/>
    <col min="5122" max="5122" width="16.140625" style="64" customWidth="1"/>
    <col min="5123" max="5123" width="10.28515625" style="64" bestFit="1" customWidth="1"/>
    <col min="5124" max="5124" width="12" style="64" bestFit="1" customWidth="1"/>
    <col min="5125" max="5125" width="10.140625" style="64" customWidth="1"/>
    <col min="5126" max="5126" width="18.28515625" style="64" bestFit="1" customWidth="1"/>
    <col min="5127" max="5127" width="8.85546875" style="64" customWidth="1"/>
    <col min="5128" max="5128" width="5.85546875" style="64" customWidth="1"/>
    <col min="5129" max="5369" width="11.42578125" style="64" customWidth="1"/>
    <col min="5370" max="5370" width="18.28515625" style="64" customWidth="1"/>
    <col min="5371" max="5371" width="15.5703125" style="64" customWidth="1"/>
    <col min="5372" max="5372" width="28.140625" style="64" customWidth="1"/>
    <col min="5373" max="5373" width="15.7109375" style="64"/>
    <col min="5374" max="5374" width="18.28515625" style="64" customWidth="1"/>
    <col min="5375" max="5375" width="15.5703125" style="64" customWidth="1"/>
    <col min="5376" max="5376" width="28.140625" style="64" customWidth="1"/>
    <col min="5377" max="5377" width="23.5703125" style="64" bestFit="1" customWidth="1"/>
    <col min="5378" max="5378" width="16.140625" style="64" customWidth="1"/>
    <col min="5379" max="5379" width="10.28515625" style="64" bestFit="1" customWidth="1"/>
    <col min="5380" max="5380" width="12" style="64" bestFit="1" customWidth="1"/>
    <col min="5381" max="5381" width="10.140625" style="64" customWidth="1"/>
    <col min="5382" max="5382" width="18.28515625" style="64" bestFit="1" customWidth="1"/>
    <col min="5383" max="5383" width="8.85546875" style="64" customWidth="1"/>
    <col min="5384" max="5384" width="5.85546875" style="64" customWidth="1"/>
    <col min="5385" max="5625" width="11.42578125" style="64" customWidth="1"/>
    <col min="5626" max="5626" width="18.28515625" style="64" customWidth="1"/>
    <col min="5627" max="5627" width="15.5703125" style="64" customWidth="1"/>
    <col min="5628" max="5628" width="28.140625" style="64" customWidth="1"/>
    <col min="5629" max="5629" width="15.7109375" style="64"/>
    <col min="5630" max="5630" width="18.28515625" style="64" customWidth="1"/>
    <col min="5631" max="5631" width="15.5703125" style="64" customWidth="1"/>
    <col min="5632" max="5632" width="28.140625" style="64" customWidth="1"/>
    <col min="5633" max="5633" width="23.5703125" style="64" bestFit="1" customWidth="1"/>
    <col min="5634" max="5634" width="16.140625" style="64" customWidth="1"/>
    <col min="5635" max="5635" width="10.28515625" style="64" bestFit="1" customWidth="1"/>
    <col min="5636" max="5636" width="12" style="64" bestFit="1" customWidth="1"/>
    <col min="5637" max="5637" width="10.140625" style="64" customWidth="1"/>
    <col min="5638" max="5638" width="18.28515625" style="64" bestFit="1" customWidth="1"/>
    <col min="5639" max="5639" width="8.85546875" style="64" customWidth="1"/>
    <col min="5640" max="5640" width="5.85546875" style="64" customWidth="1"/>
    <col min="5641" max="5881" width="11.42578125" style="64" customWidth="1"/>
    <col min="5882" max="5882" width="18.28515625" style="64" customWidth="1"/>
    <col min="5883" max="5883" width="15.5703125" style="64" customWidth="1"/>
    <col min="5884" max="5884" width="28.140625" style="64" customWidth="1"/>
    <col min="5885" max="5885" width="15.7109375" style="64"/>
    <col min="5886" max="5886" width="18.28515625" style="64" customWidth="1"/>
    <col min="5887" max="5887" width="15.5703125" style="64" customWidth="1"/>
    <col min="5888" max="5888" width="28.140625" style="64" customWidth="1"/>
    <col min="5889" max="5889" width="23.5703125" style="64" bestFit="1" customWidth="1"/>
    <col min="5890" max="5890" width="16.140625" style="64" customWidth="1"/>
    <col min="5891" max="5891" width="10.28515625" style="64" bestFit="1" customWidth="1"/>
    <col min="5892" max="5892" width="12" style="64" bestFit="1" customWidth="1"/>
    <col min="5893" max="5893" width="10.140625" style="64" customWidth="1"/>
    <col min="5894" max="5894" width="18.28515625" style="64" bestFit="1" customWidth="1"/>
    <col min="5895" max="5895" width="8.85546875" style="64" customWidth="1"/>
    <col min="5896" max="5896" width="5.85546875" style="64" customWidth="1"/>
    <col min="5897" max="6137" width="11.42578125" style="64" customWidth="1"/>
    <col min="6138" max="6138" width="18.28515625" style="64" customWidth="1"/>
    <col min="6139" max="6139" width="15.5703125" style="64" customWidth="1"/>
    <col min="6140" max="6140" width="28.140625" style="64" customWidth="1"/>
    <col min="6141" max="6141" width="15.7109375" style="64"/>
    <col min="6142" max="6142" width="18.28515625" style="64" customWidth="1"/>
    <col min="6143" max="6143" width="15.5703125" style="64" customWidth="1"/>
    <col min="6144" max="6144" width="28.140625" style="64" customWidth="1"/>
    <col min="6145" max="6145" width="23.5703125" style="64" bestFit="1" customWidth="1"/>
    <col min="6146" max="6146" width="16.140625" style="64" customWidth="1"/>
    <col min="6147" max="6147" width="10.28515625" style="64" bestFit="1" customWidth="1"/>
    <col min="6148" max="6148" width="12" style="64" bestFit="1" customWidth="1"/>
    <col min="6149" max="6149" width="10.140625" style="64" customWidth="1"/>
    <col min="6150" max="6150" width="18.28515625" style="64" bestFit="1" customWidth="1"/>
    <col min="6151" max="6151" width="8.85546875" style="64" customWidth="1"/>
    <col min="6152" max="6152" width="5.85546875" style="64" customWidth="1"/>
    <col min="6153" max="6393" width="11.42578125" style="64" customWidth="1"/>
    <col min="6394" max="6394" width="18.28515625" style="64" customWidth="1"/>
    <col min="6395" max="6395" width="15.5703125" style="64" customWidth="1"/>
    <col min="6396" max="6396" width="28.140625" style="64" customWidth="1"/>
    <col min="6397" max="6397" width="15.7109375" style="64"/>
    <col min="6398" max="6398" width="18.28515625" style="64" customWidth="1"/>
    <col min="6399" max="6399" width="15.5703125" style="64" customWidth="1"/>
    <col min="6400" max="6400" width="28.140625" style="64" customWidth="1"/>
    <col min="6401" max="6401" width="23.5703125" style="64" bestFit="1" customWidth="1"/>
    <col min="6402" max="6402" width="16.140625" style="64" customWidth="1"/>
    <col min="6403" max="6403" width="10.28515625" style="64" bestFit="1" customWidth="1"/>
    <col min="6404" max="6404" width="12" style="64" bestFit="1" customWidth="1"/>
    <col min="6405" max="6405" width="10.140625" style="64" customWidth="1"/>
    <col min="6406" max="6406" width="18.28515625" style="64" bestFit="1" customWidth="1"/>
    <col min="6407" max="6407" width="8.85546875" style="64" customWidth="1"/>
    <col min="6408" max="6408" width="5.85546875" style="64" customWidth="1"/>
    <col min="6409" max="6649" width="11.42578125" style="64" customWidth="1"/>
    <col min="6650" max="6650" width="18.28515625" style="64" customWidth="1"/>
    <col min="6651" max="6651" width="15.5703125" style="64" customWidth="1"/>
    <col min="6652" max="6652" width="28.140625" style="64" customWidth="1"/>
    <col min="6653" max="6653" width="15.7109375" style="64"/>
    <col min="6654" max="6654" width="18.28515625" style="64" customWidth="1"/>
    <col min="6655" max="6655" width="15.5703125" style="64" customWidth="1"/>
    <col min="6656" max="6656" width="28.140625" style="64" customWidth="1"/>
    <col min="6657" max="6657" width="23.5703125" style="64" bestFit="1" customWidth="1"/>
    <col min="6658" max="6658" width="16.140625" style="64" customWidth="1"/>
    <col min="6659" max="6659" width="10.28515625" style="64" bestFit="1" customWidth="1"/>
    <col min="6660" max="6660" width="12" style="64" bestFit="1" customWidth="1"/>
    <col min="6661" max="6661" width="10.140625" style="64" customWidth="1"/>
    <col min="6662" max="6662" width="18.28515625" style="64" bestFit="1" customWidth="1"/>
    <col min="6663" max="6663" width="8.85546875" style="64" customWidth="1"/>
    <col min="6664" max="6664" width="5.85546875" style="64" customWidth="1"/>
    <col min="6665" max="6905" width="11.42578125" style="64" customWidth="1"/>
    <col min="6906" max="6906" width="18.28515625" style="64" customWidth="1"/>
    <col min="6907" max="6907" width="15.5703125" style="64" customWidth="1"/>
    <col min="6908" max="6908" width="28.140625" style="64" customWidth="1"/>
    <col min="6909" max="6909" width="15.7109375" style="64"/>
    <col min="6910" max="6910" width="18.28515625" style="64" customWidth="1"/>
    <col min="6911" max="6911" width="15.5703125" style="64" customWidth="1"/>
    <col min="6912" max="6912" width="28.140625" style="64" customWidth="1"/>
    <col min="6913" max="6913" width="23.5703125" style="64" bestFit="1" customWidth="1"/>
    <col min="6914" max="6914" width="16.140625" style="64" customWidth="1"/>
    <col min="6915" max="6915" width="10.28515625" style="64" bestFit="1" customWidth="1"/>
    <col min="6916" max="6916" width="12" style="64" bestFit="1" customWidth="1"/>
    <col min="6917" max="6917" width="10.140625" style="64" customWidth="1"/>
    <col min="6918" max="6918" width="18.28515625" style="64" bestFit="1" customWidth="1"/>
    <col min="6919" max="6919" width="8.85546875" style="64" customWidth="1"/>
    <col min="6920" max="6920" width="5.85546875" style="64" customWidth="1"/>
    <col min="6921" max="7161" width="11.42578125" style="64" customWidth="1"/>
    <col min="7162" max="7162" width="18.28515625" style="64" customWidth="1"/>
    <col min="7163" max="7163" width="15.5703125" style="64" customWidth="1"/>
    <col min="7164" max="7164" width="28.140625" style="64" customWidth="1"/>
    <col min="7165" max="7165" width="15.7109375" style="64"/>
    <col min="7166" max="7166" width="18.28515625" style="64" customWidth="1"/>
    <col min="7167" max="7167" width="15.5703125" style="64" customWidth="1"/>
    <col min="7168" max="7168" width="28.140625" style="64" customWidth="1"/>
    <col min="7169" max="7169" width="23.5703125" style="64" bestFit="1" customWidth="1"/>
    <col min="7170" max="7170" width="16.140625" style="64" customWidth="1"/>
    <col min="7171" max="7171" width="10.28515625" style="64" bestFit="1" customWidth="1"/>
    <col min="7172" max="7172" width="12" style="64" bestFit="1" customWidth="1"/>
    <col min="7173" max="7173" width="10.140625" style="64" customWidth="1"/>
    <col min="7174" max="7174" width="18.28515625" style="64" bestFit="1" customWidth="1"/>
    <col min="7175" max="7175" width="8.85546875" style="64" customWidth="1"/>
    <col min="7176" max="7176" width="5.85546875" style="64" customWidth="1"/>
    <col min="7177" max="7417" width="11.42578125" style="64" customWidth="1"/>
    <col min="7418" max="7418" width="18.28515625" style="64" customWidth="1"/>
    <col min="7419" max="7419" width="15.5703125" style="64" customWidth="1"/>
    <col min="7420" max="7420" width="28.140625" style="64" customWidth="1"/>
    <col min="7421" max="7421" width="15.7109375" style="64"/>
    <col min="7422" max="7422" width="18.28515625" style="64" customWidth="1"/>
    <col min="7423" max="7423" width="15.5703125" style="64" customWidth="1"/>
    <col min="7424" max="7424" width="28.140625" style="64" customWidth="1"/>
    <col min="7425" max="7425" width="23.5703125" style="64" bestFit="1" customWidth="1"/>
    <col min="7426" max="7426" width="16.140625" style="64" customWidth="1"/>
    <col min="7427" max="7427" width="10.28515625" style="64" bestFit="1" customWidth="1"/>
    <col min="7428" max="7428" width="12" style="64" bestFit="1" customWidth="1"/>
    <col min="7429" max="7429" width="10.140625" style="64" customWidth="1"/>
    <col min="7430" max="7430" width="18.28515625" style="64" bestFit="1" customWidth="1"/>
    <col min="7431" max="7431" width="8.85546875" style="64" customWidth="1"/>
    <col min="7432" max="7432" width="5.85546875" style="64" customWidth="1"/>
    <col min="7433" max="7673" width="11.42578125" style="64" customWidth="1"/>
    <col min="7674" max="7674" width="18.28515625" style="64" customWidth="1"/>
    <col min="7675" max="7675" width="15.5703125" style="64" customWidth="1"/>
    <col min="7676" max="7676" width="28.140625" style="64" customWidth="1"/>
    <col min="7677" max="7677" width="15.7109375" style="64"/>
    <col min="7678" max="7678" width="18.28515625" style="64" customWidth="1"/>
    <col min="7679" max="7679" width="15.5703125" style="64" customWidth="1"/>
    <col min="7680" max="7680" width="28.140625" style="64" customWidth="1"/>
    <col min="7681" max="7681" width="23.5703125" style="64" bestFit="1" customWidth="1"/>
    <col min="7682" max="7682" width="16.140625" style="64" customWidth="1"/>
    <col min="7683" max="7683" width="10.28515625" style="64" bestFit="1" customWidth="1"/>
    <col min="7684" max="7684" width="12" style="64" bestFit="1" customWidth="1"/>
    <col min="7685" max="7685" width="10.140625" style="64" customWidth="1"/>
    <col min="7686" max="7686" width="18.28515625" style="64" bestFit="1" customWidth="1"/>
    <col min="7687" max="7687" width="8.85546875" style="64" customWidth="1"/>
    <col min="7688" max="7688" width="5.85546875" style="64" customWidth="1"/>
    <col min="7689" max="7929" width="11.42578125" style="64" customWidth="1"/>
    <col min="7930" max="7930" width="18.28515625" style="64" customWidth="1"/>
    <col min="7931" max="7931" width="15.5703125" style="64" customWidth="1"/>
    <col min="7932" max="7932" width="28.140625" style="64" customWidth="1"/>
    <col min="7933" max="7933" width="15.7109375" style="64"/>
    <col min="7934" max="7934" width="18.28515625" style="64" customWidth="1"/>
    <col min="7935" max="7935" width="15.5703125" style="64" customWidth="1"/>
    <col min="7936" max="7936" width="28.140625" style="64" customWidth="1"/>
    <col min="7937" max="7937" width="23.5703125" style="64" bestFit="1" customWidth="1"/>
    <col min="7938" max="7938" width="16.140625" style="64" customWidth="1"/>
    <col min="7939" max="7939" width="10.28515625" style="64" bestFit="1" customWidth="1"/>
    <col min="7940" max="7940" width="12" style="64" bestFit="1" customWidth="1"/>
    <col min="7941" max="7941" width="10.140625" style="64" customWidth="1"/>
    <col min="7942" max="7942" width="18.28515625" style="64" bestFit="1" customWidth="1"/>
    <col min="7943" max="7943" width="8.85546875" style="64" customWidth="1"/>
    <col min="7944" max="7944" width="5.85546875" style="64" customWidth="1"/>
    <col min="7945" max="8185" width="11.42578125" style="64" customWidth="1"/>
    <col min="8186" max="8186" width="18.28515625" style="64" customWidth="1"/>
    <col min="8187" max="8187" width="15.5703125" style="64" customWidth="1"/>
    <col min="8188" max="8188" width="28.140625" style="64" customWidth="1"/>
    <col min="8189" max="8189" width="15.7109375" style="64"/>
    <col min="8190" max="8190" width="18.28515625" style="64" customWidth="1"/>
    <col min="8191" max="8191" width="15.5703125" style="64" customWidth="1"/>
    <col min="8192" max="8192" width="28.140625" style="64" customWidth="1"/>
    <col min="8193" max="8193" width="23.5703125" style="64" bestFit="1" customWidth="1"/>
    <col min="8194" max="8194" width="16.140625" style="64" customWidth="1"/>
    <col min="8195" max="8195" width="10.28515625" style="64" bestFit="1" customWidth="1"/>
    <col min="8196" max="8196" width="12" style="64" bestFit="1" customWidth="1"/>
    <col min="8197" max="8197" width="10.140625" style="64" customWidth="1"/>
    <col min="8198" max="8198" width="18.28515625" style="64" bestFit="1" customWidth="1"/>
    <col min="8199" max="8199" width="8.85546875" style="64" customWidth="1"/>
    <col min="8200" max="8200" width="5.85546875" style="64" customWidth="1"/>
    <col min="8201" max="8441" width="11.42578125" style="64" customWidth="1"/>
    <col min="8442" max="8442" width="18.28515625" style="64" customWidth="1"/>
    <col min="8443" max="8443" width="15.5703125" style="64" customWidth="1"/>
    <col min="8444" max="8444" width="28.140625" style="64" customWidth="1"/>
    <col min="8445" max="8445" width="15.7109375" style="64"/>
    <col min="8446" max="8446" width="18.28515625" style="64" customWidth="1"/>
    <col min="8447" max="8447" width="15.5703125" style="64" customWidth="1"/>
    <col min="8448" max="8448" width="28.140625" style="64" customWidth="1"/>
    <col min="8449" max="8449" width="23.5703125" style="64" bestFit="1" customWidth="1"/>
    <col min="8450" max="8450" width="16.140625" style="64" customWidth="1"/>
    <col min="8451" max="8451" width="10.28515625" style="64" bestFit="1" customWidth="1"/>
    <col min="8452" max="8452" width="12" style="64" bestFit="1" customWidth="1"/>
    <col min="8453" max="8453" width="10.140625" style="64" customWidth="1"/>
    <col min="8454" max="8454" width="18.28515625" style="64" bestFit="1" customWidth="1"/>
    <col min="8455" max="8455" width="8.85546875" style="64" customWidth="1"/>
    <col min="8456" max="8456" width="5.85546875" style="64" customWidth="1"/>
    <col min="8457" max="8697" width="11.42578125" style="64" customWidth="1"/>
    <col min="8698" max="8698" width="18.28515625" style="64" customWidth="1"/>
    <col min="8699" max="8699" width="15.5703125" style="64" customWidth="1"/>
    <col min="8700" max="8700" width="28.140625" style="64" customWidth="1"/>
    <col min="8701" max="8701" width="15.7109375" style="64"/>
    <col min="8702" max="8702" width="18.28515625" style="64" customWidth="1"/>
    <col min="8703" max="8703" width="15.5703125" style="64" customWidth="1"/>
    <col min="8704" max="8704" width="28.140625" style="64" customWidth="1"/>
    <col min="8705" max="8705" width="23.5703125" style="64" bestFit="1" customWidth="1"/>
    <col min="8706" max="8706" width="16.140625" style="64" customWidth="1"/>
    <col min="8707" max="8707" width="10.28515625" style="64" bestFit="1" customWidth="1"/>
    <col min="8708" max="8708" width="12" style="64" bestFit="1" customWidth="1"/>
    <col min="8709" max="8709" width="10.140625" style="64" customWidth="1"/>
    <col min="8710" max="8710" width="18.28515625" style="64" bestFit="1" customWidth="1"/>
    <col min="8711" max="8711" width="8.85546875" style="64" customWidth="1"/>
    <col min="8712" max="8712" width="5.85546875" style="64" customWidth="1"/>
    <col min="8713" max="8953" width="11.42578125" style="64" customWidth="1"/>
    <col min="8954" max="8954" width="18.28515625" style="64" customWidth="1"/>
    <col min="8955" max="8955" width="15.5703125" style="64" customWidth="1"/>
    <col min="8956" max="8956" width="28.140625" style="64" customWidth="1"/>
    <col min="8957" max="8957" width="15.7109375" style="64"/>
    <col min="8958" max="8958" width="18.28515625" style="64" customWidth="1"/>
    <col min="8959" max="8959" width="15.5703125" style="64" customWidth="1"/>
    <col min="8960" max="8960" width="28.140625" style="64" customWidth="1"/>
    <col min="8961" max="8961" width="23.5703125" style="64" bestFit="1" customWidth="1"/>
    <col min="8962" max="8962" width="16.140625" style="64" customWidth="1"/>
    <col min="8963" max="8963" width="10.28515625" style="64" bestFit="1" customWidth="1"/>
    <col min="8964" max="8964" width="12" style="64" bestFit="1" customWidth="1"/>
    <col min="8965" max="8965" width="10.140625" style="64" customWidth="1"/>
    <col min="8966" max="8966" width="18.28515625" style="64" bestFit="1" customWidth="1"/>
    <col min="8967" max="8967" width="8.85546875" style="64" customWidth="1"/>
    <col min="8968" max="8968" width="5.85546875" style="64" customWidth="1"/>
    <col min="8969" max="9209" width="11.42578125" style="64" customWidth="1"/>
    <col min="9210" max="9210" width="18.28515625" style="64" customWidth="1"/>
    <col min="9211" max="9211" width="15.5703125" style="64" customWidth="1"/>
    <col min="9212" max="9212" width="28.140625" style="64" customWidth="1"/>
    <col min="9213" max="9213" width="15.7109375" style="64"/>
    <col min="9214" max="9214" width="18.28515625" style="64" customWidth="1"/>
    <col min="9215" max="9215" width="15.5703125" style="64" customWidth="1"/>
    <col min="9216" max="9216" width="28.140625" style="64" customWidth="1"/>
    <col min="9217" max="9217" width="23.5703125" style="64" bestFit="1" customWidth="1"/>
    <col min="9218" max="9218" width="16.140625" style="64" customWidth="1"/>
    <col min="9219" max="9219" width="10.28515625" style="64" bestFit="1" customWidth="1"/>
    <col min="9220" max="9220" width="12" style="64" bestFit="1" customWidth="1"/>
    <col min="9221" max="9221" width="10.140625" style="64" customWidth="1"/>
    <col min="9222" max="9222" width="18.28515625" style="64" bestFit="1" customWidth="1"/>
    <col min="9223" max="9223" width="8.85546875" style="64" customWidth="1"/>
    <col min="9224" max="9224" width="5.85546875" style="64" customWidth="1"/>
    <col min="9225" max="9465" width="11.42578125" style="64" customWidth="1"/>
    <col min="9466" max="9466" width="18.28515625" style="64" customWidth="1"/>
    <col min="9467" max="9467" width="15.5703125" style="64" customWidth="1"/>
    <col min="9468" max="9468" width="28.140625" style="64" customWidth="1"/>
    <col min="9469" max="9469" width="15.7109375" style="64"/>
    <col min="9470" max="9470" width="18.28515625" style="64" customWidth="1"/>
    <col min="9471" max="9471" width="15.5703125" style="64" customWidth="1"/>
    <col min="9472" max="9472" width="28.140625" style="64" customWidth="1"/>
    <col min="9473" max="9473" width="23.5703125" style="64" bestFit="1" customWidth="1"/>
    <col min="9474" max="9474" width="16.140625" style="64" customWidth="1"/>
    <col min="9475" max="9475" width="10.28515625" style="64" bestFit="1" customWidth="1"/>
    <col min="9476" max="9476" width="12" style="64" bestFit="1" customWidth="1"/>
    <col min="9477" max="9477" width="10.140625" style="64" customWidth="1"/>
    <col min="9478" max="9478" width="18.28515625" style="64" bestFit="1" customWidth="1"/>
    <col min="9479" max="9479" width="8.85546875" style="64" customWidth="1"/>
    <col min="9480" max="9480" width="5.85546875" style="64" customWidth="1"/>
    <col min="9481" max="9721" width="11.42578125" style="64" customWidth="1"/>
    <col min="9722" max="9722" width="18.28515625" style="64" customWidth="1"/>
    <col min="9723" max="9723" width="15.5703125" style="64" customWidth="1"/>
    <col min="9724" max="9724" width="28.140625" style="64" customWidth="1"/>
    <col min="9725" max="9725" width="15.7109375" style="64"/>
    <col min="9726" max="9726" width="18.28515625" style="64" customWidth="1"/>
    <col min="9727" max="9727" width="15.5703125" style="64" customWidth="1"/>
    <col min="9728" max="9728" width="28.140625" style="64" customWidth="1"/>
    <col min="9729" max="9729" width="23.5703125" style="64" bestFit="1" customWidth="1"/>
    <col min="9730" max="9730" width="16.140625" style="64" customWidth="1"/>
    <col min="9731" max="9731" width="10.28515625" style="64" bestFit="1" customWidth="1"/>
    <col min="9732" max="9732" width="12" style="64" bestFit="1" customWidth="1"/>
    <col min="9733" max="9733" width="10.140625" style="64" customWidth="1"/>
    <col min="9734" max="9734" width="18.28515625" style="64" bestFit="1" customWidth="1"/>
    <col min="9735" max="9735" width="8.85546875" style="64" customWidth="1"/>
    <col min="9736" max="9736" width="5.85546875" style="64" customWidth="1"/>
    <col min="9737" max="9977" width="11.42578125" style="64" customWidth="1"/>
    <col min="9978" max="9978" width="18.28515625" style="64" customWidth="1"/>
    <col min="9979" max="9979" width="15.5703125" style="64" customWidth="1"/>
    <col min="9980" max="9980" width="28.140625" style="64" customWidth="1"/>
    <col min="9981" max="9981" width="15.7109375" style="64"/>
    <col min="9982" max="9982" width="18.28515625" style="64" customWidth="1"/>
    <col min="9983" max="9983" width="15.5703125" style="64" customWidth="1"/>
    <col min="9984" max="9984" width="28.140625" style="64" customWidth="1"/>
    <col min="9985" max="9985" width="23.5703125" style="64" bestFit="1" customWidth="1"/>
    <col min="9986" max="9986" width="16.140625" style="64" customWidth="1"/>
    <col min="9987" max="9987" width="10.28515625" style="64" bestFit="1" customWidth="1"/>
    <col min="9988" max="9988" width="12" style="64" bestFit="1" customWidth="1"/>
    <col min="9989" max="9989" width="10.140625" style="64" customWidth="1"/>
    <col min="9990" max="9990" width="18.28515625" style="64" bestFit="1" customWidth="1"/>
    <col min="9991" max="9991" width="8.85546875" style="64" customWidth="1"/>
    <col min="9992" max="9992" width="5.85546875" style="64" customWidth="1"/>
    <col min="9993" max="10233" width="11.42578125" style="64" customWidth="1"/>
    <col min="10234" max="10234" width="18.28515625" style="64" customWidth="1"/>
    <col min="10235" max="10235" width="15.5703125" style="64" customWidth="1"/>
    <col min="10236" max="10236" width="28.140625" style="64" customWidth="1"/>
    <col min="10237" max="10237" width="15.7109375" style="64"/>
    <col min="10238" max="10238" width="18.28515625" style="64" customWidth="1"/>
    <col min="10239" max="10239" width="15.5703125" style="64" customWidth="1"/>
    <col min="10240" max="10240" width="28.140625" style="64" customWidth="1"/>
    <col min="10241" max="10241" width="23.5703125" style="64" bestFit="1" customWidth="1"/>
    <col min="10242" max="10242" width="16.140625" style="64" customWidth="1"/>
    <col min="10243" max="10243" width="10.28515625" style="64" bestFit="1" customWidth="1"/>
    <col min="10244" max="10244" width="12" style="64" bestFit="1" customWidth="1"/>
    <col min="10245" max="10245" width="10.140625" style="64" customWidth="1"/>
    <col min="10246" max="10246" width="18.28515625" style="64" bestFit="1" customWidth="1"/>
    <col min="10247" max="10247" width="8.85546875" style="64" customWidth="1"/>
    <col min="10248" max="10248" width="5.85546875" style="64" customWidth="1"/>
    <col min="10249" max="10489" width="11.42578125" style="64" customWidth="1"/>
    <col min="10490" max="10490" width="18.28515625" style="64" customWidth="1"/>
    <col min="10491" max="10491" width="15.5703125" style="64" customWidth="1"/>
    <col min="10492" max="10492" width="28.140625" style="64" customWidth="1"/>
    <col min="10493" max="10493" width="15.7109375" style="64"/>
    <col min="10494" max="10494" width="18.28515625" style="64" customWidth="1"/>
    <col min="10495" max="10495" width="15.5703125" style="64" customWidth="1"/>
    <col min="10496" max="10496" width="28.140625" style="64" customWidth="1"/>
    <col min="10497" max="10497" width="23.5703125" style="64" bestFit="1" customWidth="1"/>
    <col min="10498" max="10498" width="16.140625" style="64" customWidth="1"/>
    <col min="10499" max="10499" width="10.28515625" style="64" bestFit="1" customWidth="1"/>
    <col min="10500" max="10500" width="12" style="64" bestFit="1" customWidth="1"/>
    <col min="10501" max="10501" width="10.140625" style="64" customWidth="1"/>
    <col min="10502" max="10502" width="18.28515625" style="64" bestFit="1" customWidth="1"/>
    <col min="10503" max="10503" width="8.85546875" style="64" customWidth="1"/>
    <col min="10504" max="10504" width="5.85546875" style="64" customWidth="1"/>
    <col min="10505" max="10745" width="11.42578125" style="64" customWidth="1"/>
    <col min="10746" max="10746" width="18.28515625" style="64" customWidth="1"/>
    <col min="10747" max="10747" width="15.5703125" style="64" customWidth="1"/>
    <col min="10748" max="10748" width="28.140625" style="64" customWidth="1"/>
    <col min="10749" max="10749" width="15.7109375" style="64"/>
    <col min="10750" max="10750" width="18.28515625" style="64" customWidth="1"/>
    <col min="10751" max="10751" width="15.5703125" style="64" customWidth="1"/>
    <col min="10752" max="10752" width="28.140625" style="64" customWidth="1"/>
    <col min="10753" max="10753" width="23.5703125" style="64" bestFit="1" customWidth="1"/>
    <col min="10754" max="10754" width="16.140625" style="64" customWidth="1"/>
    <col min="10755" max="10755" width="10.28515625" style="64" bestFit="1" customWidth="1"/>
    <col min="10756" max="10756" width="12" style="64" bestFit="1" customWidth="1"/>
    <col min="10757" max="10757" width="10.140625" style="64" customWidth="1"/>
    <col min="10758" max="10758" width="18.28515625" style="64" bestFit="1" customWidth="1"/>
    <col min="10759" max="10759" width="8.85546875" style="64" customWidth="1"/>
    <col min="10760" max="10760" width="5.85546875" style="64" customWidth="1"/>
    <col min="10761" max="11001" width="11.42578125" style="64" customWidth="1"/>
    <col min="11002" max="11002" width="18.28515625" style="64" customWidth="1"/>
    <col min="11003" max="11003" width="15.5703125" style="64" customWidth="1"/>
    <col min="11004" max="11004" width="28.140625" style="64" customWidth="1"/>
    <col min="11005" max="11005" width="15.7109375" style="64"/>
    <col min="11006" max="11006" width="18.28515625" style="64" customWidth="1"/>
    <col min="11007" max="11007" width="15.5703125" style="64" customWidth="1"/>
    <col min="11008" max="11008" width="28.140625" style="64" customWidth="1"/>
    <col min="11009" max="11009" width="23.5703125" style="64" bestFit="1" customWidth="1"/>
    <col min="11010" max="11010" width="16.140625" style="64" customWidth="1"/>
    <col min="11011" max="11011" width="10.28515625" style="64" bestFit="1" customWidth="1"/>
    <col min="11012" max="11012" width="12" style="64" bestFit="1" customWidth="1"/>
    <col min="11013" max="11013" width="10.140625" style="64" customWidth="1"/>
    <col min="11014" max="11014" width="18.28515625" style="64" bestFit="1" customWidth="1"/>
    <col min="11015" max="11015" width="8.85546875" style="64" customWidth="1"/>
    <col min="11016" max="11016" width="5.85546875" style="64" customWidth="1"/>
    <col min="11017" max="11257" width="11.42578125" style="64" customWidth="1"/>
    <col min="11258" max="11258" width="18.28515625" style="64" customWidth="1"/>
    <col min="11259" max="11259" width="15.5703125" style="64" customWidth="1"/>
    <col min="11260" max="11260" width="28.140625" style="64" customWidth="1"/>
    <col min="11261" max="11261" width="15.7109375" style="64"/>
    <col min="11262" max="11262" width="18.28515625" style="64" customWidth="1"/>
    <col min="11263" max="11263" width="15.5703125" style="64" customWidth="1"/>
    <col min="11264" max="11264" width="28.140625" style="64" customWidth="1"/>
    <col min="11265" max="11265" width="23.5703125" style="64" bestFit="1" customWidth="1"/>
    <col min="11266" max="11266" width="16.140625" style="64" customWidth="1"/>
    <col min="11267" max="11267" width="10.28515625" style="64" bestFit="1" customWidth="1"/>
    <col min="11268" max="11268" width="12" style="64" bestFit="1" customWidth="1"/>
    <col min="11269" max="11269" width="10.140625" style="64" customWidth="1"/>
    <col min="11270" max="11270" width="18.28515625" style="64" bestFit="1" customWidth="1"/>
    <col min="11271" max="11271" width="8.85546875" style="64" customWidth="1"/>
    <col min="11272" max="11272" width="5.85546875" style="64" customWidth="1"/>
    <col min="11273" max="11513" width="11.42578125" style="64" customWidth="1"/>
    <col min="11514" max="11514" width="18.28515625" style="64" customWidth="1"/>
    <col min="11515" max="11515" width="15.5703125" style="64" customWidth="1"/>
    <col min="11516" max="11516" width="28.140625" style="64" customWidth="1"/>
    <col min="11517" max="11517" width="15.7109375" style="64"/>
    <col min="11518" max="11518" width="18.28515625" style="64" customWidth="1"/>
    <col min="11519" max="11519" width="15.5703125" style="64" customWidth="1"/>
    <col min="11520" max="11520" width="28.140625" style="64" customWidth="1"/>
    <col min="11521" max="11521" width="23.5703125" style="64" bestFit="1" customWidth="1"/>
    <col min="11522" max="11522" width="16.140625" style="64" customWidth="1"/>
    <col min="11523" max="11523" width="10.28515625" style="64" bestFit="1" customWidth="1"/>
    <col min="11524" max="11524" width="12" style="64" bestFit="1" customWidth="1"/>
    <col min="11525" max="11525" width="10.140625" style="64" customWidth="1"/>
    <col min="11526" max="11526" width="18.28515625" style="64" bestFit="1" customWidth="1"/>
    <col min="11527" max="11527" width="8.85546875" style="64" customWidth="1"/>
    <col min="11528" max="11528" width="5.85546875" style="64" customWidth="1"/>
    <col min="11529" max="11769" width="11.42578125" style="64" customWidth="1"/>
    <col min="11770" max="11770" width="18.28515625" style="64" customWidth="1"/>
    <col min="11771" max="11771" width="15.5703125" style="64" customWidth="1"/>
    <col min="11772" max="11772" width="28.140625" style="64" customWidth="1"/>
    <col min="11773" max="11773" width="15.7109375" style="64"/>
    <col min="11774" max="11774" width="18.28515625" style="64" customWidth="1"/>
    <col min="11775" max="11775" width="15.5703125" style="64" customWidth="1"/>
    <col min="11776" max="11776" width="28.140625" style="64" customWidth="1"/>
    <col min="11777" max="11777" width="23.5703125" style="64" bestFit="1" customWidth="1"/>
    <col min="11778" max="11778" width="16.140625" style="64" customWidth="1"/>
    <col min="11779" max="11779" width="10.28515625" style="64" bestFit="1" customWidth="1"/>
    <col min="11780" max="11780" width="12" style="64" bestFit="1" customWidth="1"/>
    <col min="11781" max="11781" width="10.140625" style="64" customWidth="1"/>
    <col min="11782" max="11782" width="18.28515625" style="64" bestFit="1" customWidth="1"/>
    <col min="11783" max="11783" width="8.85546875" style="64" customWidth="1"/>
    <col min="11784" max="11784" width="5.85546875" style="64" customWidth="1"/>
    <col min="11785" max="12025" width="11.42578125" style="64" customWidth="1"/>
    <col min="12026" max="12026" width="18.28515625" style="64" customWidth="1"/>
    <col min="12027" max="12027" width="15.5703125" style="64" customWidth="1"/>
    <col min="12028" max="12028" width="28.140625" style="64" customWidth="1"/>
    <col min="12029" max="12029" width="15.7109375" style="64"/>
    <col min="12030" max="12030" width="18.28515625" style="64" customWidth="1"/>
    <col min="12031" max="12031" width="15.5703125" style="64" customWidth="1"/>
    <col min="12032" max="12032" width="28.140625" style="64" customWidth="1"/>
    <col min="12033" max="12033" width="23.5703125" style="64" bestFit="1" customWidth="1"/>
    <col min="12034" max="12034" width="16.140625" style="64" customWidth="1"/>
    <col min="12035" max="12035" width="10.28515625" style="64" bestFit="1" customWidth="1"/>
    <col min="12036" max="12036" width="12" style="64" bestFit="1" customWidth="1"/>
    <col min="12037" max="12037" width="10.140625" style="64" customWidth="1"/>
    <col min="12038" max="12038" width="18.28515625" style="64" bestFit="1" customWidth="1"/>
    <col min="12039" max="12039" width="8.85546875" style="64" customWidth="1"/>
    <col min="12040" max="12040" width="5.85546875" style="64" customWidth="1"/>
    <col min="12041" max="12281" width="11.42578125" style="64" customWidth="1"/>
    <col min="12282" max="12282" width="18.28515625" style="64" customWidth="1"/>
    <col min="12283" max="12283" width="15.5703125" style="64" customWidth="1"/>
    <col min="12284" max="12284" width="28.140625" style="64" customWidth="1"/>
    <col min="12285" max="12285" width="15.7109375" style="64"/>
    <col min="12286" max="12286" width="18.28515625" style="64" customWidth="1"/>
    <col min="12287" max="12287" width="15.5703125" style="64" customWidth="1"/>
    <col min="12288" max="12288" width="28.140625" style="64" customWidth="1"/>
    <col min="12289" max="12289" width="23.5703125" style="64" bestFit="1" customWidth="1"/>
    <col min="12290" max="12290" width="16.140625" style="64" customWidth="1"/>
    <col min="12291" max="12291" width="10.28515625" style="64" bestFit="1" customWidth="1"/>
    <col min="12292" max="12292" width="12" style="64" bestFit="1" customWidth="1"/>
    <col min="12293" max="12293" width="10.140625" style="64" customWidth="1"/>
    <col min="12294" max="12294" width="18.28515625" style="64" bestFit="1" customWidth="1"/>
    <col min="12295" max="12295" width="8.85546875" style="64" customWidth="1"/>
    <col min="12296" max="12296" width="5.85546875" style="64" customWidth="1"/>
    <col min="12297" max="12537" width="11.42578125" style="64" customWidth="1"/>
    <col min="12538" max="12538" width="18.28515625" style="64" customWidth="1"/>
    <col min="12539" max="12539" width="15.5703125" style="64" customWidth="1"/>
    <col min="12540" max="12540" width="28.140625" style="64" customWidth="1"/>
    <col min="12541" max="12541" width="15.7109375" style="64"/>
    <col min="12542" max="12542" width="18.28515625" style="64" customWidth="1"/>
    <col min="12543" max="12543" width="15.5703125" style="64" customWidth="1"/>
    <col min="12544" max="12544" width="28.140625" style="64" customWidth="1"/>
    <col min="12545" max="12545" width="23.5703125" style="64" bestFit="1" customWidth="1"/>
    <col min="12546" max="12546" width="16.140625" style="64" customWidth="1"/>
    <col min="12547" max="12547" width="10.28515625" style="64" bestFit="1" customWidth="1"/>
    <col min="12548" max="12548" width="12" style="64" bestFit="1" customWidth="1"/>
    <col min="12549" max="12549" width="10.140625" style="64" customWidth="1"/>
    <col min="12550" max="12550" width="18.28515625" style="64" bestFit="1" customWidth="1"/>
    <col min="12551" max="12551" width="8.85546875" style="64" customWidth="1"/>
    <col min="12552" max="12552" width="5.85546875" style="64" customWidth="1"/>
    <col min="12553" max="12793" width="11.42578125" style="64" customWidth="1"/>
    <col min="12794" max="12794" width="18.28515625" style="64" customWidth="1"/>
    <col min="12795" max="12795" width="15.5703125" style="64" customWidth="1"/>
    <col min="12796" max="12796" width="28.140625" style="64" customWidth="1"/>
    <col min="12797" max="12797" width="15.7109375" style="64"/>
    <col min="12798" max="12798" width="18.28515625" style="64" customWidth="1"/>
    <col min="12799" max="12799" width="15.5703125" style="64" customWidth="1"/>
    <col min="12800" max="12800" width="28.140625" style="64" customWidth="1"/>
    <col min="12801" max="12801" width="23.5703125" style="64" bestFit="1" customWidth="1"/>
    <col min="12802" max="12802" width="16.140625" style="64" customWidth="1"/>
    <col min="12803" max="12803" width="10.28515625" style="64" bestFit="1" customWidth="1"/>
    <col min="12804" max="12804" width="12" style="64" bestFit="1" customWidth="1"/>
    <col min="12805" max="12805" width="10.140625" style="64" customWidth="1"/>
    <col min="12806" max="12806" width="18.28515625" style="64" bestFit="1" customWidth="1"/>
    <col min="12807" max="12807" width="8.85546875" style="64" customWidth="1"/>
    <col min="12808" max="12808" width="5.85546875" style="64" customWidth="1"/>
    <col min="12809" max="13049" width="11.42578125" style="64" customWidth="1"/>
    <col min="13050" max="13050" width="18.28515625" style="64" customWidth="1"/>
    <col min="13051" max="13051" width="15.5703125" style="64" customWidth="1"/>
    <col min="13052" max="13052" width="28.140625" style="64" customWidth="1"/>
    <col min="13053" max="13053" width="15.7109375" style="64"/>
    <col min="13054" max="13054" width="18.28515625" style="64" customWidth="1"/>
    <col min="13055" max="13055" width="15.5703125" style="64" customWidth="1"/>
    <col min="13056" max="13056" width="28.140625" style="64" customWidth="1"/>
    <col min="13057" max="13057" width="23.5703125" style="64" bestFit="1" customWidth="1"/>
    <col min="13058" max="13058" width="16.140625" style="64" customWidth="1"/>
    <col min="13059" max="13059" width="10.28515625" style="64" bestFit="1" customWidth="1"/>
    <col min="13060" max="13060" width="12" style="64" bestFit="1" customWidth="1"/>
    <col min="13061" max="13061" width="10.140625" style="64" customWidth="1"/>
    <col min="13062" max="13062" width="18.28515625" style="64" bestFit="1" customWidth="1"/>
    <col min="13063" max="13063" width="8.85546875" style="64" customWidth="1"/>
    <col min="13064" max="13064" width="5.85546875" style="64" customWidth="1"/>
    <col min="13065" max="13305" width="11.42578125" style="64" customWidth="1"/>
    <col min="13306" max="13306" width="18.28515625" style="64" customWidth="1"/>
    <col min="13307" max="13307" width="15.5703125" style="64" customWidth="1"/>
    <col min="13308" max="13308" width="28.140625" style="64" customWidth="1"/>
    <col min="13309" max="13309" width="15.7109375" style="64"/>
    <col min="13310" max="13310" width="18.28515625" style="64" customWidth="1"/>
    <col min="13311" max="13311" width="15.5703125" style="64" customWidth="1"/>
    <col min="13312" max="13312" width="28.140625" style="64" customWidth="1"/>
    <col min="13313" max="13313" width="23.5703125" style="64" bestFit="1" customWidth="1"/>
    <col min="13314" max="13314" width="16.140625" style="64" customWidth="1"/>
    <col min="13315" max="13315" width="10.28515625" style="64" bestFit="1" customWidth="1"/>
    <col min="13316" max="13316" width="12" style="64" bestFit="1" customWidth="1"/>
    <col min="13317" max="13317" width="10.140625" style="64" customWidth="1"/>
    <col min="13318" max="13318" width="18.28515625" style="64" bestFit="1" customWidth="1"/>
    <col min="13319" max="13319" width="8.85546875" style="64" customWidth="1"/>
    <col min="13320" max="13320" width="5.85546875" style="64" customWidth="1"/>
    <col min="13321" max="13561" width="11.42578125" style="64" customWidth="1"/>
    <col min="13562" max="13562" width="18.28515625" style="64" customWidth="1"/>
    <col min="13563" max="13563" width="15.5703125" style="64" customWidth="1"/>
    <col min="13564" max="13564" width="28.140625" style="64" customWidth="1"/>
    <col min="13565" max="13565" width="15.7109375" style="64"/>
    <col min="13566" max="13566" width="18.28515625" style="64" customWidth="1"/>
    <col min="13567" max="13567" width="15.5703125" style="64" customWidth="1"/>
    <col min="13568" max="13568" width="28.140625" style="64" customWidth="1"/>
    <col min="13569" max="13569" width="23.5703125" style="64" bestFit="1" customWidth="1"/>
    <col min="13570" max="13570" width="16.140625" style="64" customWidth="1"/>
    <col min="13571" max="13571" width="10.28515625" style="64" bestFit="1" customWidth="1"/>
    <col min="13572" max="13572" width="12" style="64" bestFit="1" customWidth="1"/>
    <col min="13573" max="13573" width="10.140625" style="64" customWidth="1"/>
    <col min="13574" max="13574" width="18.28515625" style="64" bestFit="1" customWidth="1"/>
    <col min="13575" max="13575" width="8.85546875" style="64" customWidth="1"/>
    <col min="13576" max="13576" width="5.85546875" style="64" customWidth="1"/>
    <col min="13577" max="13817" width="11.42578125" style="64" customWidth="1"/>
    <col min="13818" max="13818" width="18.28515625" style="64" customWidth="1"/>
    <col min="13819" max="13819" width="15.5703125" style="64" customWidth="1"/>
    <col min="13820" max="13820" width="28.140625" style="64" customWidth="1"/>
    <col min="13821" max="13821" width="15.7109375" style="64"/>
    <col min="13822" max="13822" width="18.28515625" style="64" customWidth="1"/>
    <col min="13823" max="13823" width="15.5703125" style="64" customWidth="1"/>
    <col min="13824" max="13824" width="28.140625" style="64" customWidth="1"/>
    <col min="13825" max="13825" width="23.5703125" style="64" bestFit="1" customWidth="1"/>
    <col min="13826" max="13826" width="16.140625" style="64" customWidth="1"/>
    <col min="13827" max="13827" width="10.28515625" style="64" bestFit="1" customWidth="1"/>
    <col min="13828" max="13828" width="12" style="64" bestFit="1" customWidth="1"/>
    <col min="13829" max="13829" width="10.140625" style="64" customWidth="1"/>
    <col min="13830" max="13830" width="18.28515625" style="64" bestFit="1" customWidth="1"/>
    <col min="13831" max="13831" width="8.85546875" style="64" customWidth="1"/>
    <col min="13832" max="13832" width="5.85546875" style="64" customWidth="1"/>
    <col min="13833" max="14073" width="11.42578125" style="64" customWidth="1"/>
    <col min="14074" max="14074" width="18.28515625" style="64" customWidth="1"/>
    <col min="14075" max="14075" width="15.5703125" style="64" customWidth="1"/>
    <col min="14076" max="14076" width="28.140625" style="64" customWidth="1"/>
    <col min="14077" max="14077" width="15.7109375" style="64"/>
    <col min="14078" max="14078" width="18.28515625" style="64" customWidth="1"/>
    <col min="14079" max="14079" width="15.5703125" style="64" customWidth="1"/>
    <col min="14080" max="14080" width="28.140625" style="64" customWidth="1"/>
    <col min="14081" max="14081" width="23.5703125" style="64" bestFit="1" customWidth="1"/>
    <col min="14082" max="14082" width="16.140625" style="64" customWidth="1"/>
    <col min="14083" max="14083" width="10.28515625" style="64" bestFit="1" customWidth="1"/>
    <col min="14084" max="14084" width="12" style="64" bestFit="1" customWidth="1"/>
    <col min="14085" max="14085" width="10.140625" style="64" customWidth="1"/>
    <col min="14086" max="14086" width="18.28515625" style="64" bestFit="1" customWidth="1"/>
    <col min="14087" max="14087" width="8.85546875" style="64" customWidth="1"/>
    <col min="14088" max="14088" width="5.85546875" style="64" customWidth="1"/>
    <col min="14089" max="14329" width="11.42578125" style="64" customWidth="1"/>
    <col min="14330" max="14330" width="18.28515625" style="64" customWidth="1"/>
    <col min="14331" max="14331" width="15.5703125" style="64" customWidth="1"/>
    <col min="14332" max="14332" width="28.140625" style="64" customWidth="1"/>
    <col min="14333" max="14333" width="15.7109375" style="64"/>
    <col min="14334" max="14334" width="18.28515625" style="64" customWidth="1"/>
    <col min="14335" max="14335" width="15.5703125" style="64" customWidth="1"/>
    <col min="14336" max="14336" width="28.140625" style="64" customWidth="1"/>
    <col min="14337" max="14337" width="23.5703125" style="64" bestFit="1" customWidth="1"/>
    <col min="14338" max="14338" width="16.140625" style="64" customWidth="1"/>
    <col min="14339" max="14339" width="10.28515625" style="64" bestFit="1" customWidth="1"/>
    <col min="14340" max="14340" width="12" style="64" bestFit="1" customWidth="1"/>
    <col min="14341" max="14341" width="10.140625" style="64" customWidth="1"/>
    <col min="14342" max="14342" width="18.28515625" style="64" bestFit="1" customWidth="1"/>
    <col min="14343" max="14343" width="8.85546875" style="64" customWidth="1"/>
    <col min="14344" max="14344" width="5.85546875" style="64" customWidth="1"/>
    <col min="14345" max="14585" width="11.42578125" style="64" customWidth="1"/>
    <col min="14586" max="14586" width="18.28515625" style="64" customWidth="1"/>
    <col min="14587" max="14587" width="15.5703125" style="64" customWidth="1"/>
    <col min="14588" max="14588" width="28.140625" style="64" customWidth="1"/>
    <col min="14589" max="14589" width="15.7109375" style="64"/>
    <col min="14590" max="14590" width="18.28515625" style="64" customWidth="1"/>
    <col min="14591" max="14591" width="15.5703125" style="64" customWidth="1"/>
    <col min="14592" max="14592" width="28.140625" style="64" customWidth="1"/>
    <col min="14593" max="14593" width="23.5703125" style="64" bestFit="1" customWidth="1"/>
    <col min="14594" max="14594" width="16.140625" style="64" customWidth="1"/>
    <col min="14595" max="14595" width="10.28515625" style="64" bestFit="1" customWidth="1"/>
    <col min="14596" max="14596" width="12" style="64" bestFit="1" customWidth="1"/>
    <col min="14597" max="14597" width="10.140625" style="64" customWidth="1"/>
    <col min="14598" max="14598" width="18.28515625" style="64" bestFit="1" customWidth="1"/>
    <col min="14599" max="14599" width="8.85546875" style="64" customWidth="1"/>
    <col min="14600" max="14600" width="5.85546875" style="64" customWidth="1"/>
    <col min="14601" max="14841" width="11.42578125" style="64" customWidth="1"/>
    <col min="14842" max="14842" width="18.28515625" style="64" customWidth="1"/>
    <col min="14843" max="14843" width="15.5703125" style="64" customWidth="1"/>
    <col min="14844" max="14844" width="28.140625" style="64" customWidth="1"/>
    <col min="14845" max="14845" width="15.7109375" style="64"/>
    <col min="14846" max="14846" width="18.28515625" style="64" customWidth="1"/>
    <col min="14847" max="14847" width="15.5703125" style="64" customWidth="1"/>
    <col min="14848" max="14848" width="28.140625" style="64" customWidth="1"/>
    <col min="14849" max="14849" width="23.5703125" style="64" bestFit="1" customWidth="1"/>
    <col min="14850" max="14850" width="16.140625" style="64" customWidth="1"/>
    <col min="14851" max="14851" width="10.28515625" style="64" bestFit="1" customWidth="1"/>
    <col min="14852" max="14852" width="12" style="64" bestFit="1" customWidth="1"/>
    <col min="14853" max="14853" width="10.140625" style="64" customWidth="1"/>
    <col min="14854" max="14854" width="18.28515625" style="64" bestFit="1" customWidth="1"/>
    <col min="14855" max="14855" width="8.85546875" style="64" customWidth="1"/>
    <col min="14856" max="14856" width="5.85546875" style="64" customWidth="1"/>
    <col min="14857" max="15097" width="11.42578125" style="64" customWidth="1"/>
    <col min="15098" max="15098" width="18.28515625" style="64" customWidth="1"/>
    <col min="15099" max="15099" width="15.5703125" style="64" customWidth="1"/>
    <col min="15100" max="15100" width="28.140625" style="64" customWidth="1"/>
    <col min="15101" max="15101" width="15.7109375" style="64"/>
    <col min="15102" max="15102" width="18.28515625" style="64" customWidth="1"/>
    <col min="15103" max="15103" width="15.5703125" style="64" customWidth="1"/>
    <col min="15104" max="15104" width="28.140625" style="64" customWidth="1"/>
    <col min="15105" max="15105" width="23.5703125" style="64" bestFit="1" customWidth="1"/>
    <col min="15106" max="15106" width="16.140625" style="64" customWidth="1"/>
    <col min="15107" max="15107" width="10.28515625" style="64" bestFit="1" customWidth="1"/>
    <col min="15108" max="15108" width="12" style="64" bestFit="1" customWidth="1"/>
    <col min="15109" max="15109" width="10.140625" style="64" customWidth="1"/>
    <col min="15110" max="15110" width="18.28515625" style="64" bestFit="1" customWidth="1"/>
    <col min="15111" max="15111" width="8.85546875" style="64" customWidth="1"/>
    <col min="15112" max="15112" width="5.85546875" style="64" customWidth="1"/>
    <col min="15113" max="15353" width="11.42578125" style="64" customWidth="1"/>
    <col min="15354" max="15354" width="18.28515625" style="64" customWidth="1"/>
    <col min="15355" max="15355" width="15.5703125" style="64" customWidth="1"/>
    <col min="15356" max="15356" width="28.140625" style="64" customWidth="1"/>
    <col min="15357" max="15357" width="15.7109375" style="64"/>
    <col min="15358" max="15358" width="18.28515625" style="64" customWidth="1"/>
    <col min="15359" max="15359" width="15.5703125" style="64" customWidth="1"/>
    <col min="15360" max="15360" width="28.140625" style="64" customWidth="1"/>
    <col min="15361" max="15361" width="23.5703125" style="64" bestFit="1" customWidth="1"/>
    <col min="15362" max="15362" width="16.140625" style="64" customWidth="1"/>
    <col min="15363" max="15363" width="10.28515625" style="64" bestFit="1" customWidth="1"/>
    <col min="15364" max="15364" width="12" style="64" bestFit="1" customWidth="1"/>
    <col min="15365" max="15365" width="10.140625" style="64" customWidth="1"/>
    <col min="15366" max="15366" width="18.28515625" style="64" bestFit="1" customWidth="1"/>
    <col min="15367" max="15367" width="8.85546875" style="64" customWidth="1"/>
    <col min="15368" max="15368" width="5.85546875" style="64" customWidth="1"/>
    <col min="15369" max="15609" width="11.42578125" style="64" customWidth="1"/>
    <col min="15610" max="15610" width="18.28515625" style="64" customWidth="1"/>
    <col min="15611" max="15611" width="15.5703125" style="64" customWidth="1"/>
    <col min="15612" max="15612" width="28.140625" style="64" customWidth="1"/>
    <col min="15613" max="15613" width="15.7109375" style="64"/>
    <col min="15614" max="15614" width="18.28515625" style="64" customWidth="1"/>
    <col min="15615" max="15615" width="15.5703125" style="64" customWidth="1"/>
    <col min="15616" max="15616" width="28.140625" style="64" customWidth="1"/>
    <col min="15617" max="15617" width="23.5703125" style="64" bestFit="1" customWidth="1"/>
    <col min="15618" max="15618" width="16.140625" style="64" customWidth="1"/>
    <col min="15619" max="15619" width="10.28515625" style="64" bestFit="1" customWidth="1"/>
    <col min="15620" max="15620" width="12" style="64" bestFit="1" customWidth="1"/>
    <col min="15621" max="15621" width="10.140625" style="64" customWidth="1"/>
    <col min="15622" max="15622" width="18.28515625" style="64" bestFit="1" customWidth="1"/>
    <col min="15623" max="15623" width="8.85546875" style="64" customWidth="1"/>
    <col min="15624" max="15624" width="5.85546875" style="64" customWidth="1"/>
    <col min="15625" max="15865" width="11.42578125" style="64" customWidth="1"/>
    <col min="15866" max="15866" width="18.28515625" style="64" customWidth="1"/>
    <col min="15867" max="15867" width="15.5703125" style="64" customWidth="1"/>
    <col min="15868" max="15868" width="28.140625" style="64" customWidth="1"/>
    <col min="15869" max="15869" width="15.7109375" style="64"/>
    <col min="15870" max="15870" width="18.28515625" style="64" customWidth="1"/>
    <col min="15871" max="15871" width="15.5703125" style="64" customWidth="1"/>
    <col min="15872" max="15872" width="28.140625" style="64" customWidth="1"/>
    <col min="15873" max="15873" width="23.5703125" style="64" bestFit="1" customWidth="1"/>
    <col min="15874" max="15874" width="16.140625" style="64" customWidth="1"/>
    <col min="15875" max="15875" width="10.28515625" style="64" bestFit="1" customWidth="1"/>
    <col min="15876" max="15876" width="12" style="64" bestFit="1" customWidth="1"/>
    <col min="15877" max="15877" width="10.140625" style="64" customWidth="1"/>
    <col min="15878" max="15878" width="18.28515625" style="64" bestFit="1" customWidth="1"/>
    <col min="15879" max="15879" width="8.85546875" style="64" customWidth="1"/>
    <col min="15880" max="15880" width="5.85546875" style="64" customWidth="1"/>
    <col min="15881" max="16121" width="11.42578125" style="64" customWidth="1"/>
    <col min="16122" max="16122" width="18.28515625" style="64" customWidth="1"/>
    <col min="16123" max="16123" width="15.5703125" style="64" customWidth="1"/>
    <col min="16124" max="16124" width="28.140625" style="64" customWidth="1"/>
    <col min="16125" max="16125" width="15.7109375" style="64"/>
    <col min="16126" max="16126" width="18.28515625" style="64" customWidth="1"/>
    <col min="16127" max="16127" width="15.5703125" style="64" customWidth="1"/>
    <col min="16128" max="16128" width="28.140625" style="64" customWidth="1"/>
    <col min="16129" max="16129" width="23.5703125" style="64" bestFit="1" customWidth="1"/>
    <col min="16130" max="16130" width="16.140625" style="64" customWidth="1"/>
    <col min="16131" max="16131" width="10.28515625" style="64" bestFit="1" customWidth="1"/>
    <col min="16132" max="16132" width="12" style="64" bestFit="1" customWidth="1"/>
    <col min="16133" max="16133" width="10.140625" style="64" customWidth="1"/>
    <col min="16134" max="16134" width="18.28515625" style="64" bestFit="1" customWidth="1"/>
    <col min="16135" max="16135" width="8.85546875" style="64" customWidth="1"/>
    <col min="16136" max="16136" width="5.85546875" style="64" customWidth="1"/>
    <col min="16137" max="16377" width="11.42578125" style="64" customWidth="1"/>
    <col min="16378" max="16378" width="18.28515625" style="64" customWidth="1"/>
    <col min="16379" max="16379" width="15.5703125" style="64" customWidth="1"/>
    <col min="16380" max="16380" width="28.140625" style="64" customWidth="1"/>
    <col min="16381" max="16384" width="15.7109375" style="64"/>
  </cols>
  <sheetData>
    <row r="1" spans="1:16" s="425" customFormat="1">
      <c r="A1" s="423" t="s">
        <v>849</v>
      </c>
      <c r="B1" s="424" t="str">
        <f ca="1">"FR PD 011 "&amp;VLOOKUP('FORMATO DIL'!$B$2,LOTES!$N:$Q,4,FALSE)&amp;" "&amp;'FORMATO DIL'!$C$4&amp;" "&amp;TEXT(C5,"DDMMYY")&amp;"-"&amp;'FR PD 001 V1'!Q70</f>
        <v>FR PD 011 IV JPC SEXTO NORTE  040822-0</v>
      </c>
      <c r="C1" s="423" t="s">
        <v>853</v>
      </c>
      <c r="D1" s="424" t="s">
        <v>840</v>
      </c>
      <c r="E1" s="423" t="s">
        <v>854</v>
      </c>
      <c r="F1" s="424">
        <v>1</v>
      </c>
      <c r="G1" s="423" t="s">
        <v>852</v>
      </c>
      <c r="H1" s="424" t="str">
        <f ca="1">'FR PD 001 V1'!T3</f>
        <v>Z:\PRODUCCION ESTERILES\IV SCOOP JPC-MATERNO-VERAGUAS-CPOLICARPA SCOOP\2022\08 AGOSTO\040822\JPC\PEDIATRIA\</v>
      </c>
      <c r="I1" s="424"/>
      <c r="J1" s="424"/>
      <c r="K1" s="424"/>
    </row>
    <row r="2" spans="1:16" s="74" customFormat="1" ht="27.75" customHeight="1">
      <c r="A2" s="718"/>
      <c r="B2" s="718"/>
      <c r="C2" s="719" t="s">
        <v>146</v>
      </c>
      <c r="D2" s="719"/>
      <c r="E2" s="719"/>
      <c r="F2" s="719"/>
      <c r="G2" s="719"/>
      <c r="H2" s="719"/>
      <c r="I2" s="719"/>
      <c r="J2" s="719"/>
      <c r="K2" s="242"/>
      <c r="L2" s="213" t="str">
        <f ca="1">"FR PD 011 "&amp;VLOOKUP('FORMATO DIL'!$B$2,LOTES!$N:$Q,4,FALSE)&amp;" "&amp;'FORMATO DIL'!$C$4&amp;" "&amp;TEXT(C5,"DDMMYY")&amp;"-"&amp;'FR PD 001 V1'!Q70</f>
        <v>FR PD 011 IV JPC SEXTO NORTE  040822-0</v>
      </c>
      <c r="N2"/>
      <c r="O2"/>
      <c r="P2"/>
    </row>
    <row r="3" spans="1:16" s="74" customFormat="1" ht="17.25" customHeight="1">
      <c r="A3" s="75"/>
      <c r="B3" s="75"/>
      <c r="C3" s="75"/>
      <c r="D3" s="75"/>
      <c r="E3" s="75"/>
      <c r="F3" s="75"/>
      <c r="G3" s="75"/>
      <c r="H3" s="76"/>
      <c r="I3" s="75"/>
      <c r="J3" s="75"/>
      <c r="K3" s="77" t="s">
        <v>284</v>
      </c>
      <c r="N3"/>
      <c r="O3"/>
      <c r="P3"/>
    </row>
    <row r="4" spans="1:16" s="74" customFormat="1" ht="17.25" customHeight="1">
      <c r="A4" s="720" t="s">
        <v>102</v>
      </c>
      <c r="B4" s="720"/>
      <c r="C4" s="721" t="s">
        <v>103</v>
      </c>
      <c r="D4" s="721"/>
      <c r="E4" s="721"/>
      <c r="F4" s="721"/>
      <c r="G4" s="721"/>
      <c r="H4" s="78"/>
      <c r="I4" s="75"/>
      <c r="J4" s="79"/>
      <c r="K4" s="80" t="s">
        <v>253</v>
      </c>
      <c r="N4"/>
      <c r="O4"/>
      <c r="P4"/>
    </row>
    <row r="5" spans="1:16" s="74" customFormat="1" ht="17.25" customHeight="1">
      <c r="A5" s="720" t="s">
        <v>104</v>
      </c>
      <c r="B5" s="720"/>
      <c r="C5" s="723">
        <f ca="1">'FR PD 001 V1'!B70</f>
        <v>44777</v>
      </c>
      <c r="D5" s="723"/>
      <c r="E5" s="723"/>
      <c r="F5" s="723"/>
      <c r="G5" s="723"/>
      <c r="H5" s="78"/>
      <c r="I5" s="75"/>
      <c r="J5" s="81" t="s">
        <v>173</v>
      </c>
      <c r="K5" s="82" t="str">
        <f>'FR PD 001 V1'!F70</f>
        <v>0</v>
      </c>
      <c r="N5"/>
      <c r="O5"/>
      <c r="P5"/>
    </row>
    <row r="6" spans="1:16" s="74" customFormat="1" ht="17.25" customHeight="1">
      <c r="A6" s="720" t="s">
        <v>105</v>
      </c>
      <c r="B6" s="720"/>
      <c r="C6" s="724" t="str">
        <f>'FR PD 001 V1'!A74</f>
        <v>C.JPC/SEXTO NTE/SCOOP</v>
      </c>
      <c r="D6" s="724"/>
      <c r="E6" s="724"/>
      <c r="F6" s="724"/>
      <c r="G6" s="724"/>
      <c r="H6" s="83"/>
      <c r="I6" s="84"/>
      <c r="J6" s="85" t="s">
        <v>274</v>
      </c>
      <c r="K6" s="86"/>
    </row>
    <row r="7" spans="1:16" s="74" customFormat="1" ht="17.25" customHeight="1">
      <c r="A7" s="87"/>
      <c r="B7" s="75"/>
      <c r="C7" s="87"/>
      <c r="D7" s="79"/>
      <c r="E7" s="79"/>
      <c r="F7" s="79"/>
      <c r="G7" s="88"/>
      <c r="H7" s="89"/>
      <c r="I7" s="90"/>
      <c r="J7" s="91"/>
      <c r="K7" s="84"/>
      <c r="L7" s="716" t="s">
        <v>283</v>
      </c>
    </row>
    <row r="8" spans="1:16" ht="40.5" customHeight="1">
      <c r="A8" s="92" t="s">
        <v>1</v>
      </c>
      <c r="B8" s="93" t="s">
        <v>534</v>
      </c>
      <c r="C8" s="92" t="s">
        <v>535</v>
      </c>
      <c r="D8" s="94" t="s">
        <v>0</v>
      </c>
      <c r="E8" s="94" t="s">
        <v>536</v>
      </c>
      <c r="F8" s="94" t="s">
        <v>150</v>
      </c>
      <c r="G8" s="94" t="s">
        <v>151</v>
      </c>
      <c r="H8" s="94" t="s">
        <v>152</v>
      </c>
      <c r="I8" s="94" t="s">
        <v>537</v>
      </c>
      <c r="J8" s="94" t="s">
        <v>538</v>
      </c>
      <c r="K8" s="94" t="s">
        <v>539</v>
      </c>
      <c r="L8" s="716"/>
    </row>
    <row r="9" spans="1:16" ht="18" customHeight="1">
      <c r="A9" s="95">
        <f>'FR PD 001 V1'!A6</f>
        <v>0</v>
      </c>
      <c r="B9" s="96">
        <f>'FR PD 001 V1'!G6</f>
        <v>0</v>
      </c>
      <c r="C9" s="97" t="e">
        <f>IF(VLOOKUP(B9,ESTANDAR!A:P,16,0)="CONTROLADO",'FR PD 001 V1'!H6&amp;"-"&amp;'FR PD 001 V1'!B6,'FR PD 001 V1'!H6)</f>
        <v>#N/A</v>
      </c>
      <c r="D9" s="97" t="str">
        <f>IFERROR(VLOOKUP(B9,ESTANDAR!$A:$D,4,0),"")</f>
        <v/>
      </c>
      <c r="E9" s="97">
        <f>'FR PD 001 V1'!K6</f>
        <v>0</v>
      </c>
      <c r="F9" s="97" t="str">
        <f>IF('FR PD 001 V1'!S6="L","L",IF('FR PD 001 V1'!S6="D","D","I"))</f>
        <v>I</v>
      </c>
      <c r="G9" s="98" t="str">
        <f>IF(OR(F9="L",F9="D"),'FR PD 001 V1'!O6,"")</f>
        <v/>
      </c>
      <c r="H9" s="99" t="str">
        <f>IF(OR(F9="L",F9="D"),'FR PD 001 V1'!P6,"")</f>
        <v/>
      </c>
      <c r="I9" s="97"/>
      <c r="J9" s="100">
        <f>IFERROR(IF(B9=B8,0,ROUNDUP(SUMIFS(L$9:L$85,B$9:B$85,B9)/VLOOKUP(B9,ESTANDAR!A:N,5,0),0)),0)</f>
        <v>0</v>
      </c>
      <c r="K9" s="244">
        <f>IFERROR(IF(B9=B8,0,SUMIFS(E$9:E$52,B$9:B$52,B9)-J9),0)</f>
        <v>0</v>
      </c>
      <c r="L9" s="241">
        <f>'FR PD 001 V1'!J6*'FR PD 001 V1'!Q6</f>
        <v>0</v>
      </c>
      <c r="M9" s="64">
        <f t="shared" ref="M9:M72" si="0">IFERROR(IF(AND(C9=C10,C9=C8),M8,IF(AND(C9&lt;&gt;C8,C9=C10),M8+1,IF(AND(C9=C8,C9&lt;&gt;C10),M8,IF(AND(C9&lt;&gt;C8,C9&lt;&gt;C10),M8+1)))),M8)</f>
        <v>0</v>
      </c>
    </row>
    <row r="10" spans="1:16" ht="18" customHeight="1">
      <c r="A10" s="95" t="str">
        <f>'FR PD 001 V1'!A7</f>
        <v/>
      </c>
      <c r="B10" s="96">
        <f>'FR PD 001 V1'!G7</f>
        <v>0</v>
      </c>
      <c r="C10" s="97" t="e">
        <f>IF(VLOOKUP(B10,ESTANDAR!A:P,16,0)="CONTROLADO",'FR PD 001 V1'!H7&amp;"-"&amp;'FR PD 001 V1'!B7,'FR PD 001 V1'!H7)</f>
        <v>#N/A</v>
      </c>
      <c r="D10" s="97" t="str">
        <f>IFERROR(VLOOKUP(B10,ESTANDAR!$A:$D,4,0),"")</f>
        <v/>
      </c>
      <c r="E10" s="97">
        <f>'FR PD 001 V1'!K7</f>
        <v>0</v>
      </c>
      <c r="F10" s="97" t="str">
        <f>IF('FR PD 001 V1'!S7="L","L",IF('FR PD 001 V1'!S7="D","D","I"))</f>
        <v>I</v>
      </c>
      <c r="G10" s="98" t="str">
        <f>IF(OR(F10="L",F10="D"),'FR PD 001 V1'!O7,"")</f>
        <v/>
      </c>
      <c r="H10" s="99" t="str">
        <f>IF(OR(F10="L",F10="D"),'FR PD 001 V1'!P7,"")</f>
        <v/>
      </c>
      <c r="I10" s="97"/>
      <c r="J10" s="100">
        <f>IFERROR(IF(B10=B9,0,ROUNDUP(SUMIFS(L$9:L$85,B$9:B$85,B10)/VLOOKUP(B10,ESTANDAR!A:N,5,0),0)),0)</f>
        <v>0</v>
      </c>
      <c r="K10" s="244">
        <f t="shared" ref="K10:K52" si="1">IFERROR(IF(B10=B9,0,SUMIFS(E$9:E$52,B$9:B$52,B10)-J10),0)</f>
        <v>0</v>
      </c>
      <c r="L10" s="241">
        <f>'FR PD 001 V1'!J7*'FR PD 001 V1'!Q7</f>
        <v>0</v>
      </c>
      <c r="M10" s="64">
        <f t="shared" si="0"/>
        <v>0</v>
      </c>
    </row>
    <row r="11" spans="1:16" ht="18" customHeight="1">
      <c r="A11" s="95" t="str">
        <f>'FR PD 001 V1'!A8</f>
        <v/>
      </c>
      <c r="B11" s="96">
        <f>'FR PD 001 V1'!G8</f>
        <v>0</v>
      </c>
      <c r="C11" s="97" t="e">
        <f>IF(VLOOKUP(B11,ESTANDAR!A:P,16,0)="CONTROLADO",'FR PD 001 V1'!H8&amp;"-"&amp;'FR PD 001 V1'!B8,'FR PD 001 V1'!H8)</f>
        <v>#N/A</v>
      </c>
      <c r="D11" s="97" t="str">
        <f>IFERROR(VLOOKUP(B11,ESTANDAR!$A:$D,4,0),"")</f>
        <v/>
      </c>
      <c r="E11" s="97">
        <f>'FR PD 001 V1'!K8</f>
        <v>0</v>
      </c>
      <c r="F11" s="97" t="str">
        <f>IF('FR PD 001 V1'!S8="L","L",IF('FR PD 001 V1'!S8="D","D","I"))</f>
        <v>I</v>
      </c>
      <c r="G11" s="98" t="str">
        <f>IF(OR(F11="L",F11="D"),'FR PD 001 V1'!O8,"")</f>
        <v/>
      </c>
      <c r="H11" s="99" t="str">
        <f>IF(OR(F11="L",F11="D"),'FR PD 001 V1'!P8,"")</f>
        <v/>
      </c>
      <c r="I11" s="97"/>
      <c r="J11" s="100">
        <f>IFERROR(IF(B11=B10,0,ROUNDUP(SUMIFS(L$9:L$85,B$9:B$85,B11)/VLOOKUP(B11,ESTANDAR!A:N,5,0),0)),0)</f>
        <v>0</v>
      </c>
      <c r="K11" s="244">
        <f t="shared" si="1"/>
        <v>0</v>
      </c>
      <c r="L11" s="241">
        <f>'FR PD 001 V1'!J8*'FR PD 001 V1'!Q8</f>
        <v>0</v>
      </c>
      <c r="M11" s="64">
        <f t="shared" si="0"/>
        <v>0</v>
      </c>
    </row>
    <row r="12" spans="1:16" ht="18" customHeight="1">
      <c r="A12" s="95" t="str">
        <f>'FR PD 001 V1'!A9</f>
        <v/>
      </c>
      <c r="B12" s="96">
        <f>'FR PD 001 V1'!G9</f>
        <v>0</v>
      </c>
      <c r="C12" s="97" t="e">
        <f>IF(VLOOKUP(B12,ESTANDAR!A:P,16,0)="CONTROLADO",'FR PD 001 V1'!H9&amp;"-"&amp;'FR PD 001 V1'!B9,'FR PD 001 V1'!H9)</f>
        <v>#N/A</v>
      </c>
      <c r="D12" s="97" t="str">
        <f>IFERROR(VLOOKUP(B12,ESTANDAR!$A:$D,4,0),"")</f>
        <v/>
      </c>
      <c r="E12" s="97">
        <f>'FR PD 001 V1'!K9</f>
        <v>0</v>
      </c>
      <c r="F12" s="97" t="str">
        <f>IF('FR PD 001 V1'!S9="L","L",IF('FR PD 001 V1'!S9="D","D","I"))</f>
        <v>I</v>
      </c>
      <c r="G12" s="98" t="str">
        <f>IF(OR(F12="L",F12="D"),'FR PD 001 V1'!O9,"")</f>
        <v/>
      </c>
      <c r="H12" s="99" t="str">
        <f>IF(OR(F12="L",F12="D"),'FR PD 001 V1'!P9,"")</f>
        <v/>
      </c>
      <c r="I12" s="97"/>
      <c r="J12" s="100">
        <f>IFERROR(IF(B12=B11,0,ROUNDUP(SUMIFS(L$9:L$85,B$9:B$85,B12)/VLOOKUP(B12,ESTANDAR!A:N,5,0),0)),0)</f>
        <v>0</v>
      </c>
      <c r="K12" s="244">
        <f t="shared" si="1"/>
        <v>0</v>
      </c>
      <c r="L12" s="241">
        <f>'FR PD 001 V1'!J9*'FR PD 001 V1'!Q9</f>
        <v>0</v>
      </c>
      <c r="M12" s="64">
        <f t="shared" si="0"/>
        <v>0</v>
      </c>
    </row>
    <row r="13" spans="1:16" ht="18" customHeight="1">
      <c r="A13" s="95" t="str">
        <f>'FR PD 001 V1'!A10</f>
        <v/>
      </c>
      <c r="B13" s="96">
        <f>'FR PD 001 V1'!G10</f>
        <v>0</v>
      </c>
      <c r="C13" s="97" t="e">
        <f>IF(VLOOKUP(B13,ESTANDAR!A:P,16,0)="CONTROLADO",'FR PD 001 V1'!H10&amp;"-"&amp;'FR PD 001 V1'!B10,'FR PD 001 V1'!H10)</f>
        <v>#N/A</v>
      </c>
      <c r="D13" s="97" t="str">
        <f>IFERROR(VLOOKUP(B13,ESTANDAR!$A:$D,4,0),"")</f>
        <v/>
      </c>
      <c r="E13" s="97">
        <f>'FR PD 001 V1'!K10</f>
        <v>0</v>
      </c>
      <c r="F13" s="97" t="str">
        <f>IF('FR PD 001 V1'!S10="L","L",IF('FR PD 001 V1'!S10="D","D","I"))</f>
        <v>I</v>
      </c>
      <c r="G13" s="98" t="str">
        <f>IF(OR(F13="L",F13="D"),'FR PD 001 V1'!O10,"")</f>
        <v/>
      </c>
      <c r="H13" s="99" t="str">
        <f>IF(OR(F13="L",F13="D"),'FR PD 001 V1'!P10,"")</f>
        <v/>
      </c>
      <c r="I13" s="97"/>
      <c r="J13" s="100">
        <f>IFERROR(IF(B13=B12,0,ROUNDUP(SUMIFS(L$9:L$85,B$9:B$85,B13)/VLOOKUP(B13,ESTANDAR!A:N,5,0),0)),0)</f>
        <v>0</v>
      </c>
      <c r="K13" s="244">
        <f t="shared" si="1"/>
        <v>0</v>
      </c>
      <c r="L13" s="241">
        <f>'FR PD 001 V1'!J10*'FR PD 001 V1'!Q10</f>
        <v>0</v>
      </c>
      <c r="M13" s="64">
        <f t="shared" si="0"/>
        <v>0</v>
      </c>
    </row>
    <row r="14" spans="1:16" ht="18" customHeight="1">
      <c r="A14" s="95" t="str">
        <f>'FR PD 001 V1'!A11</f>
        <v/>
      </c>
      <c r="B14" s="96">
        <f>'FR PD 001 V1'!G11</f>
        <v>0</v>
      </c>
      <c r="C14" s="97" t="e">
        <f>IF(VLOOKUP(B14,ESTANDAR!A:P,16,0)="CONTROLADO",'FR PD 001 V1'!H11&amp;"-"&amp;'FR PD 001 V1'!B11,'FR PD 001 V1'!H11)</f>
        <v>#N/A</v>
      </c>
      <c r="D14" s="97" t="str">
        <f>IFERROR(VLOOKUP(B14,ESTANDAR!$A:$D,4,0),"")</f>
        <v/>
      </c>
      <c r="E14" s="97">
        <f>'FR PD 001 V1'!K11</f>
        <v>0</v>
      </c>
      <c r="F14" s="97" t="str">
        <f>IF('FR PD 001 V1'!S11="L","L",IF('FR PD 001 V1'!S11="D","D","I"))</f>
        <v>I</v>
      </c>
      <c r="G14" s="98" t="str">
        <f>IF(OR(F14="L",F14="D"),'FR PD 001 V1'!O11,"")</f>
        <v/>
      </c>
      <c r="H14" s="99" t="str">
        <f>IF(OR(F14="L",F14="D"),'FR PD 001 V1'!P11,"")</f>
        <v/>
      </c>
      <c r="I14" s="97"/>
      <c r="J14" s="100">
        <f>IFERROR(IF(B14=B13,0,ROUNDUP(SUMIFS(L$9:L$85,B$9:B$85,B14)/VLOOKUP(B14,ESTANDAR!A:N,5,0),0)),0)</f>
        <v>0</v>
      </c>
      <c r="K14" s="244">
        <f t="shared" si="1"/>
        <v>0</v>
      </c>
      <c r="L14" s="241">
        <f>'FR PD 001 V1'!J11*'FR PD 001 V1'!Q11</f>
        <v>0</v>
      </c>
      <c r="M14" s="64">
        <f t="shared" si="0"/>
        <v>0</v>
      </c>
    </row>
    <row r="15" spans="1:16" ht="18" customHeight="1">
      <c r="A15" s="95" t="str">
        <f>'FR PD 001 V1'!A12</f>
        <v/>
      </c>
      <c r="B15" s="96">
        <f>'FR PD 001 V1'!G12</f>
        <v>0</v>
      </c>
      <c r="C15" s="97" t="e">
        <f>IF(VLOOKUP(B15,ESTANDAR!A:P,16,0)="CONTROLADO",'FR PD 001 V1'!H12&amp;"-"&amp;'FR PD 001 V1'!B12,'FR PD 001 V1'!H12)</f>
        <v>#N/A</v>
      </c>
      <c r="D15" s="97" t="str">
        <f>IFERROR(VLOOKUP(B15,ESTANDAR!$A:$D,4,0),"")</f>
        <v/>
      </c>
      <c r="E15" s="97">
        <f>'FR PD 001 V1'!K12</f>
        <v>0</v>
      </c>
      <c r="F15" s="97" t="str">
        <f>IF('FR PD 001 V1'!S12="L","L",IF('FR PD 001 V1'!S12="D","D","I"))</f>
        <v>I</v>
      </c>
      <c r="G15" s="98" t="str">
        <f>IF(OR(F15="L",F15="D"),'FR PD 001 V1'!O12,"")</f>
        <v/>
      </c>
      <c r="H15" s="99" t="str">
        <f>IF(OR(F15="L",F15="D"),'FR PD 001 V1'!P12,"")</f>
        <v/>
      </c>
      <c r="I15" s="97"/>
      <c r="J15" s="100">
        <f>IFERROR(IF(B15=B14,0,ROUNDUP(SUMIFS(L$9:L$85,B$9:B$85,B15)/VLOOKUP(B15,ESTANDAR!A:N,5,0),0)),0)</f>
        <v>0</v>
      </c>
      <c r="K15" s="244">
        <f t="shared" si="1"/>
        <v>0</v>
      </c>
      <c r="L15" s="241">
        <f>'FR PD 001 V1'!J12*'FR PD 001 V1'!Q12</f>
        <v>0</v>
      </c>
      <c r="M15" s="64">
        <f t="shared" si="0"/>
        <v>0</v>
      </c>
    </row>
    <row r="16" spans="1:16" ht="18" customHeight="1">
      <c r="A16" s="95" t="str">
        <f>'FR PD 001 V1'!A13</f>
        <v/>
      </c>
      <c r="B16" s="96">
        <f>'FR PD 001 V1'!G13</f>
        <v>0</v>
      </c>
      <c r="C16" s="97" t="e">
        <f>IF(VLOOKUP(B16,ESTANDAR!A:P,16,0)="CONTROLADO",'FR PD 001 V1'!H13&amp;"-"&amp;'FR PD 001 V1'!B13,'FR PD 001 V1'!H13)</f>
        <v>#N/A</v>
      </c>
      <c r="D16" s="97" t="str">
        <f>IFERROR(VLOOKUP(B16,ESTANDAR!$A:$D,4,0),"")</f>
        <v/>
      </c>
      <c r="E16" s="97">
        <f>'FR PD 001 V1'!K13</f>
        <v>0</v>
      </c>
      <c r="F16" s="97" t="str">
        <f>IF('FR PD 001 V1'!S13="L","L",IF('FR PD 001 V1'!S13="D","D","I"))</f>
        <v>I</v>
      </c>
      <c r="G16" s="98" t="str">
        <f>IF(OR(F16="L",F16="D"),'FR PD 001 V1'!O13,"")</f>
        <v/>
      </c>
      <c r="H16" s="99" t="str">
        <f>IF(OR(F16="L",F16="D"),'FR PD 001 V1'!P13,"")</f>
        <v/>
      </c>
      <c r="I16" s="97"/>
      <c r="J16" s="100">
        <f>IFERROR(IF(B16=B15,0,ROUNDUP(SUMIFS(L$9:L$85,B$9:B$85,B16)/VLOOKUP(B16,ESTANDAR!A:N,5,0),0)),0)</f>
        <v>0</v>
      </c>
      <c r="K16" s="244">
        <f t="shared" si="1"/>
        <v>0</v>
      </c>
      <c r="L16" s="241">
        <f>'FR PD 001 V1'!J13*'FR PD 001 V1'!Q13</f>
        <v>0</v>
      </c>
      <c r="M16" s="64">
        <f t="shared" si="0"/>
        <v>0</v>
      </c>
    </row>
    <row r="17" spans="1:13" ht="18" customHeight="1">
      <c r="A17" s="95" t="str">
        <f>'FR PD 001 V1'!A14</f>
        <v/>
      </c>
      <c r="B17" s="96">
        <f>'FR PD 001 V1'!G14</f>
        <v>0</v>
      </c>
      <c r="C17" s="97" t="e">
        <f>IF(VLOOKUP(B17,ESTANDAR!A:P,16,0)="CONTROLADO",'FR PD 001 V1'!H14&amp;"-"&amp;'FR PD 001 V1'!B14,'FR PD 001 V1'!H14)</f>
        <v>#N/A</v>
      </c>
      <c r="D17" s="97" t="str">
        <f>IFERROR(VLOOKUP(B17,ESTANDAR!$A:$D,4,0),"")</f>
        <v/>
      </c>
      <c r="E17" s="97">
        <f>'FR PD 001 V1'!K14</f>
        <v>0</v>
      </c>
      <c r="F17" s="97" t="str">
        <f>IF('FR PD 001 V1'!S14="L","L",IF('FR PD 001 V1'!S14="D","D","I"))</f>
        <v>I</v>
      </c>
      <c r="G17" s="98" t="str">
        <f>IF(OR(F17="L",F17="D"),'FR PD 001 V1'!O14,"")</f>
        <v/>
      </c>
      <c r="H17" s="99" t="str">
        <f>IF(OR(F17="L",F17="D"),'FR PD 001 V1'!P14,"")</f>
        <v/>
      </c>
      <c r="I17" s="97"/>
      <c r="J17" s="100">
        <f>IFERROR(IF(B17=B16,0,ROUNDUP(SUMIFS(L$9:L$85,B$9:B$85,B17)/VLOOKUP(B17,ESTANDAR!A:N,5,0),0)),0)</f>
        <v>0</v>
      </c>
      <c r="K17" s="244">
        <f t="shared" si="1"/>
        <v>0</v>
      </c>
      <c r="L17" s="241">
        <f>'FR PD 001 V1'!J14*'FR PD 001 V1'!Q14</f>
        <v>0</v>
      </c>
      <c r="M17" s="64">
        <f t="shared" si="0"/>
        <v>0</v>
      </c>
    </row>
    <row r="18" spans="1:13" ht="18" customHeight="1">
      <c r="A18" s="95" t="str">
        <f>'FR PD 001 V1'!A15</f>
        <v/>
      </c>
      <c r="B18" s="96">
        <f>'FR PD 001 V1'!G15</f>
        <v>0</v>
      </c>
      <c r="C18" s="97" t="e">
        <f>IF(VLOOKUP(B18,ESTANDAR!A:P,16,0)="CONTROLADO",'FR PD 001 V1'!H15&amp;"-"&amp;'FR PD 001 V1'!B15,'FR PD 001 V1'!H15)</f>
        <v>#N/A</v>
      </c>
      <c r="D18" s="97" t="str">
        <f>IFERROR(VLOOKUP(B18,ESTANDAR!$A:$D,4,0),"")</f>
        <v/>
      </c>
      <c r="E18" s="97">
        <f>'FR PD 001 V1'!K15</f>
        <v>0</v>
      </c>
      <c r="F18" s="97" t="str">
        <f>IF('FR PD 001 V1'!S15="L","L",IF('FR PD 001 V1'!S15="D","D","I"))</f>
        <v>I</v>
      </c>
      <c r="G18" s="98" t="str">
        <f>IF(OR(F18="L",F18="D"),'FR PD 001 V1'!O15,"")</f>
        <v/>
      </c>
      <c r="H18" s="99" t="str">
        <f>IF(OR(F18="L",F18="D"),'FR PD 001 V1'!P15,"")</f>
        <v/>
      </c>
      <c r="I18" s="97"/>
      <c r="J18" s="100">
        <f>IFERROR(IF(B18=B17,0,ROUNDUP(SUMIFS(L$9:L$85,B$9:B$85,B18)/VLOOKUP(B18,ESTANDAR!A:N,5,0),0)),0)</f>
        <v>0</v>
      </c>
      <c r="K18" s="244">
        <f t="shared" si="1"/>
        <v>0</v>
      </c>
      <c r="L18" s="241">
        <f>'FR PD 001 V1'!J15*'FR PD 001 V1'!Q15</f>
        <v>0</v>
      </c>
      <c r="M18" s="64">
        <f t="shared" si="0"/>
        <v>0</v>
      </c>
    </row>
    <row r="19" spans="1:13" ht="18" customHeight="1">
      <c r="A19" s="95" t="str">
        <f>'FR PD 001 V1'!A16</f>
        <v/>
      </c>
      <c r="B19" s="96">
        <f>'FR PD 001 V1'!G16</f>
        <v>0</v>
      </c>
      <c r="C19" s="97" t="e">
        <f>IF(VLOOKUP(B19,ESTANDAR!A:P,16,0)="CONTROLADO",'FR PD 001 V1'!H16&amp;"-"&amp;'FR PD 001 V1'!B16,'FR PD 001 V1'!H16)</f>
        <v>#N/A</v>
      </c>
      <c r="D19" s="97" t="str">
        <f>IFERROR(VLOOKUP(B19,ESTANDAR!$A:$D,4,0),"")</f>
        <v/>
      </c>
      <c r="E19" s="97">
        <f>'FR PD 001 V1'!K16</f>
        <v>0</v>
      </c>
      <c r="F19" s="97" t="str">
        <f>IF('FR PD 001 V1'!S16="L","L",IF('FR PD 001 V1'!S16="D","D","I"))</f>
        <v>I</v>
      </c>
      <c r="G19" s="98" t="str">
        <f>IF(OR(F19="L",F19="D"),'FR PD 001 V1'!O16,"")</f>
        <v/>
      </c>
      <c r="H19" s="99" t="str">
        <f>IF(OR(F19="L",F19="D"),'FR PD 001 V1'!P16,"")</f>
        <v/>
      </c>
      <c r="I19" s="97"/>
      <c r="J19" s="100">
        <f>IFERROR(IF(B19=B18,0,ROUNDUP(SUMIFS(L$9:L$85,B$9:B$85,B19)/VLOOKUP(B19,ESTANDAR!A:N,5,0),0)),0)</f>
        <v>0</v>
      </c>
      <c r="K19" s="244">
        <f t="shared" si="1"/>
        <v>0</v>
      </c>
      <c r="L19" s="241">
        <f>'FR PD 001 V1'!J16*'FR PD 001 V1'!Q16</f>
        <v>0</v>
      </c>
      <c r="M19" s="64">
        <f t="shared" si="0"/>
        <v>0</v>
      </c>
    </row>
    <row r="20" spans="1:13" ht="18" customHeight="1">
      <c r="A20" s="95" t="str">
        <f>'FR PD 001 V1'!A17</f>
        <v/>
      </c>
      <c r="B20" s="96">
        <f>'FR PD 001 V1'!G17</f>
        <v>0</v>
      </c>
      <c r="C20" s="97" t="e">
        <f>IF(VLOOKUP(B20,ESTANDAR!A:P,16,0)="CONTROLADO",'FR PD 001 V1'!H17&amp;"-"&amp;'FR PD 001 V1'!B17,'FR PD 001 V1'!H17)</f>
        <v>#N/A</v>
      </c>
      <c r="D20" s="97" t="str">
        <f>IFERROR(VLOOKUP(B20,ESTANDAR!$A:$D,4,0),"")</f>
        <v/>
      </c>
      <c r="E20" s="97">
        <f>'FR PD 001 V1'!K17</f>
        <v>0</v>
      </c>
      <c r="F20" s="97" t="str">
        <f>IF('FR PD 001 V1'!S17="L","L",IF('FR PD 001 V1'!S17="D","D","I"))</f>
        <v>I</v>
      </c>
      <c r="G20" s="98" t="str">
        <f>IF(OR(F20="L",F20="D"),'FR PD 001 V1'!O17,"")</f>
        <v/>
      </c>
      <c r="H20" s="99" t="str">
        <f>IF(OR(F20="L",F20="D"),'FR PD 001 V1'!P17,"")</f>
        <v/>
      </c>
      <c r="I20" s="97"/>
      <c r="J20" s="100">
        <f>IFERROR(IF(B20=B19,0,ROUNDUP(SUMIFS(L$9:L$85,B$9:B$85,B20)/VLOOKUP(B20,ESTANDAR!A:N,5,0),0)),0)</f>
        <v>0</v>
      </c>
      <c r="K20" s="244">
        <f t="shared" si="1"/>
        <v>0</v>
      </c>
      <c r="L20" s="241">
        <f>'FR PD 001 V1'!J17*'FR PD 001 V1'!Q17</f>
        <v>0</v>
      </c>
      <c r="M20" s="64">
        <f t="shared" si="0"/>
        <v>0</v>
      </c>
    </row>
    <row r="21" spans="1:13" ht="18" customHeight="1">
      <c r="A21" s="95" t="str">
        <f>'FR PD 001 V1'!A18</f>
        <v/>
      </c>
      <c r="B21" s="96">
        <f>'FR PD 001 V1'!G18</f>
        <v>0</v>
      </c>
      <c r="C21" s="97" t="e">
        <f>IF(VLOOKUP(B21,ESTANDAR!A:P,16,0)="CONTROLADO",'FR PD 001 V1'!H18&amp;"-"&amp;'FR PD 001 V1'!B18,'FR PD 001 V1'!H18)</f>
        <v>#N/A</v>
      </c>
      <c r="D21" s="97" t="str">
        <f>IFERROR(VLOOKUP(B21,ESTANDAR!$A:$D,4,0),"")</f>
        <v/>
      </c>
      <c r="E21" s="97">
        <f>'FR PD 001 V1'!K18</f>
        <v>0</v>
      </c>
      <c r="F21" s="97" t="str">
        <f>IF('FR PD 001 V1'!S18="L","L",IF('FR PD 001 V1'!S18="D","D","I"))</f>
        <v>I</v>
      </c>
      <c r="G21" s="98" t="str">
        <f>IF(OR(F21="L",F21="D"),'FR PD 001 V1'!O18,"")</f>
        <v/>
      </c>
      <c r="H21" s="99" t="str">
        <f>IF(OR(F21="L",F21="D"),'FR PD 001 V1'!P18,"")</f>
        <v/>
      </c>
      <c r="I21" s="97"/>
      <c r="J21" s="100">
        <f>IFERROR(IF(B21=B20,0,ROUNDUP(SUMIFS(L$9:L$85,B$9:B$85,B21)/VLOOKUP(B21,ESTANDAR!A:N,5,0),0)),0)</f>
        <v>0</v>
      </c>
      <c r="K21" s="244">
        <f t="shared" si="1"/>
        <v>0</v>
      </c>
      <c r="L21" s="241">
        <f>'FR PD 001 V1'!J18*'FR PD 001 V1'!Q18</f>
        <v>0</v>
      </c>
      <c r="M21" s="64">
        <f t="shared" si="0"/>
        <v>0</v>
      </c>
    </row>
    <row r="22" spans="1:13" ht="18" customHeight="1">
      <c r="A22" s="95" t="str">
        <f>'FR PD 001 V1'!A19</f>
        <v/>
      </c>
      <c r="B22" s="96">
        <f>'FR PD 001 V1'!G19</f>
        <v>0</v>
      </c>
      <c r="C22" s="97" t="e">
        <f>IF(VLOOKUP(B22,ESTANDAR!A:P,16,0)="CONTROLADO",'FR PD 001 V1'!H19&amp;"-"&amp;'FR PD 001 V1'!B19,'FR PD 001 V1'!H19)</f>
        <v>#N/A</v>
      </c>
      <c r="D22" s="97" t="str">
        <f>IFERROR(VLOOKUP(B22,ESTANDAR!$A:$D,4,0),"")</f>
        <v/>
      </c>
      <c r="E22" s="97">
        <f>'FR PD 001 V1'!K19</f>
        <v>0</v>
      </c>
      <c r="F22" s="97" t="str">
        <f>IF('FR PD 001 V1'!S19="L","L",IF('FR PD 001 V1'!S19="D","D","I"))</f>
        <v>I</v>
      </c>
      <c r="G22" s="98" t="str">
        <f>IF(OR(F22="L",F22="D"),'FR PD 001 V1'!O19,"")</f>
        <v/>
      </c>
      <c r="H22" s="99" t="str">
        <f>IF(OR(F22="L",F22="D"),'FR PD 001 V1'!P19,"")</f>
        <v/>
      </c>
      <c r="I22" s="97"/>
      <c r="J22" s="100">
        <f>IFERROR(IF(B22=B21,0,ROUNDUP(SUMIFS(L$9:L$85,B$9:B$85,B22)/VLOOKUP(B22,ESTANDAR!A:N,5,0),0)),0)</f>
        <v>0</v>
      </c>
      <c r="K22" s="244">
        <f t="shared" si="1"/>
        <v>0</v>
      </c>
      <c r="L22" s="241">
        <f>'FR PD 001 V1'!J19*'FR PD 001 V1'!Q19</f>
        <v>0</v>
      </c>
      <c r="M22" s="64">
        <f t="shared" si="0"/>
        <v>0</v>
      </c>
    </row>
    <row r="23" spans="1:13" ht="18" customHeight="1">
      <c r="A23" s="95" t="str">
        <f>'FR PD 001 V1'!A20</f>
        <v/>
      </c>
      <c r="B23" s="96">
        <f>'FR PD 001 V1'!G20</f>
        <v>0</v>
      </c>
      <c r="C23" s="97" t="e">
        <f>IF(VLOOKUP(B23,ESTANDAR!A:P,16,0)="CONTROLADO",'FR PD 001 V1'!H20&amp;"-"&amp;'FR PD 001 V1'!B20,'FR PD 001 V1'!H20)</f>
        <v>#N/A</v>
      </c>
      <c r="D23" s="97" t="str">
        <f>IFERROR(VLOOKUP(B23,ESTANDAR!$A:$D,4,0),"")</f>
        <v/>
      </c>
      <c r="E23" s="97">
        <f>'FR PD 001 V1'!K20</f>
        <v>0</v>
      </c>
      <c r="F23" s="97" t="str">
        <f>IF('FR PD 001 V1'!S20="L","L",IF('FR PD 001 V1'!S20="D","D","I"))</f>
        <v>I</v>
      </c>
      <c r="G23" s="98" t="str">
        <f>IF(OR(F23="L",F23="D"),'FR PD 001 V1'!O20,"")</f>
        <v/>
      </c>
      <c r="H23" s="99" t="str">
        <f>IF(OR(F23="L",F23="D"),'FR PD 001 V1'!P20,"")</f>
        <v/>
      </c>
      <c r="I23" s="97"/>
      <c r="J23" s="100">
        <f>IFERROR(IF(B23=B22,0,ROUNDUP(SUMIFS(L$9:L$85,B$9:B$85,B23)/VLOOKUP(B23,ESTANDAR!A:N,5,0),0)),0)</f>
        <v>0</v>
      </c>
      <c r="K23" s="244">
        <f t="shared" si="1"/>
        <v>0</v>
      </c>
      <c r="L23" s="241">
        <f>'FR PD 001 V1'!J20*'FR PD 001 V1'!Q20</f>
        <v>0</v>
      </c>
      <c r="M23" s="64">
        <f t="shared" si="0"/>
        <v>0</v>
      </c>
    </row>
    <row r="24" spans="1:13" ht="18" customHeight="1">
      <c r="A24" s="95" t="str">
        <f>'FR PD 001 V1'!A21</f>
        <v/>
      </c>
      <c r="B24" s="96">
        <f>'FR PD 001 V1'!G21</f>
        <v>0</v>
      </c>
      <c r="C24" s="97" t="e">
        <f>IF(VLOOKUP(B24,ESTANDAR!A:P,16,0)="CONTROLADO",'FR PD 001 V1'!H21&amp;"-"&amp;'FR PD 001 V1'!B21,'FR PD 001 V1'!H21)</f>
        <v>#N/A</v>
      </c>
      <c r="D24" s="97" t="str">
        <f>IFERROR(VLOOKUP(B24,ESTANDAR!$A:$D,4,0),"")</f>
        <v/>
      </c>
      <c r="E24" s="97">
        <f>'FR PD 001 V1'!K21</f>
        <v>0</v>
      </c>
      <c r="F24" s="97" t="str">
        <f>IF('FR PD 001 V1'!S21="L","L",IF('FR PD 001 V1'!S21="D","D","I"))</f>
        <v>I</v>
      </c>
      <c r="G24" s="98" t="str">
        <f>IF(OR(F24="L",F24="D"),'FR PD 001 V1'!O21,"")</f>
        <v/>
      </c>
      <c r="H24" s="99" t="str">
        <f>IF(OR(F24="L",F24="D"),'FR PD 001 V1'!P21,"")</f>
        <v/>
      </c>
      <c r="I24" s="97"/>
      <c r="J24" s="100">
        <f>IFERROR(IF(B24=B23,0,ROUNDUP(SUMIFS(L$9:L$85,B$9:B$85,B24)/VLOOKUP(B24,ESTANDAR!A:N,5,0),0)),0)</f>
        <v>0</v>
      </c>
      <c r="K24" s="244">
        <f t="shared" si="1"/>
        <v>0</v>
      </c>
      <c r="L24" s="241">
        <f>'FR PD 001 V1'!J21*'FR PD 001 V1'!Q21</f>
        <v>0</v>
      </c>
      <c r="M24" s="64">
        <f t="shared" si="0"/>
        <v>0</v>
      </c>
    </row>
    <row r="25" spans="1:13" ht="18" customHeight="1">
      <c r="A25" s="95" t="str">
        <f>'FR PD 001 V1'!A22</f>
        <v/>
      </c>
      <c r="B25" s="96">
        <f>'FR PD 001 V1'!G22</f>
        <v>0</v>
      </c>
      <c r="C25" s="97" t="e">
        <f>IF(VLOOKUP(B25,ESTANDAR!A:P,16,0)="CONTROLADO",'FR PD 001 V1'!H22&amp;"-"&amp;'FR PD 001 V1'!B22,'FR PD 001 V1'!H22)</f>
        <v>#N/A</v>
      </c>
      <c r="D25" s="97" t="str">
        <f>IFERROR(VLOOKUP(B25,ESTANDAR!$A:$D,4,0),"")</f>
        <v/>
      </c>
      <c r="E25" s="97">
        <f>'FR PD 001 V1'!K22</f>
        <v>0</v>
      </c>
      <c r="F25" s="97" t="str">
        <f>IF('FR PD 001 V1'!S22="L","L",IF('FR PD 001 V1'!S22="D","D","I"))</f>
        <v>I</v>
      </c>
      <c r="G25" s="98" t="str">
        <f>IF(OR(F25="L",F25="D"),'FR PD 001 V1'!O22,"")</f>
        <v/>
      </c>
      <c r="H25" s="99" t="str">
        <f>IF(OR(F25="L",F25="D"),'FR PD 001 V1'!P22,"")</f>
        <v/>
      </c>
      <c r="I25" s="97"/>
      <c r="J25" s="100">
        <f>IFERROR(IF(B25=B24,0,ROUNDUP(SUMIFS(L$9:L$85,B$9:B$85,B25)/VLOOKUP(B25,ESTANDAR!A:N,5,0),0)),0)</f>
        <v>0</v>
      </c>
      <c r="K25" s="244">
        <f t="shared" si="1"/>
        <v>0</v>
      </c>
      <c r="L25" s="241">
        <f>'FR PD 001 V1'!J22*'FR PD 001 V1'!Q22</f>
        <v>0</v>
      </c>
      <c r="M25" s="64">
        <f t="shared" si="0"/>
        <v>0</v>
      </c>
    </row>
    <row r="26" spans="1:13" ht="18" customHeight="1">
      <c r="A26" s="95" t="str">
        <f>'FR PD 001 V1'!A23</f>
        <v/>
      </c>
      <c r="B26" s="96">
        <f>'FR PD 001 V1'!G23</f>
        <v>0</v>
      </c>
      <c r="C26" s="97" t="e">
        <f>IF(VLOOKUP(B26,ESTANDAR!A:P,16,0)="CONTROLADO",'FR PD 001 V1'!H23&amp;"-"&amp;'FR PD 001 V1'!B23,'FR PD 001 V1'!H23)</f>
        <v>#N/A</v>
      </c>
      <c r="D26" s="97" t="str">
        <f>IFERROR(VLOOKUP(B26,ESTANDAR!$A:$D,4,0),"")</f>
        <v/>
      </c>
      <c r="E26" s="97">
        <f>'FR PD 001 V1'!K23</f>
        <v>0</v>
      </c>
      <c r="F26" s="97" t="str">
        <f>IF('FR PD 001 V1'!S23="L","L",IF('FR PD 001 V1'!S23="D","D","I"))</f>
        <v>I</v>
      </c>
      <c r="G26" s="98" t="str">
        <f>IF(OR(F26="L",F26="D"),'FR PD 001 V1'!O23,"")</f>
        <v/>
      </c>
      <c r="H26" s="99" t="str">
        <f>IF(OR(F26="L",F26="D"),'FR PD 001 V1'!P23,"")</f>
        <v/>
      </c>
      <c r="I26" s="97"/>
      <c r="J26" s="100">
        <f>IFERROR(IF(B26=B25,0,ROUNDUP(SUMIFS(L$9:L$85,B$9:B$85,B26)/VLOOKUP(B26,ESTANDAR!A:N,5,0),0)),0)</f>
        <v>0</v>
      </c>
      <c r="K26" s="244">
        <f t="shared" si="1"/>
        <v>0</v>
      </c>
      <c r="L26" s="241">
        <f>'FR PD 001 V1'!J23*'FR PD 001 V1'!Q23</f>
        <v>0</v>
      </c>
      <c r="M26" s="64">
        <f t="shared" si="0"/>
        <v>0</v>
      </c>
    </row>
    <row r="27" spans="1:13" ht="18" customHeight="1">
      <c r="A27" s="95" t="str">
        <f>'FR PD 001 V1'!A24</f>
        <v/>
      </c>
      <c r="B27" s="96">
        <f>'FR PD 001 V1'!G24</f>
        <v>0</v>
      </c>
      <c r="C27" s="97" t="e">
        <f>IF(VLOOKUP(B27,ESTANDAR!A:P,16,0)="CONTROLADO",'FR PD 001 V1'!H24&amp;"-"&amp;'FR PD 001 V1'!B24,'FR PD 001 V1'!H24)</f>
        <v>#N/A</v>
      </c>
      <c r="D27" s="97" t="str">
        <f>IFERROR(VLOOKUP(B27,ESTANDAR!$A:$D,4,0),"")</f>
        <v/>
      </c>
      <c r="E27" s="97">
        <f>'FR PD 001 V1'!K24</f>
        <v>0</v>
      </c>
      <c r="F27" s="97" t="str">
        <f>IF('FR PD 001 V1'!S24="L","L",IF('FR PD 001 V1'!S24="D","D","I"))</f>
        <v>I</v>
      </c>
      <c r="G27" s="98" t="str">
        <f>IF(OR(F27="L",F27="D"),'FR PD 001 V1'!O24,"")</f>
        <v/>
      </c>
      <c r="H27" s="99" t="str">
        <f>IF(OR(F27="L",F27="D"),'FR PD 001 V1'!P24,"")</f>
        <v/>
      </c>
      <c r="I27" s="97"/>
      <c r="J27" s="100">
        <f>IFERROR(IF(B27=B26,0,ROUNDUP(SUMIFS(L$9:L$85,B$9:B$85,B27)/VLOOKUP(B27,ESTANDAR!A:N,5,0),0)),0)</f>
        <v>0</v>
      </c>
      <c r="K27" s="244">
        <f t="shared" si="1"/>
        <v>0</v>
      </c>
      <c r="L27" s="241">
        <f>'FR PD 001 V1'!J24*'FR PD 001 V1'!Q24</f>
        <v>0</v>
      </c>
      <c r="M27" s="64">
        <f t="shared" si="0"/>
        <v>0</v>
      </c>
    </row>
    <row r="28" spans="1:13" ht="18" customHeight="1">
      <c r="A28" s="95" t="str">
        <f>'FR PD 001 V1'!A25</f>
        <v/>
      </c>
      <c r="B28" s="96">
        <f>'FR PD 001 V1'!G25</f>
        <v>0</v>
      </c>
      <c r="C28" s="97" t="e">
        <f>IF(VLOOKUP(B28,ESTANDAR!A:P,16,0)="CONTROLADO",'FR PD 001 V1'!H25&amp;"-"&amp;'FR PD 001 V1'!B25,'FR PD 001 V1'!H25)</f>
        <v>#N/A</v>
      </c>
      <c r="D28" s="97" t="str">
        <f>IFERROR(VLOOKUP(B28,ESTANDAR!$A:$D,4,0),"")</f>
        <v/>
      </c>
      <c r="E28" s="97">
        <f>'FR PD 001 V1'!K25</f>
        <v>0</v>
      </c>
      <c r="F28" s="97" t="str">
        <f>IF('FR PD 001 V1'!S25="L","L",IF('FR PD 001 V1'!S25="D","D","I"))</f>
        <v>I</v>
      </c>
      <c r="G28" s="98" t="str">
        <f>IF(OR(F28="L",F28="D"),'FR PD 001 V1'!O25,"")</f>
        <v/>
      </c>
      <c r="H28" s="99" t="str">
        <f>IF(OR(F28="L",F28="D"),'FR PD 001 V1'!P25,"")</f>
        <v/>
      </c>
      <c r="I28" s="97"/>
      <c r="J28" s="100">
        <f>IFERROR(IF(B28=B27,0,ROUNDUP(SUMIFS(L$9:L$85,B$9:B$85,B28)/VLOOKUP(B28,ESTANDAR!A:N,5,0),0)),0)</f>
        <v>0</v>
      </c>
      <c r="K28" s="244">
        <f t="shared" si="1"/>
        <v>0</v>
      </c>
      <c r="L28" s="241">
        <f>'FR PD 001 V1'!J25*'FR PD 001 V1'!Q25</f>
        <v>0</v>
      </c>
      <c r="M28" s="64">
        <f t="shared" si="0"/>
        <v>0</v>
      </c>
    </row>
    <row r="29" spans="1:13" ht="18" customHeight="1">
      <c r="A29" s="95" t="str">
        <f>'FR PD 001 V1'!A26</f>
        <v/>
      </c>
      <c r="B29" s="96">
        <f>'FR PD 001 V1'!G26</f>
        <v>0</v>
      </c>
      <c r="C29" s="97" t="e">
        <f>IF(VLOOKUP(B29,ESTANDAR!A:P,16,0)="CONTROLADO",'FR PD 001 V1'!H26&amp;"-"&amp;'FR PD 001 V1'!B26,'FR PD 001 V1'!H26)</f>
        <v>#N/A</v>
      </c>
      <c r="D29" s="97" t="str">
        <f>IFERROR(VLOOKUP(B29,ESTANDAR!$A:$D,4,0),"")</f>
        <v/>
      </c>
      <c r="E29" s="97">
        <f>'FR PD 001 V1'!K26</f>
        <v>0</v>
      </c>
      <c r="F29" s="97" t="str">
        <f>IF('FR PD 001 V1'!S26="L","L",IF('FR PD 001 V1'!S26="D","D","I"))</f>
        <v>I</v>
      </c>
      <c r="G29" s="98" t="str">
        <f>IF(OR(F29="L",F29="D"),'FR PD 001 V1'!O26,"")</f>
        <v/>
      </c>
      <c r="H29" s="99" t="str">
        <f>IF(OR(F29="L",F29="D"),'FR PD 001 V1'!P26,"")</f>
        <v/>
      </c>
      <c r="I29" s="97"/>
      <c r="J29" s="100">
        <f>IFERROR(IF(B29=B28,0,ROUNDUP(SUMIFS(L$9:L$85,B$9:B$85,B29)/VLOOKUP(B29,ESTANDAR!A:N,5,0),0)),0)</f>
        <v>0</v>
      </c>
      <c r="K29" s="244">
        <f t="shared" si="1"/>
        <v>0</v>
      </c>
      <c r="L29" s="241">
        <f>'FR PD 001 V1'!J26*'FR PD 001 V1'!Q26</f>
        <v>0</v>
      </c>
      <c r="M29" s="64">
        <f t="shared" si="0"/>
        <v>0</v>
      </c>
    </row>
    <row r="30" spans="1:13" ht="18" customHeight="1">
      <c r="A30" s="95" t="str">
        <f>'FR PD 001 V1'!A27</f>
        <v/>
      </c>
      <c r="B30" s="96">
        <f>'FR PD 001 V1'!G27</f>
        <v>0</v>
      </c>
      <c r="C30" s="97" t="e">
        <f>IF(VLOOKUP(B30,ESTANDAR!A:P,16,0)="CONTROLADO",'FR PD 001 V1'!H27&amp;"-"&amp;'FR PD 001 V1'!B27,'FR PD 001 V1'!H27)</f>
        <v>#N/A</v>
      </c>
      <c r="D30" s="97" t="str">
        <f>IFERROR(VLOOKUP(B30,ESTANDAR!$A:$D,4,0),"")</f>
        <v/>
      </c>
      <c r="E30" s="97">
        <f>'FR PD 001 V1'!K27</f>
        <v>0</v>
      </c>
      <c r="F30" s="97" t="str">
        <f>IF('FR PD 001 V1'!S27="L","L",IF('FR PD 001 V1'!S27="D","D","I"))</f>
        <v>I</v>
      </c>
      <c r="G30" s="98" t="str">
        <f>IF(OR(F30="L",F30="D"),'FR PD 001 V1'!O27,"")</f>
        <v/>
      </c>
      <c r="H30" s="99" t="str">
        <f>IF(OR(F30="L",F30="D"),'FR PD 001 V1'!P27,"")</f>
        <v/>
      </c>
      <c r="I30" s="97"/>
      <c r="J30" s="100">
        <f>IFERROR(IF(B30=B29,0,ROUNDUP(SUMIFS(L$9:L$85,B$9:B$85,B30)/VLOOKUP(B30,ESTANDAR!A:N,5,0),0)),0)</f>
        <v>0</v>
      </c>
      <c r="K30" s="244">
        <f t="shared" si="1"/>
        <v>0</v>
      </c>
      <c r="L30" s="241">
        <f>'FR PD 001 V1'!J27*'FR PD 001 V1'!Q27</f>
        <v>0</v>
      </c>
      <c r="M30" s="64">
        <f t="shared" si="0"/>
        <v>0</v>
      </c>
    </row>
    <row r="31" spans="1:13" ht="18" customHeight="1">
      <c r="A31" s="95" t="str">
        <f>'FR PD 001 V1'!A28</f>
        <v/>
      </c>
      <c r="B31" s="96">
        <f>'FR PD 001 V1'!G28</f>
        <v>0</v>
      </c>
      <c r="C31" s="97" t="e">
        <f>IF(VLOOKUP(B31,ESTANDAR!A:P,16,0)="CONTROLADO",'FR PD 001 V1'!H28&amp;"-"&amp;'FR PD 001 V1'!B28,'FR PD 001 V1'!H28)</f>
        <v>#N/A</v>
      </c>
      <c r="D31" s="97" t="str">
        <f>IFERROR(VLOOKUP(B31,ESTANDAR!$A:$D,4,0),"")</f>
        <v/>
      </c>
      <c r="E31" s="97">
        <f>'FR PD 001 V1'!K28</f>
        <v>0</v>
      </c>
      <c r="F31" s="97" t="str">
        <f>IF('FR PD 001 V1'!S28="L","L",IF('FR PD 001 V1'!S28="D","D","I"))</f>
        <v>I</v>
      </c>
      <c r="G31" s="98" t="str">
        <f>IF(OR(F31="L",F31="D"),'FR PD 001 V1'!O28,"")</f>
        <v/>
      </c>
      <c r="H31" s="99" t="str">
        <f>IF(OR(F31="L",F31="D"),'FR PD 001 V1'!P28,"")</f>
        <v/>
      </c>
      <c r="I31" s="97"/>
      <c r="J31" s="100">
        <f>IFERROR(IF(B31=B30,0,ROUNDUP(SUMIFS(L$9:L$85,B$9:B$85,B31)/VLOOKUP(B31,ESTANDAR!A:N,5,0),0)),0)</f>
        <v>0</v>
      </c>
      <c r="K31" s="244">
        <f t="shared" si="1"/>
        <v>0</v>
      </c>
      <c r="L31" s="241">
        <f>'FR PD 001 V1'!J28*'FR PD 001 V1'!Q28</f>
        <v>0</v>
      </c>
      <c r="M31" s="64">
        <f t="shared" si="0"/>
        <v>0</v>
      </c>
    </row>
    <row r="32" spans="1:13" ht="18" customHeight="1">
      <c r="A32" s="95" t="str">
        <f>'FR PD 001 V1'!A29</f>
        <v/>
      </c>
      <c r="B32" s="96">
        <f>'FR PD 001 V1'!G29</f>
        <v>0</v>
      </c>
      <c r="C32" s="97" t="e">
        <f>IF(VLOOKUP(B32,ESTANDAR!A:P,16,0)="CONTROLADO",'FR PD 001 V1'!H29&amp;"-"&amp;'FR PD 001 V1'!B29,'FR PD 001 V1'!H29)</f>
        <v>#N/A</v>
      </c>
      <c r="D32" s="97" t="str">
        <f>IFERROR(VLOOKUP(B32,ESTANDAR!$A:$D,4,0),"")</f>
        <v/>
      </c>
      <c r="E32" s="97">
        <f>'FR PD 001 V1'!K29</f>
        <v>0</v>
      </c>
      <c r="F32" s="97" t="str">
        <f>IF('FR PD 001 V1'!S29="L","L",IF('FR PD 001 V1'!S29="D","D","I"))</f>
        <v>I</v>
      </c>
      <c r="G32" s="98" t="str">
        <f>IF(OR(F32="L",F32="D"),'FR PD 001 V1'!O29,"")</f>
        <v/>
      </c>
      <c r="H32" s="99" t="str">
        <f>IF(OR(F32="L",F32="D"),'FR PD 001 V1'!P29,"")</f>
        <v/>
      </c>
      <c r="I32" s="97"/>
      <c r="J32" s="100">
        <f>IFERROR(IF(B32=B31,0,ROUNDUP(SUMIFS(L$9:L$85,B$9:B$85,B32)/VLOOKUP(B32,ESTANDAR!A:N,5,0),0)),0)</f>
        <v>0</v>
      </c>
      <c r="K32" s="244">
        <f t="shared" si="1"/>
        <v>0</v>
      </c>
      <c r="L32" s="241">
        <f>'FR PD 001 V1'!J29*'FR PD 001 V1'!Q29</f>
        <v>0</v>
      </c>
      <c r="M32" s="64">
        <f t="shared" si="0"/>
        <v>0</v>
      </c>
    </row>
    <row r="33" spans="1:13" ht="18" customHeight="1">
      <c r="A33" s="95" t="str">
        <f>'FR PD 001 V1'!A30</f>
        <v/>
      </c>
      <c r="B33" s="96">
        <f>'FR PD 001 V1'!G30</f>
        <v>0</v>
      </c>
      <c r="C33" s="97" t="e">
        <f>IF(VLOOKUP(B33,ESTANDAR!A:P,16,0)="CONTROLADO",'FR PD 001 V1'!H30&amp;"-"&amp;'FR PD 001 V1'!B30,'FR PD 001 V1'!H30)</f>
        <v>#N/A</v>
      </c>
      <c r="D33" s="97" t="str">
        <f>IFERROR(VLOOKUP(B33,ESTANDAR!$A:$D,4,0),"")</f>
        <v/>
      </c>
      <c r="E33" s="97">
        <f>'FR PD 001 V1'!K30</f>
        <v>0</v>
      </c>
      <c r="F33" s="97" t="str">
        <f>IF('FR PD 001 V1'!S30="L","L",IF('FR PD 001 V1'!S30="D","D","I"))</f>
        <v>I</v>
      </c>
      <c r="G33" s="98" t="str">
        <f>IF(OR(F33="L",F33="D"),'FR PD 001 V1'!O30,"")</f>
        <v/>
      </c>
      <c r="H33" s="99" t="str">
        <f>IF(OR(F33="L",F33="D"),'FR PD 001 V1'!P30,"")</f>
        <v/>
      </c>
      <c r="I33" s="97"/>
      <c r="J33" s="100">
        <f>IFERROR(IF(B33=B32,0,ROUNDUP(SUMIFS(L$9:L$85,B$9:B$85,B33)/VLOOKUP(B33,ESTANDAR!A:N,5,0),0)),0)</f>
        <v>0</v>
      </c>
      <c r="K33" s="244">
        <f t="shared" si="1"/>
        <v>0</v>
      </c>
      <c r="L33" s="241">
        <f>'FR PD 001 V1'!J30*'FR PD 001 V1'!Q30</f>
        <v>0</v>
      </c>
      <c r="M33" s="64">
        <f t="shared" si="0"/>
        <v>0</v>
      </c>
    </row>
    <row r="34" spans="1:13" ht="18" customHeight="1">
      <c r="A34" s="95" t="str">
        <f>'FR PD 001 V1'!A31</f>
        <v/>
      </c>
      <c r="B34" s="96">
        <f>'FR PD 001 V1'!G31</f>
        <v>0</v>
      </c>
      <c r="C34" s="97" t="e">
        <f>IF(VLOOKUP(B34,ESTANDAR!A:P,16,0)="CONTROLADO",'FR PD 001 V1'!H31&amp;"-"&amp;'FR PD 001 V1'!B31,'FR PD 001 V1'!H31)</f>
        <v>#N/A</v>
      </c>
      <c r="D34" s="97" t="str">
        <f>IFERROR(VLOOKUP(B34,ESTANDAR!$A:$D,4,0),"")</f>
        <v/>
      </c>
      <c r="E34" s="97">
        <f>'FR PD 001 V1'!K31</f>
        <v>0</v>
      </c>
      <c r="F34" s="97" t="str">
        <f>IF('FR PD 001 V1'!S31="L","L",IF('FR PD 001 V1'!S31="D","D","I"))</f>
        <v>I</v>
      </c>
      <c r="G34" s="98" t="str">
        <f>IF(OR(F34="L",F34="D"),'FR PD 001 V1'!O31,"")</f>
        <v/>
      </c>
      <c r="H34" s="99" t="str">
        <f>IF(OR(F34="L",F34="D"),'FR PD 001 V1'!P31,"")</f>
        <v/>
      </c>
      <c r="I34" s="97"/>
      <c r="J34" s="100">
        <f>IFERROR(IF(B34=B33,0,ROUNDUP(SUMIFS(L$9:L$85,B$9:B$85,B34)/VLOOKUP(B34,ESTANDAR!A:N,5,0),0)),0)</f>
        <v>0</v>
      </c>
      <c r="K34" s="244">
        <f t="shared" si="1"/>
        <v>0</v>
      </c>
      <c r="L34" s="241">
        <f>'FR PD 001 V1'!J31*'FR PD 001 V1'!Q31</f>
        <v>0</v>
      </c>
      <c r="M34" s="64">
        <f t="shared" si="0"/>
        <v>0</v>
      </c>
    </row>
    <row r="35" spans="1:13" ht="18" customHeight="1">
      <c r="A35" s="95" t="str">
        <f>'FR PD 001 V1'!A32</f>
        <v/>
      </c>
      <c r="B35" s="96">
        <f>'FR PD 001 V1'!G32</f>
        <v>0</v>
      </c>
      <c r="C35" s="97" t="e">
        <f>IF(VLOOKUP(B35,ESTANDAR!A:P,16,0)="CONTROLADO",'FR PD 001 V1'!H32&amp;"-"&amp;'FR PD 001 V1'!B32,'FR PD 001 V1'!H32)</f>
        <v>#N/A</v>
      </c>
      <c r="D35" s="97" t="str">
        <f>IFERROR(VLOOKUP(B35,ESTANDAR!$A:$D,4,0),"")</f>
        <v/>
      </c>
      <c r="E35" s="97">
        <f>'FR PD 001 V1'!K32</f>
        <v>0</v>
      </c>
      <c r="F35" s="97" t="str">
        <f>IF('FR PD 001 V1'!S32="L","L",IF('FR PD 001 V1'!S32="D","D","I"))</f>
        <v>I</v>
      </c>
      <c r="G35" s="98" t="str">
        <f>IF(OR(F35="L",F35="D"),'FR PD 001 V1'!O32,"")</f>
        <v/>
      </c>
      <c r="H35" s="99" t="str">
        <f>IF(OR(F35="L",F35="D"),'FR PD 001 V1'!P32,"")</f>
        <v/>
      </c>
      <c r="I35" s="97"/>
      <c r="J35" s="100">
        <f>IFERROR(IF(B35=B34,0,ROUNDUP(SUMIFS(L$9:L$85,B$9:B$85,B35)/VLOOKUP(B35,ESTANDAR!A:N,5,0),0)),0)</f>
        <v>0</v>
      </c>
      <c r="K35" s="244">
        <f t="shared" si="1"/>
        <v>0</v>
      </c>
      <c r="L35" s="241">
        <f>'FR PD 001 V1'!J32*'FR PD 001 V1'!Q32</f>
        <v>0</v>
      </c>
      <c r="M35" s="64">
        <f t="shared" si="0"/>
        <v>0</v>
      </c>
    </row>
    <row r="36" spans="1:13" ht="18" customHeight="1">
      <c r="A36" s="95" t="str">
        <f>'FR PD 001 V1'!A33</f>
        <v/>
      </c>
      <c r="B36" s="96">
        <f>'FR PD 001 V1'!G33</f>
        <v>0</v>
      </c>
      <c r="C36" s="97" t="e">
        <f>IF(VLOOKUP(B36,ESTANDAR!A:P,16,0)="CONTROLADO",'FR PD 001 V1'!H33&amp;"-"&amp;'FR PD 001 V1'!B33,'FR PD 001 V1'!H33)</f>
        <v>#N/A</v>
      </c>
      <c r="D36" s="97" t="str">
        <f>IFERROR(VLOOKUP(B36,ESTANDAR!$A:$D,4,0),"")</f>
        <v/>
      </c>
      <c r="E36" s="97">
        <f>'FR PD 001 V1'!K33</f>
        <v>0</v>
      </c>
      <c r="F36" s="97" t="str">
        <f>IF('FR PD 001 V1'!S33="L","L",IF('FR PD 001 V1'!S33="D","D","I"))</f>
        <v>I</v>
      </c>
      <c r="G36" s="98" t="str">
        <f>IF(OR(F36="L",F36="D"),'FR PD 001 V1'!O33,"")</f>
        <v/>
      </c>
      <c r="H36" s="99" t="str">
        <f>IF(OR(F36="L",F36="D"),'FR PD 001 V1'!P33,"")</f>
        <v/>
      </c>
      <c r="I36" s="97"/>
      <c r="J36" s="100">
        <f>IFERROR(IF(B36=B35,0,ROUNDUP(SUMIFS(L$9:L$85,B$9:B$85,B36)/VLOOKUP(B36,ESTANDAR!A:N,5,0),0)),0)</f>
        <v>0</v>
      </c>
      <c r="K36" s="244">
        <f t="shared" si="1"/>
        <v>0</v>
      </c>
      <c r="L36" s="241">
        <f>'FR PD 001 V1'!J33*'FR PD 001 V1'!Q33</f>
        <v>0</v>
      </c>
      <c r="M36" s="64">
        <f t="shared" si="0"/>
        <v>0</v>
      </c>
    </row>
    <row r="37" spans="1:13" ht="18" customHeight="1">
      <c r="A37" s="95" t="str">
        <f>'FR PD 001 V1'!A34</f>
        <v/>
      </c>
      <c r="B37" s="96">
        <f>'FR PD 001 V1'!G34</f>
        <v>0</v>
      </c>
      <c r="C37" s="97" t="e">
        <f>IF(VLOOKUP(B37,ESTANDAR!A:P,16,0)="CONTROLADO",'FR PD 001 V1'!H34&amp;"-"&amp;'FR PD 001 V1'!B34,'FR PD 001 V1'!H34)</f>
        <v>#N/A</v>
      </c>
      <c r="D37" s="97" t="str">
        <f>IFERROR(VLOOKUP(B37,ESTANDAR!$A:$D,4,0),"")</f>
        <v/>
      </c>
      <c r="E37" s="97">
        <f>'FR PD 001 V1'!K34</f>
        <v>0</v>
      </c>
      <c r="F37" s="97" t="str">
        <f>IF('FR PD 001 V1'!S34="L","L",IF('FR PD 001 V1'!S34="D","D","I"))</f>
        <v>I</v>
      </c>
      <c r="G37" s="98" t="str">
        <f>IF(OR(F37="L",F37="D"),'FR PD 001 V1'!O34,"")</f>
        <v/>
      </c>
      <c r="H37" s="99" t="str">
        <f>IF(OR(F37="L",F37="D"),'FR PD 001 V1'!P34,"")</f>
        <v/>
      </c>
      <c r="I37" s="97"/>
      <c r="J37" s="100">
        <f>IFERROR(IF(B37=B36,0,ROUNDUP(SUMIFS(L$9:L$85,B$9:B$85,B37)/VLOOKUP(B37,ESTANDAR!A:N,5,0),0)),0)</f>
        <v>0</v>
      </c>
      <c r="K37" s="244">
        <f t="shared" si="1"/>
        <v>0</v>
      </c>
      <c r="L37" s="241">
        <f>'FR PD 001 V1'!J34*'FR PD 001 V1'!Q34</f>
        <v>0</v>
      </c>
      <c r="M37" s="64">
        <f t="shared" si="0"/>
        <v>0</v>
      </c>
    </row>
    <row r="38" spans="1:13" ht="18" customHeight="1">
      <c r="A38" s="95" t="str">
        <f>'FR PD 001 V1'!A35</f>
        <v/>
      </c>
      <c r="B38" s="96">
        <f>'FR PD 001 V1'!G35</f>
        <v>0</v>
      </c>
      <c r="C38" s="97" t="e">
        <f>IF(VLOOKUP(B38,ESTANDAR!A:P,16,0)="CONTROLADO",'FR PD 001 V1'!H35&amp;"-"&amp;'FR PD 001 V1'!B35,'FR PD 001 V1'!H35)</f>
        <v>#N/A</v>
      </c>
      <c r="D38" s="97" t="str">
        <f>IFERROR(VLOOKUP(B38,ESTANDAR!$A:$D,4,0),"")</f>
        <v/>
      </c>
      <c r="E38" s="97">
        <f>'FR PD 001 V1'!K35</f>
        <v>0</v>
      </c>
      <c r="F38" s="97" t="str">
        <f>IF('FR PD 001 V1'!S35="L","L",IF('FR PD 001 V1'!S35="D","D","I"))</f>
        <v>I</v>
      </c>
      <c r="G38" s="98" t="str">
        <f>IF(OR(F38="L",F38="D"),'FR PD 001 V1'!O35,"")</f>
        <v/>
      </c>
      <c r="H38" s="99" t="str">
        <f>IF(OR(F38="L",F38="D"),'FR PD 001 V1'!P35,"")</f>
        <v/>
      </c>
      <c r="I38" s="97"/>
      <c r="J38" s="100">
        <f>IFERROR(IF(B38=B37,0,ROUNDUP(SUMIFS(L$9:L$85,B$9:B$85,B38)/VLOOKUP(B38,ESTANDAR!A:N,5,0),0)),0)</f>
        <v>0</v>
      </c>
      <c r="K38" s="244">
        <f t="shared" si="1"/>
        <v>0</v>
      </c>
      <c r="L38" s="241">
        <f>'FR PD 001 V1'!J35*'FR PD 001 V1'!Q35</f>
        <v>0</v>
      </c>
      <c r="M38" s="64">
        <f t="shared" si="0"/>
        <v>0</v>
      </c>
    </row>
    <row r="39" spans="1:13" ht="18" customHeight="1">
      <c r="A39" s="95" t="str">
        <f>'FR PD 001 V1'!A36</f>
        <v/>
      </c>
      <c r="B39" s="96">
        <f>'FR PD 001 V1'!G36</f>
        <v>0</v>
      </c>
      <c r="C39" s="97" t="e">
        <f>IF(VLOOKUP(B39,ESTANDAR!A:P,16,0)="CONTROLADO",'FR PD 001 V1'!H36&amp;"-"&amp;'FR PD 001 V1'!B36,'FR PD 001 V1'!H36)</f>
        <v>#N/A</v>
      </c>
      <c r="D39" s="97" t="str">
        <f>IFERROR(VLOOKUP(B39,ESTANDAR!$A:$D,4,0),"")</f>
        <v/>
      </c>
      <c r="E39" s="97">
        <f>'FR PD 001 V1'!K36</f>
        <v>0</v>
      </c>
      <c r="F39" s="97" t="str">
        <f>IF('FR PD 001 V1'!S36="L","L",IF('FR PD 001 V1'!S36="D","D","I"))</f>
        <v>I</v>
      </c>
      <c r="G39" s="98" t="str">
        <f>IF(OR(F39="L",F39="D"),'FR PD 001 V1'!O36,"")</f>
        <v/>
      </c>
      <c r="H39" s="99" t="str">
        <f>IF(OR(F39="L",F39="D"),'FR PD 001 V1'!P36,"")</f>
        <v/>
      </c>
      <c r="I39" s="97"/>
      <c r="J39" s="100">
        <f>IFERROR(IF(B39=B38,0,ROUNDUP(SUMIFS(L$9:L$85,B$9:B$85,B39)/VLOOKUP(B39,ESTANDAR!A:N,5,0),0)),0)</f>
        <v>0</v>
      </c>
      <c r="K39" s="244">
        <f t="shared" si="1"/>
        <v>0</v>
      </c>
      <c r="L39" s="241">
        <f>'FR PD 001 V1'!J36*'FR PD 001 V1'!Q36</f>
        <v>0</v>
      </c>
      <c r="M39" s="64">
        <f t="shared" si="0"/>
        <v>0</v>
      </c>
    </row>
    <row r="40" spans="1:13" ht="18" customHeight="1">
      <c r="A40" s="95" t="str">
        <f>'FR PD 001 V1'!A37</f>
        <v/>
      </c>
      <c r="B40" s="96">
        <f>'FR PD 001 V1'!G37</f>
        <v>0</v>
      </c>
      <c r="C40" s="97" t="e">
        <f>IF(VLOOKUP(B40,ESTANDAR!A:P,16,0)="CONTROLADO",'FR PD 001 V1'!H37&amp;"-"&amp;'FR PD 001 V1'!B37,'FR PD 001 V1'!H37)</f>
        <v>#N/A</v>
      </c>
      <c r="D40" s="97" t="str">
        <f>IFERROR(VLOOKUP(B40,ESTANDAR!$A:$D,4,0),"")</f>
        <v/>
      </c>
      <c r="E40" s="97">
        <f>'FR PD 001 V1'!K37</f>
        <v>0</v>
      </c>
      <c r="F40" s="97" t="str">
        <f>IF('FR PD 001 V1'!S37="L","L",IF('FR PD 001 V1'!S37="D","D","I"))</f>
        <v>I</v>
      </c>
      <c r="G40" s="98" t="str">
        <f>IF(OR(F40="L",F40="D"),'FR PD 001 V1'!O37,"")</f>
        <v/>
      </c>
      <c r="H40" s="99" t="str">
        <f>IF(OR(F40="L",F40="D"),'FR PD 001 V1'!P37,"")</f>
        <v/>
      </c>
      <c r="I40" s="97"/>
      <c r="J40" s="100">
        <f>IFERROR(IF(B40=B39,0,ROUNDUP(SUMIFS(L$9:L$85,B$9:B$85,B40)/VLOOKUP(B40,ESTANDAR!A:N,5,0),0)),0)</f>
        <v>0</v>
      </c>
      <c r="K40" s="244">
        <f t="shared" si="1"/>
        <v>0</v>
      </c>
      <c r="L40" s="241">
        <f>'FR PD 001 V1'!J37*'FR PD 001 V1'!Q37</f>
        <v>0</v>
      </c>
      <c r="M40" s="64">
        <f t="shared" si="0"/>
        <v>0</v>
      </c>
    </row>
    <row r="41" spans="1:13" ht="18" customHeight="1">
      <c r="A41" s="95" t="str">
        <f>'FR PD 001 V1'!A38</f>
        <v/>
      </c>
      <c r="B41" s="96">
        <f>'FR PD 001 V1'!G38</f>
        <v>0</v>
      </c>
      <c r="C41" s="97" t="e">
        <f>IF(VLOOKUP(B41,ESTANDAR!A:P,16,0)="CONTROLADO",'FR PD 001 V1'!H38&amp;"-"&amp;'FR PD 001 V1'!B38,'FR PD 001 V1'!H38)</f>
        <v>#N/A</v>
      </c>
      <c r="D41" s="97" t="str">
        <f>IFERROR(VLOOKUP(B41,ESTANDAR!$A:$D,4,0),"")</f>
        <v/>
      </c>
      <c r="E41" s="97">
        <f>'FR PD 001 V1'!K38</f>
        <v>0</v>
      </c>
      <c r="F41" s="97" t="str">
        <f>IF('FR PD 001 V1'!S38="L","L",IF('FR PD 001 V1'!S38="D","D","I"))</f>
        <v>I</v>
      </c>
      <c r="G41" s="98" t="str">
        <f>IF(OR(F41="L",F41="D"),'FR PD 001 V1'!O38,"")</f>
        <v/>
      </c>
      <c r="H41" s="99" t="str">
        <f>IF(OR(F41="L",F41="D"),'FR PD 001 V1'!P38,"")</f>
        <v/>
      </c>
      <c r="I41" s="97"/>
      <c r="J41" s="100">
        <f>IFERROR(IF(B41=B40,0,ROUNDUP(SUMIFS(L$9:L$85,B$9:B$85,B41)/VLOOKUP(B41,ESTANDAR!A:N,5,0),0)),0)</f>
        <v>0</v>
      </c>
      <c r="K41" s="244">
        <f t="shared" si="1"/>
        <v>0</v>
      </c>
      <c r="L41" s="241">
        <f>'FR PD 001 V1'!J38*'FR PD 001 V1'!Q38</f>
        <v>0</v>
      </c>
      <c r="M41" s="64">
        <f t="shared" si="0"/>
        <v>0</v>
      </c>
    </row>
    <row r="42" spans="1:13" ht="18" customHeight="1">
      <c r="A42" s="95" t="str">
        <f>'FR PD 001 V1'!A39</f>
        <v/>
      </c>
      <c r="B42" s="96">
        <f>'FR PD 001 V1'!G39</f>
        <v>0</v>
      </c>
      <c r="C42" s="97" t="e">
        <f>IF(VLOOKUP(B42,ESTANDAR!A:P,16,0)="CONTROLADO",'FR PD 001 V1'!H39&amp;"-"&amp;'FR PD 001 V1'!B39,'FR PD 001 V1'!H39)</f>
        <v>#N/A</v>
      </c>
      <c r="D42" s="97" t="str">
        <f>IFERROR(VLOOKUP(B42,ESTANDAR!$A:$D,4,0),"")</f>
        <v/>
      </c>
      <c r="E42" s="97">
        <f>'FR PD 001 V1'!K39</f>
        <v>0</v>
      </c>
      <c r="F42" s="97" t="str">
        <f>IF('FR PD 001 V1'!S39="L","L",IF('FR PD 001 V1'!S39="D","D","I"))</f>
        <v>I</v>
      </c>
      <c r="G42" s="98" t="str">
        <f>IF(OR(F42="L",F42="D"),'FR PD 001 V1'!O39,"")</f>
        <v/>
      </c>
      <c r="H42" s="99" t="str">
        <f>IF(OR(F42="L",F42="D"),'FR PD 001 V1'!P39,"")</f>
        <v/>
      </c>
      <c r="I42" s="97"/>
      <c r="J42" s="100">
        <f>IFERROR(IF(B42=B41,0,ROUNDUP(SUMIFS(L$9:L$85,B$9:B$85,B42)/VLOOKUP(B42,ESTANDAR!A:N,5,0),0)),0)</f>
        <v>0</v>
      </c>
      <c r="K42" s="244">
        <f t="shared" si="1"/>
        <v>0</v>
      </c>
      <c r="L42" s="241">
        <f>'FR PD 001 V1'!J39*'FR PD 001 V1'!Q39</f>
        <v>0</v>
      </c>
      <c r="M42" s="64">
        <f t="shared" si="0"/>
        <v>0</v>
      </c>
    </row>
    <row r="43" spans="1:13" ht="18" customHeight="1">
      <c r="A43" s="95" t="str">
        <f>'FR PD 001 V1'!A40</f>
        <v/>
      </c>
      <c r="B43" s="96">
        <f>'FR PD 001 V1'!G40</f>
        <v>0</v>
      </c>
      <c r="C43" s="97" t="e">
        <f>IF(VLOOKUP(B43,ESTANDAR!A:P,16,0)="CONTROLADO",'FR PD 001 V1'!H40&amp;"-"&amp;'FR PD 001 V1'!B40,'FR PD 001 V1'!H40)</f>
        <v>#N/A</v>
      </c>
      <c r="D43" s="97" t="str">
        <f>IFERROR(VLOOKUP(B43,ESTANDAR!$A:$D,4,0),"")</f>
        <v/>
      </c>
      <c r="E43" s="97">
        <f>'FR PD 001 V1'!K40</f>
        <v>0</v>
      </c>
      <c r="F43" s="97" t="str">
        <f>IF('FR PD 001 V1'!S40="L","L",IF('FR PD 001 V1'!S40="D","D","I"))</f>
        <v>I</v>
      </c>
      <c r="G43" s="98" t="str">
        <f>IF(OR(F43="L",F43="D"),'FR PD 001 V1'!O40,"")</f>
        <v/>
      </c>
      <c r="H43" s="99" t="str">
        <f>IF(OR(F43="L",F43="D"),'FR PD 001 V1'!P40,"")</f>
        <v/>
      </c>
      <c r="I43" s="97"/>
      <c r="J43" s="100">
        <f>IFERROR(IF(B43=B42,0,ROUNDUP(SUMIFS(L$9:L$85,B$9:B$85,B43)/VLOOKUP(B43,ESTANDAR!A:N,5,0),0)),0)</f>
        <v>0</v>
      </c>
      <c r="K43" s="244">
        <f t="shared" si="1"/>
        <v>0</v>
      </c>
      <c r="L43" s="241">
        <f>'FR PD 001 V1'!J40*'FR PD 001 V1'!Q40</f>
        <v>0</v>
      </c>
      <c r="M43" s="64">
        <f t="shared" si="0"/>
        <v>0</v>
      </c>
    </row>
    <row r="44" spans="1:13" ht="18" customHeight="1">
      <c r="A44" s="95" t="str">
        <f>'FR PD 001 V1'!A41</f>
        <v/>
      </c>
      <c r="B44" s="96">
        <f>'FR PD 001 V1'!G41</f>
        <v>0</v>
      </c>
      <c r="C44" s="97" t="e">
        <f>IF(VLOOKUP(B44,ESTANDAR!A:P,16,0)="CONTROLADO",'FR PD 001 V1'!H41&amp;"-"&amp;'FR PD 001 V1'!B41,'FR PD 001 V1'!H41)</f>
        <v>#N/A</v>
      </c>
      <c r="D44" s="97" t="str">
        <f>IFERROR(VLOOKUP(B44,ESTANDAR!$A:$D,4,0),"")</f>
        <v/>
      </c>
      <c r="E44" s="97">
        <f>'FR PD 001 V1'!K41</f>
        <v>0</v>
      </c>
      <c r="F44" s="97" t="str">
        <f>IF('FR PD 001 V1'!S41="L","L",IF('FR PD 001 V1'!S41="D","D","I"))</f>
        <v>I</v>
      </c>
      <c r="G44" s="98" t="str">
        <f>IF(OR(F44="L",F44="D"),'FR PD 001 V1'!O41,"")</f>
        <v/>
      </c>
      <c r="H44" s="99" t="str">
        <f>IF(OR(F44="L",F44="D"),'FR PD 001 V1'!P41,"")</f>
        <v/>
      </c>
      <c r="I44" s="97"/>
      <c r="J44" s="100">
        <f>IFERROR(IF(B44=B43,0,ROUNDUP(SUMIFS(L$9:L$85,B$9:B$85,B44)/VLOOKUP(B44,ESTANDAR!A:N,5,0),0)),0)</f>
        <v>0</v>
      </c>
      <c r="K44" s="244">
        <f t="shared" si="1"/>
        <v>0</v>
      </c>
      <c r="L44" s="241">
        <f>'FR PD 001 V1'!J41*'FR PD 001 V1'!Q41</f>
        <v>0</v>
      </c>
      <c r="M44" s="64">
        <f t="shared" si="0"/>
        <v>0</v>
      </c>
    </row>
    <row r="45" spans="1:13" ht="18" customHeight="1">
      <c r="A45" s="95" t="str">
        <f>'FR PD 001 V1'!A42</f>
        <v/>
      </c>
      <c r="B45" s="96">
        <f>'FR PD 001 V1'!G42</f>
        <v>0</v>
      </c>
      <c r="C45" s="97" t="e">
        <f>IF(VLOOKUP(B45,ESTANDAR!A:P,16,0)="CONTROLADO",'FR PD 001 V1'!H42&amp;"-"&amp;'FR PD 001 V1'!B42,'FR PD 001 V1'!H42)</f>
        <v>#N/A</v>
      </c>
      <c r="D45" s="97" t="str">
        <f>IFERROR(VLOOKUP(B45,ESTANDAR!$A:$D,4,0),"")</f>
        <v/>
      </c>
      <c r="E45" s="97">
        <f>'FR PD 001 V1'!K42</f>
        <v>0</v>
      </c>
      <c r="F45" s="97" t="str">
        <f>IF('FR PD 001 V1'!S42="L","L",IF('FR PD 001 V1'!S42="D","D","I"))</f>
        <v>I</v>
      </c>
      <c r="G45" s="98" t="str">
        <f>IF(OR(F45="L",F45="D"),'FR PD 001 V1'!O42,"")</f>
        <v/>
      </c>
      <c r="H45" s="99" t="str">
        <f>IF(OR(F45="L",F45="D"),'FR PD 001 V1'!P42,"")</f>
        <v/>
      </c>
      <c r="I45" s="97"/>
      <c r="J45" s="100">
        <f>IFERROR(IF(B45=B44,0,ROUNDUP(SUMIFS(L$9:L$85,B$9:B$85,B45)/VLOOKUP(B45,ESTANDAR!A:N,5,0),0)),0)</f>
        <v>0</v>
      </c>
      <c r="K45" s="244">
        <f t="shared" si="1"/>
        <v>0</v>
      </c>
      <c r="L45" s="241">
        <f>'FR PD 001 V1'!J42*'FR PD 001 V1'!Q42</f>
        <v>0</v>
      </c>
      <c r="M45" s="64">
        <f t="shared" si="0"/>
        <v>0</v>
      </c>
    </row>
    <row r="46" spans="1:13" ht="18" customHeight="1">
      <c r="A46" s="95" t="str">
        <f>'FR PD 001 V1'!A43</f>
        <v/>
      </c>
      <c r="B46" s="96">
        <f>'FR PD 001 V1'!G43</f>
        <v>0</v>
      </c>
      <c r="C46" s="97" t="e">
        <f>IF(VLOOKUP(B46,ESTANDAR!A:P,16,0)="CONTROLADO",'FR PD 001 V1'!H43&amp;"-"&amp;'FR PD 001 V1'!B43,'FR PD 001 V1'!H43)</f>
        <v>#N/A</v>
      </c>
      <c r="D46" s="97" t="str">
        <f>IFERROR(VLOOKUP(B46,ESTANDAR!$A:$D,4,0),"")</f>
        <v/>
      </c>
      <c r="E46" s="97">
        <f>'FR PD 001 V1'!K43</f>
        <v>0</v>
      </c>
      <c r="F46" s="97" t="str">
        <f>IF('FR PD 001 V1'!S43="L","L",IF('FR PD 001 V1'!S43="D","D","I"))</f>
        <v>I</v>
      </c>
      <c r="G46" s="98" t="str">
        <f>IF(OR(F46="L",F46="D"),'FR PD 001 V1'!O43,"")</f>
        <v/>
      </c>
      <c r="H46" s="99" t="str">
        <f>IF(OR(F46="L",F46="D"),'FR PD 001 V1'!P43,"")</f>
        <v/>
      </c>
      <c r="I46" s="97"/>
      <c r="J46" s="100">
        <f>IFERROR(IF(B46=B45,0,ROUNDUP(SUMIFS(L$9:L$85,B$9:B$85,B46)/VLOOKUP(B46,ESTANDAR!A:N,5,0),0)),0)</f>
        <v>0</v>
      </c>
      <c r="K46" s="244">
        <f t="shared" si="1"/>
        <v>0</v>
      </c>
      <c r="L46" s="241">
        <f>'FR PD 001 V1'!J43*'FR PD 001 V1'!Q43</f>
        <v>0</v>
      </c>
      <c r="M46" s="64">
        <f t="shared" si="0"/>
        <v>0</v>
      </c>
    </row>
    <row r="47" spans="1:13" ht="18" customHeight="1">
      <c r="A47" s="95" t="str">
        <f>'FR PD 001 V1'!A44</f>
        <v/>
      </c>
      <c r="B47" s="96">
        <f>'FR PD 001 V1'!G44</f>
        <v>0</v>
      </c>
      <c r="C47" s="97" t="e">
        <f>IF(VLOOKUP(B47,ESTANDAR!A:P,16,0)="CONTROLADO",'FR PD 001 V1'!H44&amp;"-"&amp;'FR PD 001 V1'!B44,'FR PD 001 V1'!H44)</f>
        <v>#N/A</v>
      </c>
      <c r="D47" s="97" t="str">
        <f>IFERROR(VLOOKUP(B47,ESTANDAR!$A:$D,4,0),"")</f>
        <v/>
      </c>
      <c r="E47" s="97">
        <f>'FR PD 001 V1'!K44</f>
        <v>0</v>
      </c>
      <c r="F47" s="97" t="str">
        <f>IF('FR PD 001 V1'!S44="L","L",IF('FR PD 001 V1'!S44="D","D","I"))</f>
        <v>I</v>
      </c>
      <c r="G47" s="98" t="str">
        <f>IF(OR(F47="L",F47="D"),'FR PD 001 V1'!O44,"")</f>
        <v/>
      </c>
      <c r="H47" s="99" t="str">
        <f>IF(OR(F47="L",F47="D"),'FR PD 001 V1'!P44,"")</f>
        <v/>
      </c>
      <c r="I47" s="97"/>
      <c r="J47" s="100">
        <f>IFERROR(IF(B47=B46,0,ROUNDUP(SUMIFS(L$9:L$85,B$9:B$85,B47)/VLOOKUP(B47,ESTANDAR!A:N,5,0),0)),0)</f>
        <v>0</v>
      </c>
      <c r="K47" s="244">
        <f t="shared" si="1"/>
        <v>0</v>
      </c>
      <c r="L47" s="241">
        <f>'FR PD 001 V1'!J44*'FR PD 001 V1'!Q44</f>
        <v>0</v>
      </c>
      <c r="M47" s="64">
        <f t="shared" si="0"/>
        <v>0</v>
      </c>
    </row>
    <row r="48" spans="1:13" ht="18" customHeight="1">
      <c r="A48" s="95" t="str">
        <f>'FR PD 001 V1'!A45</f>
        <v/>
      </c>
      <c r="B48" s="96">
        <f>'FR PD 001 V1'!G45</f>
        <v>0</v>
      </c>
      <c r="C48" s="97" t="e">
        <f>IF(VLOOKUP(B48,ESTANDAR!A:P,16,0)="CONTROLADO",'FR PD 001 V1'!H45&amp;"-"&amp;'FR PD 001 V1'!B45,'FR PD 001 V1'!H45)</f>
        <v>#N/A</v>
      </c>
      <c r="D48" s="97" t="str">
        <f>IFERROR(VLOOKUP(B48,ESTANDAR!$A:$D,4,0),"")</f>
        <v/>
      </c>
      <c r="E48" s="97">
        <f>'FR PD 001 V1'!K45</f>
        <v>0</v>
      </c>
      <c r="F48" s="97" t="str">
        <f>IF('FR PD 001 V1'!S45="L","L",IF('FR PD 001 V1'!S45="D","D","I"))</f>
        <v>I</v>
      </c>
      <c r="G48" s="98" t="str">
        <f>IF(OR(F48="L",F48="D"),'FR PD 001 V1'!O45,"")</f>
        <v/>
      </c>
      <c r="H48" s="99" t="str">
        <f>IF(OR(F48="L",F48="D"),'FR PD 001 V1'!P45,"")</f>
        <v/>
      </c>
      <c r="I48" s="97"/>
      <c r="J48" s="100">
        <f>IFERROR(IF(B48=B47,0,ROUNDUP(SUMIFS(L$9:L$85,B$9:B$85,B48)/VLOOKUP(B48,ESTANDAR!A:N,5,0),0)),0)</f>
        <v>0</v>
      </c>
      <c r="K48" s="244">
        <f t="shared" si="1"/>
        <v>0</v>
      </c>
      <c r="L48" s="241">
        <f>'FR PD 001 V1'!J45*'FR PD 001 V1'!Q45</f>
        <v>0</v>
      </c>
      <c r="M48" s="64">
        <f t="shared" si="0"/>
        <v>0</v>
      </c>
    </row>
    <row r="49" spans="1:13" ht="18" customHeight="1">
      <c r="A49" s="95" t="str">
        <f>'FR PD 001 V1'!A46</f>
        <v/>
      </c>
      <c r="B49" s="96">
        <f>'FR PD 001 V1'!G46</f>
        <v>0</v>
      </c>
      <c r="C49" s="97" t="e">
        <f>IF(VLOOKUP(B49,ESTANDAR!A:P,16,0)="CONTROLADO",'FR PD 001 V1'!H46&amp;"-"&amp;'FR PD 001 V1'!B46,'FR PD 001 V1'!H46)</f>
        <v>#N/A</v>
      </c>
      <c r="D49" s="97" t="str">
        <f>IFERROR(VLOOKUP(B49,ESTANDAR!$A:$D,4,0),"")</f>
        <v/>
      </c>
      <c r="E49" s="97">
        <f>'FR PD 001 V1'!K46</f>
        <v>0</v>
      </c>
      <c r="F49" s="97" t="str">
        <f>IF('FR PD 001 V1'!S46="L","L",IF('FR PD 001 V1'!S46="D","D","I"))</f>
        <v>I</v>
      </c>
      <c r="G49" s="98" t="str">
        <f>IF(OR(F49="L",F49="D"),'FR PD 001 V1'!O46,"")</f>
        <v/>
      </c>
      <c r="H49" s="99" t="str">
        <f>IF(OR(F49="L",F49="D"),'FR PD 001 V1'!P46,"")</f>
        <v/>
      </c>
      <c r="I49" s="97"/>
      <c r="J49" s="100">
        <f>IFERROR(IF(B49=B48,0,ROUNDUP(SUMIFS(L$9:L$85,B$9:B$85,B49)/VLOOKUP(B49,ESTANDAR!A:N,5,0),0)),0)</f>
        <v>0</v>
      </c>
      <c r="K49" s="244">
        <f t="shared" si="1"/>
        <v>0</v>
      </c>
      <c r="L49" s="241">
        <f>'FR PD 001 V1'!J46*'FR PD 001 V1'!Q46</f>
        <v>0</v>
      </c>
      <c r="M49" s="64">
        <f t="shared" si="0"/>
        <v>0</v>
      </c>
    </row>
    <row r="50" spans="1:13" ht="18" customHeight="1">
      <c r="A50" s="95" t="str">
        <f>'FR PD 001 V1'!A47</f>
        <v/>
      </c>
      <c r="B50" s="96">
        <f>'FR PD 001 V1'!G47</f>
        <v>0</v>
      </c>
      <c r="C50" s="97" t="e">
        <f>IF(VLOOKUP(B50,ESTANDAR!A:P,16,0)="CONTROLADO",'FR PD 001 V1'!H47&amp;"-"&amp;'FR PD 001 V1'!B47,'FR PD 001 V1'!H47)</f>
        <v>#N/A</v>
      </c>
      <c r="D50" s="97" t="str">
        <f>IFERROR(VLOOKUP(B50,ESTANDAR!$A:$D,4,0),"")</f>
        <v/>
      </c>
      <c r="E50" s="97">
        <f>'FR PD 001 V1'!K47</f>
        <v>0</v>
      </c>
      <c r="F50" s="97" t="str">
        <f>IF('FR PD 001 V1'!S47="L","L",IF('FR PD 001 V1'!S47="D","D","I"))</f>
        <v>I</v>
      </c>
      <c r="G50" s="98" t="str">
        <f>IF(OR(F50="L",F50="D"),'FR PD 001 V1'!O47,"")</f>
        <v/>
      </c>
      <c r="H50" s="99" t="str">
        <f>IF(OR(F50="L",F50="D"),'FR PD 001 V1'!P47,"")</f>
        <v/>
      </c>
      <c r="I50" s="97"/>
      <c r="J50" s="100">
        <f>IFERROR(IF(B50=B49,0,ROUNDUP(SUMIFS(L$9:L$85,B$9:B$85,B50)/VLOOKUP(B50,ESTANDAR!A:N,5,0),0)),0)</f>
        <v>0</v>
      </c>
      <c r="K50" s="244">
        <f t="shared" si="1"/>
        <v>0</v>
      </c>
      <c r="L50" s="241">
        <f>'FR PD 001 V1'!J47*'FR PD 001 V1'!Q47</f>
        <v>0</v>
      </c>
      <c r="M50" s="64">
        <f t="shared" si="0"/>
        <v>0</v>
      </c>
    </row>
    <row r="51" spans="1:13" ht="18" customHeight="1">
      <c r="A51" s="95" t="str">
        <f>'FR PD 001 V1'!A48</f>
        <v/>
      </c>
      <c r="B51" s="96">
        <f>'FR PD 001 V1'!G48</f>
        <v>0</v>
      </c>
      <c r="C51" s="97" t="e">
        <f>IF(VLOOKUP(B51,ESTANDAR!A:P,16,0)="CONTROLADO",'FR PD 001 V1'!H48&amp;"-"&amp;'FR PD 001 V1'!B48,'FR PD 001 V1'!H48)</f>
        <v>#N/A</v>
      </c>
      <c r="D51" s="97" t="str">
        <f>IFERROR(VLOOKUP(B51,ESTANDAR!$A:$D,4,0),"")</f>
        <v/>
      </c>
      <c r="E51" s="97">
        <f>'FR PD 001 V1'!K48</f>
        <v>0</v>
      </c>
      <c r="F51" s="97" t="str">
        <f>IF('FR PD 001 V1'!S48="L","L",IF('FR PD 001 V1'!S48="D","D","I"))</f>
        <v>I</v>
      </c>
      <c r="G51" s="98" t="str">
        <f>IF(OR(F51="L",F51="D"),'FR PD 001 V1'!O48,"")</f>
        <v/>
      </c>
      <c r="H51" s="99" t="str">
        <f>IF(OR(F51="L",F51="D"),'FR PD 001 V1'!P48,"")</f>
        <v/>
      </c>
      <c r="I51" s="97"/>
      <c r="J51" s="100">
        <f>IFERROR(IF(B51=B50,0,ROUNDUP(SUMIFS(L$9:L$85,B$9:B$85,B51)/VLOOKUP(B51,ESTANDAR!A:N,5,0),0)),0)</f>
        <v>0</v>
      </c>
      <c r="K51" s="244">
        <f t="shared" si="1"/>
        <v>0</v>
      </c>
      <c r="L51" s="241">
        <f>'FR PD 001 V1'!J48*'FR PD 001 V1'!Q48</f>
        <v>0</v>
      </c>
      <c r="M51" s="64">
        <f t="shared" si="0"/>
        <v>0</v>
      </c>
    </row>
    <row r="52" spans="1:13" ht="18" customHeight="1">
      <c r="A52" s="95" t="str">
        <f>'FR PD 001 V1'!A49</f>
        <v/>
      </c>
      <c r="B52" s="96">
        <f>'FR PD 001 V1'!G49</f>
        <v>0</v>
      </c>
      <c r="C52" s="97" t="e">
        <f>IF(VLOOKUP(B52,ESTANDAR!A:P,16,0)="CONTROLADO",'FR PD 001 V1'!H49&amp;"-"&amp;'FR PD 001 V1'!B49,'FR PD 001 V1'!H49)</f>
        <v>#N/A</v>
      </c>
      <c r="D52" s="97" t="str">
        <f>IFERROR(VLOOKUP(B52,ESTANDAR!$A:$D,4,0),"")</f>
        <v/>
      </c>
      <c r="E52" s="97">
        <f>'FR PD 001 V1'!K49</f>
        <v>0</v>
      </c>
      <c r="F52" s="97" t="str">
        <f>IF('FR PD 001 V1'!S49="L","L",IF('FR PD 001 V1'!S49="D","D","I"))</f>
        <v>I</v>
      </c>
      <c r="G52" s="98" t="str">
        <f>IF(OR(F52="L",F52="D"),'FR PD 001 V1'!O49,"")</f>
        <v/>
      </c>
      <c r="H52" s="99" t="str">
        <f>IF(OR(F52="L",F52="D"),'FR PD 001 V1'!P49,"")</f>
        <v/>
      </c>
      <c r="I52" s="97"/>
      <c r="J52" s="100">
        <f>IFERROR(IF(B52=B51,0,ROUNDUP(SUMIFS(L$9:L$85,B$9:B$85,B52)/VLOOKUP(B52,ESTANDAR!A:N,5,0),0)),0)</f>
        <v>0</v>
      </c>
      <c r="K52" s="244">
        <f t="shared" si="1"/>
        <v>0</v>
      </c>
      <c r="L52" s="241">
        <f>'FR PD 001 V1'!J49*'FR PD 001 V1'!Q49</f>
        <v>0</v>
      </c>
      <c r="M52" s="64">
        <f t="shared" si="0"/>
        <v>0</v>
      </c>
    </row>
    <row r="53" spans="1:13" ht="18" customHeight="1">
      <c r="A53" s="95" t="str">
        <f>'FR PD 001 V1'!A50</f>
        <v/>
      </c>
      <c r="B53" s="96">
        <f>'FR PD 001 V1'!G50</f>
        <v>0</v>
      </c>
      <c r="C53" s="97" t="e">
        <f>IF(VLOOKUP(B53,ESTANDAR!A:P,16,0)="CONTROLADO",'FR PD 001 V1'!H50&amp;"-"&amp;'FR PD 001 V1'!B50,'FR PD 001 V1'!H50)</f>
        <v>#N/A</v>
      </c>
      <c r="D53" s="97" t="str">
        <f>IFERROR(VLOOKUP(B53,ESTANDAR!$A:$D,4,0),"")</f>
        <v/>
      </c>
      <c r="E53" s="97">
        <f>'FR PD 001 V1'!K50</f>
        <v>0</v>
      </c>
      <c r="F53" s="97" t="str">
        <f>IF('FR PD 001 V1'!S50="L","L",IF('FR PD 001 V1'!S50="D","D","I"))</f>
        <v>I</v>
      </c>
      <c r="G53" s="98" t="str">
        <f>IF(OR(F53="L",F53="D"),'FR PD 001 V1'!O50,"")</f>
        <v/>
      </c>
      <c r="H53" s="99" t="str">
        <f>IF(OR(F53="L",F53="D"),'FR PD 001 V1'!P50,"")</f>
        <v/>
      </c>
      <c r="I53" s="97"/>
      <c r="J53" s="100">
        <f>IFERROR(IF(B53=B52,0,ROUNDUP(SUMIFS(L$9:L$85,B$9:B$85,B53)/VLOOKUP(B53,ESTANDAR!A:N,5,0),0)),0)</f>
        <v>0</v>
      </c>
      <c r="K53" s="244">
        <f t="shared" ref="K53:K71" si="2">IFERROR(IF(B53=B52,0,SUMIFS(E$9:E$52,B$9:B$52,B53)-J53),0)</f>
        <v>0</v>
      </c>
      <c r="L53" s="241">
        <f>'FR PD 001 V1'!J50*'FR PD 001 V1'!Q50</f>
        <v>0</v>
      </c>
      <c r="M53" s="64">
        <f t="shared" si="0"/>
        <v>0</v>
      </c>
    </row>
    <row r="54" spans="1:13" ht="18" customHeight="1">
      <c r="A54" s="95" t="str">
        <f>'FR PD 001 V1'!A51</f>
        <v/>
      </c>
      <c r="B54" s="96">
        <f>'FR PD 001 V1'!G51</f>
        <v>0</v>
      </c>
      <c r="C54" s="97" t="e">
        <f>IF(VLOOKUP(B54,ESTANDAR!A:P,16,0)="CONTROLADO",'FR PD 001 V1'!H51&amp;"-"&amp;'FR PD 001 V1'!B51,'FR PD 001 V1'!H51)</f>
        <v>#N/A</v>
      </c>
      <c r="D54" s="97" t="str">
        <f>IFERROR(VLOOKUP(B54,ESTANDAR!$A:$D,4,0),"")</f>
        <v/>
      </c>
      <c r="E54" s="97">
        <f>'FR PD 001 V1'!K51</f>
        <v>0</v>
      </c>
      <c r="F54" s="97" t="str">
        <f>IF('FR PD 001 V1'!S51="L","L",IF('FR PD 001 V1'!S51="D","D","I"))</f>
        <v>I</v>
      </c>
      <c r="G54" s="98" t="str">
        <f>IF(OR(F54="L",F54="D"),'FR PD 001 V1'!O51,"")</f>
        <v/>
      </c>
      <c r="H54" s="99" t="str">
        <f>IF(OR(F54="L",F54="D"),'FR PD 001 V1'!P51,"")</f>
        <v/>
      </c>
      <c r="I54" s="97"/>
      <c r="J54" s="100">
        <f>IFERROR(IF(B54=B53,0,ROUNDUP(SUMIFS(L$9:L$85,B$9:B$85,B54)/VLOOKUP(B54,ESTANDAR!A:N,5,0),0)),0)</f>
        <v>0</v>
      </c>
      <c r="K54" s="244">
        <f t="shared" si="2"/>
        <v>0</v>
      </c>
      <c r="L54" s="241">
        <f>'FR PD 001 V1'!J51*'FR PD 001 V1'!Q51</f>
        <v>0</v>
      </c>
      <c r="M54" s="64">
        <f t="shared" si="0"/>
        <v>0</v>
      </c>
    </row>
    <row r="55" spans="1:13" ht="18" customHeight="1">
      <c r="A55" s="95" t="str">
        <f>'FR PD 001 V1'!A52</f>
        <v/>
      </c>
      <c r="B55" s="96">
        <f>'FR PD 001 V1'!G52</f>
        <v>0</v>
      </c>
      <c r="C55" s="97" t="e">
        <f>IF(VLOOKUP(B55,ESTANDAR!A:P,16,0)="CONTROLADO",'FR PD 001 V1'!H52&amp;"-"&amp;'FR PD 001 V1'!B52,'FR PD 001 V1'!H52)</f>
        <v>#N/A</v>
      </c>
      <c r="D55" s="97" t="str">
        <f>IFERROR(VLOOKUP(B55,ESTANDAR!$A:$D,4,0),"")</f>
        <v/>
      </c>
      <c r="E55" s="97">
        <f>'FR PD 001 V1'!K52</f>
        <v>0</v>
      </c>
      <c r="F55" s="97" t="str">
        <f>IF('FR PD 001 V1'!S52="L","L",IF('FR PD 001 V1'!S52="D","D","I"))</f>
        <v>I</v>
      </c>
      <c r="G55" s="98" t="str">
        <f>IF(OR(F55="L",F55="D"),'FR PD 001 V1'!O52,"")</f>
        <v/>
      </c>
      <c r="H55" s="99" t="str">
        <f>IF(OR(F55="L",F55="D"),'FR PD 001 V1'!P52,"")</f>
        <v/>
      </c>
      <c r="I55" s="97"/>
      <c r="J55" s="100">
        <f>IFERROR(IF(B55=B54,0,ROUNDUP(SUMIFS(L$9:L$85,B$9:B$85,B55)/VLOOKUP(B55,ESTANDAR!A:N,5,0),0)),0)</f>
        <v>0</v>
      </c>
      <c r="K55" s="244">
        <f t="shared" si="2"/>
        <v>0</v>
      </c>
      <c r="L55" s="241">
        <f>'FR PD 001 V1'!J52*'FR PD 001 V1'!Q52</f>
        <v>0</v>
      </c>
      <c r="M55" s="64">
        <f t="shared" si="0"/>
        <v>0</v>
      </c>
    </row>
    <row r="56" spans="1:13" ht="18" customHeight="1">
      <c r="A56" s="95" t="str">
        <f>'FR PD 001 V1'!A53</f>
        <v/>
      </c>
      <c r="B56" s="96">
        <f>'FR PD 001 V1'!G53</f>
        <v>0</v>
      </c>
      <c r="C56" s="97" t="e">
        <f>IF(VLOOKUP(B56,ESTANDAR!A:P,16,0)="CONTROLADO",'FR PD 001 V1'!H53&amp;"-"&amp;'FR PD 001 V1'!B53,'FR PD 001 V1'!H53)</f>
        <v>#N/A</v>
      </c>
      <c r="D56" s="97" t="str">
        <f>IFERROR(VLOOKUP(B56,ESTANDAR!$A:$D,4,0),"")</f>
        <v/>
      </c>
      <c r="E56" s="97">
        <f>'FR PD 001 V1'!K53</f>
        <v>0</v>
      </c>
      <c r="F56" s="97" t="str">
        <f>IF('FR PD 001 V1'!S53="L","L",IF('FR PD 001 V1'!S53="D","D","I"))</f>
        <v>I</v>
      </c>
      <c r="G56" s="98" t="str">
        <f>IF(OR(F56="L",F56="D"),'FR PD 001 V1'!O53,"")</f>
        <v/>
      </c>
      <c r="H56" s="99" t="str">
        <f>IF(OR(F56="L",F56="D"),'FR PD 001 V1'!P53,"")</f>
        <v/>
      </c>
      <c r="I56" s="97"/>
      <c r="J56" s="100">
        <f>IFERROR(IF(B56=B55,0,ROUNDUP(SUMIFS(L$9:L$85,B$9:B$85,B56)/VLOOKUP(B56,ESTANDAR!A:N,5,0),0)),0)</f>
        <v>0</v>
      </c>
      <c r="K56" s="244">
        <f t="shared" si="2"/>
        <v>0</v>
      </c>
      <c r="L56" s="241">
        <f>'FR PD 001 V1'!J53*'FR PD 001 V1'!Q53</f>
        <v>0</v>
      </c>
      <c r="M56" s="64">
        <f t="shared" si="0"/>
        <v>0</v>
      </c>
    </row>
    <row r="57" spans="1:13" ht="18" customHeight="1">
      <c r="A57" s="95" t="str">
        <f>'FR PD 001 V1'!A54</f>
        <v/>
      </c>
      <c r="B57" s="96">
        <f>'FR PD 001 V1'!G54</f>
        <v>0</v>
      </c>
      <c r="C57" s="97" t="e">
        <f>IF(VLOOKUP(B57,ESTANDAR!A:P,16,0)="CONTROLADO",'FR PD 001 V1'!H54&amp;"-"&amp;'FR PD 001 V1'!B54,'FR PD 001 V1'!H54)</f>
        <v>#N/A</v>
      </c>
      <c r="D57" s="97" t="str">
        <f>IFERROR(VLOOKUP(B57,ESTANDAR!$A:$D,4,0),"")</f>
        <v/>
      </c>
      <c r="E57" s="97">
        <f>'FR PD 001 V1'!K54</f>
        <v>0</v>
      </c>
      <c r="F57" s="97" t="str">
        <f>IF('FR PD 001 V1'!S54="L","L",IF('FR PD 001 V1'!S54="D","D","I"))</f>
        <v>I</v>
      </c>
      <c r="G57" s="98" t="str">
        <f>IF(OR(F57="L",F57="D"),'FR PD 001 V1'!O54,"")</f>
        <v/>
      </c>
      <c r="H57" s="99" t="str">
        <f>IF(OR(F57="L",F57="D"),'FR PD 001 V1'!P54,"")</f>
        <v/>
      </c>
      <c r="I57" s="97"/>
      <c r="J57" s="100">
        <f>IFERROR(IF(B57=B56,0,ROUNDUP(SUMIFS(L$9:L$85,B$9:B$85,B57)/VLOOKUP(B57,ESTANDAR!A:N,5,0),0)),0)</f>
        <v>0</v>
      </c>
      <c r="K57" s="244">
        <f t="shared" si="2"/>
        <v>0</v>
      </c>
      <c r="L57" s="241">
        <f>'FR PD 001 V1'!J54*'FR PD 001 V1'!Q54</f>
        <v>0</v>
      </c>
      <c r="M57" s="64">
        <f t="shared" si="0"/>
        <v>0</v>
      </c>
    </row>
    <row r="58" spans="1:13" ht="18" customHeight="1">
      <c r="A58" s="95" t="str">
        <f>'FR PD 001 V1'!A55</f>
        <v/>
      </c>
      <c r="B58" s="96">
        <f>'FR PD 001 V1'!G55</f>
        <v>0</v>
      </c>
      <c r="C58" s="97" t="e">
        <f>IF(VLOOKUP(B58,ESTANDAR!A:P,16,0)="CONTROLADO",'FR PD 001 V1'!H55&amp;"-"&amp;'FR PD 001 V1'!B55,'FR PD 001 V1'!H55)</f>
        <v>#N/A</v>
      </c>
      <c r="D58" s="97" t="str">
        <f>IFERROR(VLOOKUP(B58,ESTANDAR!$A:$D,4,0),"")</f>
        <v/>
      </c>
      <c r="E58" s="97">
        <f>'FR PD 001 V1'!K55</f>
        <v>0</v>
      </c>
      <c r="F58" s="97" t="str">
        <f>IF('FR PD 001 V1'!S55="L","L",IF('FR PD 001 V1'!S55="D","D","I"))</f>
        <v>I</v>
      </c>
      <c r="G58" s="98" t="str">
        <f>IF(OR(F58="L",F58="D"),'FR PD 001 V1'!O55,"")</f>
        <v/>
      </c>
      <c r="H58" s="99" t="str">
        <f>IF(OR(F58="L",F58="D"),'FR PD 001 V1'!P55,"")</f>
        <v/>
      </c>
      <c r="I58" s="97"/>
      <c r="J58" s="100">
        <f>IFERROR(IF(B58=B57,0,ROUNDUP(SUMIFS(L$9:L$85,B$9:B$85,B58)/VLOOKUP(B58,ESTANDAR!A:N,5,0),0)),0)</f>
        <v>0</v>
      </c>
      <c r="K58" s="244">
        <f t="shared" si="2"/>
        <v>0</v>
      </c>
      <c r="L58" s="241">
        <f>'FR PD 001 V1'!J55*'FR PD 001 V1'!Q55</f>
        <v>0</v>
      </c>
      <c r="M58" s="64">
        <f t="shared" si="0"/>
        <v>0</v>
      </c>
    </row>
    <row r="59" spans="1:13" ht="18" customHeight="1">
      <c r="A59" s="95" t="str">
        <f>'FR PD 001 V1'!A56</f>
        <v/>
      </c>
      <c r="B59" s="96">
        <f>'FR PD 001 V1'!G56</f>
        <v>0</v>
      </c>
      <c r="C59" s="97" t="e">
        <f>IF(VLOOKUP(B59,ESTANDAR!A:P,16,0)="CONTROLADO",'FR PD 001 V1'!H56&amp;"-"&amp;'FR PD 001 V1'!B56,'FR PD 001 V1'!H56)</f>
        <v>#N/A</v>
      </c>
      <c r="D59" s="97" t="str">
        <f>IFERROR(VLOOKUP(B59,ESTANDAR!$A:$D,4,0),"")</f>
        <v/>
      </c>
      <c r="E59" s="97">
        <f>'FR PD 001 V1'!K56</f>
        <v>0</v>
      </c>
      <c r="F59" s="97" t="str">
        <f>IF('FR PD 001 V1'!S56="L","L",IF('FR PD 001 V1'!S56="D","D","I"))</f>
        <v>I</v>
      </c>
      <c r="G59" s="98" t="str">
        <f>IF(OR(F59="L",F59="D"),'FR PD 001 V1'!O56,"")</f>
        <v/>
      </c>
      <c r="H59" s="99" t="str">
        <f>IF(OR(F59="L",F59="D"),'FR PD 001 V1'!P56,"")</f>
        <v/>
      </c>
      <c r="I59" s="97"/>
      <c r="J59" s="100">
        <f>IFERROR(IF(B59=B58,0,ROUNDUP(SUMIFS(L$9:L$85,B$9:B$85,B59)/VLOOKUP(B59,ESTANDAR!A:N,5,0),0)),0)</f>
        <v>0</v>
      </c>
      <c r="K59" s="244">
        <f t="shared" si="2"/>
        <v>0</v>
      </c>
      <c r="L59" s="241">
        <f>'FR PD 001 V1'!J56*'FR PD 001 V1'!Q56</f>
        <v>0</v>
      </c>
      <c r="M59" s="64">
        <f t="shared" si="0"/>
        <v>0</v>
      </c>
    </row>
    <row r="60" spans="1:13" ht="18" customHeight="1">
      <c r="A60" s="95" t="str">
        <f>'FR PD 001 V1'!A57</f>
        <v/>
      </c>
      <c r="B60" s="96">
        <f>'FR PD 001 V1'!G57</f>
        <v>0</v>
      </c>
      <c r="C60" s="97" t="e">
        <f>IF(VLOOKUP(B60,ESTANDAR!A:P,16,0)="CONTROLADO",'FR PD 001 V1'!H57&amp;"-"&amp;'FR PD 001 V1'!B57,'FR PD 001 V1'!H57)</f>
        <v>#N/A</v>
      </c>
      <c r="D60" s="97" t="str">
        <f>IFERROR(VLOOKUP(B60,ESTANDAR!$A:$D,4,0),"")</f>
        <v/>
      </c>
      <c r="E60" s="97">
        <f>'FR PD 001 V1'!K57</f>
        <v>0</v>
      </c>
      <c r="F60" s="97" t="str">
        <f>IF('FR PD 001 V1'!S57="L","L",IF('FR PD 001 V1'!S57="D","D","I"))</f>
        <v>I</v>
      </c>
      <c r="G60" s="98" t="str">
        <f>IF(OR(F60="L",F60="D"),'FR PD 001 V1'!O57,"")</f>
        <v/>
      </c>
      <c r="H60" s="99" t="str">
        <f>IF(OR(F60="L",F60="D"),'FR PD 001 V1'!P57,"")</f>
        <v/>
      </c>
      <c r="I60" s="97"/>
      <c r="J60" s="100">
        <f>IFERROR(IF(B60=B59,0,ROUNDUP(SUMIFS(L$9:L$85,B$9:B$85,B60)/VLOOKUP(B60,ESTANDAR!A:N,5,0),0)),0)</f>
        <v>0</v>
      </c>
      <c r="K60" s="244">
        <f t="shared" si="2"/>
        <v>0</v>
      </c>
      <c r="L60" s="241">
        <f>'FR PD 001 V1'!J57*'FR PD 001 V1'!Q57</f>
        <v>0</v>
      </c>
      <c r="M60" s="64">
        <f t="shared" si="0"/>
        <v>0</v>
      </c>
    </row>
    <row r="61" spans="1:13" ht="18" customHeight="1">
      <c r="A61" s="95" t="str">
        <f>'FR PD 001 V1'!A58</f>
        <v/>
      </c>
      <c r="B61" s="96">
        <f>'FR PD 001 V1'!G58</f>
        <v>0</v>
      </c>
      <c r="C61" s="97" t="e">
        <f>IF(VLOOKUP(B61,ESTANDAR!A:P,16,0)="CONTROLADO",'FR PD 001 V1'!H58&amp;"-"&amp;'FR PD 001 V1'!B58,'FR PD 001 V1'!H58)</f>
        <v>#N/A</v>
      </c>
      <c r="D61" s="97" t="str">
        <f>IFERROR(VLOOKUP(B61,ESTANDAR!$A:$D,4,0),"")</f>
        <v/>
      </c>
      <c r="E61" s="97">
        <f>'FR PD 001 V1'!K58</f>
        <v>0</v>
      </c>
      <c r="F61" s="97" t="str">
        <f>IF('FR PD 001 V1'!S58="L","L",IF('FR PD 001 V1'!S58="D","D","I"))</f>
        <v>I</v>
      </c>
      <c r="G61" s="98" t="str">
        <f>IF(OR(F61="L",F61="D"),'FR PD 001 V1'!O58,"")</f>
        <v/>
      </c>
      <c r="H61" s="99" t="str">
        <f>IF(OR(F61="L",F61="D"),'FR PD 001 V1'!P58,"")</f>
        <v/>
      </c>
      <c r="I61" s="97"/>
      <c r="J61" s="100">
        <f>IFERROR(IF(B61=B60,0,ROUNDUP(SUMIFS(L$9:L$85,B$9:B$85,B61)/VLOOKUP(B61,ESTANDAR!A:N,5,0),0)),0)</f>
        <v>0</v>
      </c>
      <c r="K61" s="244">
        <f t="shared" si="2"/>
        <v>0</v>
      </c>
      <c r="L61" s="241">
        <f>'FR PD 001 V1'!J58*'FR PD 001 V1'!Q58</f>
        <v>0</v>
      </c>
      <c r="M61" s="64">
        <f t="shared" si="0"/>
        <v>0</v>
      </c>
    </row>
    <row r="62" spans="1:13" ht="18" customHeight="1">
      <c r="A62" s="95" t="str">
        <f>'FR PD 001 V1'!A59</f>
        <v/>
      </c>
      <c r="B62" s="96">
        <f>'FR PD 001 V1'!G59</f>
        <v>0</v>
      </c>
      <c r="C62" s="97" t="e">
        <f>IF(VLOOKUP(B62,ESTANDAR!A:P,16,0)="CONTROLADO",'FR PD 001 V1'!H59&amp;"-"&amp;'FR PD 001 V1'!B59,'FR PD 001 V1'!H59)</f>
        <v>#N/A</v>
      </c>
      <c r="D62" s="97" t="str">
        <f>IFERROR(VLOOKUP(B62,ESTANDAR!$A:$D,4,0),"")</f>
        <v/>
      </c>
      <c r="E62" s="97">
        <f>'FR PD 001 V1'!K59</f>
        <v>0</v>
      </c>
      <c r="F62" s="97" t="str">
        <f>IF('FR PD 001 V1'!S59="L","L",IF('FR PD 001 V1'!S59="D","D","I"))</f>
        <v>I</v>
      </c>
      <c r="G62" s="98" t="str">
        <f>IF(OR(F62="L",F62="D"),'FR PD 001 V1'!O59,"")</f>
        <v/>
      </c>
      <c r="H62" s="99" t="str">
        <f>IF(OR(F62="L",F62="D"),'FR PD 001 V1'!P59,"")</f>
        <v/>
      </c>
      <c r="I62" s="97"/>
      <c r="J62" s="100">
        <f>IFERROR(IF(B62=B61,0,ROUNDUP(SUMIFS(L$9:L$85,B$9:B$85,B62)/VLOOKUP(B62,ESTANDAR!A:N,5,0),0)),0)</f>
        <v>0</v>
      </c>
      <c r="K62" s="244">
        <f t="shared" si="2"/>
        <v>0</v>
      </c>
      <c r="L62" s="241">
        <f>'FR PD 001 V1'!J59*'FR PD 001 V1'!Q59</f>
        <v>0</v>
      </c>
      <c r="M62" s="64">
        <f t="shared" si="0"/>
        <v>0</v>
      </c>
    </row>
    <row r="63" spans="1:13" ht="18" customHeight="1">
      <c r="A63" s="95" t="str">
        <f>'FR PD 001 V1'!A60</f>
        <v/>
      </c>
      <c r="B63" s="96">
        <f>'FR PD 001 V1'!G60</f>
        <v>0</v>
      </c>
      <c r="C63" s="97" t="e">
        <f>IF(VLOOKUP(B63,ESTANDAR!A:P,16,0)="CONTROLADO",'FR PD 001 V1'!H60&amp;"-"&amp;'FR PD 001 V1'!B60,'FR PD 001 V1'!H60)</f>
        <v>#N/A</v>
      </c>
      <c r="D63" s="97" t="str">
        <f>IFERROR(VLOOKUP(B63,ESTANDAR!$A:$D,4,0),"")</f>
        <v/>
      </c>
      <c r="E63" s="97">
        <f>'FR PD 001 V1'!K60</f>
        <v>0</v>
      </c>
      <c r="F63" s="97" t="str">
        <f>IF('FR PD 001 V1'!S60="L","L",IF('FR PD 001 V1'!S60="D","D","I"))</f>
        <v>I</v>
      </c>
      <c r="G63" s="98" t="str">
        <f>IF(OR(F63="L",F63="D"),'FR PD 001 V1'!O60,"")</f>
        <v/>
      </c>
      <c r="H63" s="99" t="str">
        <f>IF(OR(F63="L",F63="D"),'FR PD 001 V1'!P60,"")</f>
        <v/>
      </c>
      <c r="I63" s="97"/>
      <c r="J63" s="100">
        <f>IFERROR(IF(B63=B62,0,ROUNDUP(SUMIFS(L$9:L$85,B$9:B$85,B63)/VLOOKUP(B63,ESTANDAR!A:N,5,0),0)),0)</f>
        <v>0</v>
      </c>
      <c r="K63" s="244">
        <f t="shared" si="2"/>
        <v>0</v>
      </c>
      <c r="L63" s="241">
        <f>'FR PD 001 V1'!J60*'FR PD 001 V1'!Q60</f>
        <v>0</v>
      </c>
      <c r="M63" s="64">
        <f t="shared" si="0"/>
        <v>0</v>
      </c>
    </row>
    <row r="64" spans="1:13" ht="18" customHeight="1">
      <c r="A64" s="95" t="str">
        <f>'FR PD 001 V1'!A61</f>
        <v/>
      </c>
      <c r="B64" s="96">
        <f>'FR PD 001 V1'!G61</f>
        <v>0</v>
      </c>
      <c r="C64" s="97" t="e">
        <f>IF(VLOOKUP(B64,ESTANDAR!A:P,16,0)="CONTROLADO",'FR PD 001 V1'!H61&amp;"-"&amp;'FR PD 001 V1'!B61,'FR PD 001 V1'!H61)</f>
        <v>#N/A</v>
      </c>
      <c r="D64" s="97" t="str">
        <f>IFERROR(VLOOKUP(B64,ESTANDAR!$A:$D,4,0),"")</f>
        <v/>
      </c>
      <c r="E64" s="97">
        <f>'FR PD 001 V1'!K61</f>
        <v>0</v>
      </c>
      <c r="F64" s="97" t="str">
        <f>IF('FR PD 001 V1'!S61="L","L",IF('FR PD 001 V1'!S61="D","D","I"))</f>
        <v>I</v>
      </c>
      <c r="G64" s="98" t="str">
        <f>IF(OR(F64="L",F64="D"),'FR PD 001 V1'!O61,"")</f>
        <v/>
      </c>
      <c r="H64" s="99" t="str">
        <f>IF(OR(F64="L",F64="D"),'FR PD 001 V1'!P61,"")</f>
        <v/>
      </c>
      <c r="I64" s="97"/>
      <c r="J64" s="100">
        <f>IFERROR(IF(B64=B63,0,ROUNDUP(SUMIFS(L$9:L$85,B$9:B$85,B64)/VLOOKUP(B64,ESTANDAR!A:N,5,0),0)),0)</f>
        <v>0</v>
      </c>
      <c r="K64" s="244">
        <f t="shared" si="2"/>
        <v>0</v>
      </c>
      <c r="L64" s="241">
        <f>'FR PD 001 V1'!J61*'FR PD 001 V1'!Q61</f>
        <v>0</v>
      </c>
      <c r="M64" s="64">
        <f t="shared" si="0"/>
        <v>0</v>
      </c>
    </row>
    <row r="65" spans="1:13" ht="18" customHeight="1">
      <c r="A65" s="95" t="str">
        <f>'FR PD 001 V1'!A62</f>
        <v/>
      </c>
      <c r="B65" s="96">
        <f>'FR PD 001 V1'!G62</f>
        <v>0</v>
      </c>
      <c r="C65" s="97" t="e">
        <f>IF(VLOOKUP(B65,ESTANDAR!A:P,16,0)="CONTROLADO",'FR PD 001 V1'!H62&amp;"-"&amp;'FR PD 001 V1'!B62,'FR PD 001 V1'!H62)</f>
        <v>#N/A</v>
      </c>
      <c r="D65" s="97" t="str">
        <f>IFERROR(VLOOKUP(B65,ESTANDAR!$A:$D,4,0),"")</f>
        <v/>
      </c>
      <c r="E65" s="97">
        <f>'FR PD 001 V1'!K62</f>
        <v>0</v>
      </c>
      <c r="F65" s="97" t="str">
        <f>IF('FR PD 001 V1'!S62="L","L",IF('FR PD 001 V1'!S62="D","D","I"))</f>
        <v>I</v>
      </c>
      <c r="G65" s="98" t="str">
        <f>IF(OR(F65="L",F65="D"),'FR PD 001 V1'!O62,"")</f>
        <v/>
      </c>
      <c r="H65" s="99" t="str">
        <f>IF(OR(F65="L",F65="D"),'FR PD 001 V1'!P62,"")</f>
        <v/>
      </c>
      <c r="I65" s="97"/>
      <c r="J65" s="100">
        <f>IFERROR(IF(B65=B64,0,ROUNDUP(SUMIFS(L$9:L$85,B$9:B$85,B65)/VLOOKUP(B65,ESTANDAR!A:N,5,0),0)),0)</f>
        <v>0</v>
      </c>
      <c r="K65" s="244">
        <f t="shared" si="2"/>
        <v>0</v>
      </c>
      <c r="L65" s="241">
        <f>'FR PD 001 V1'!J62*'FR PD 001 V1'!Q62</f>
        <v>0</v>
      </c>
      <c r="M65" s="64">
        <f t="shared" si="0"/>
        <v>0</v>
      </c>
    </row>
    <row r="66" spans="1:13" ht="18" customHeight="1">
      <c r="A66" s="95" t="str">
        <f>'FR PD 001 V1'!A63</f>
        <v/>
      </c>
      <c r="B66" s="96">
        <f>'FR PD 001 V1'!G63</f>
        <v>0</v>
      </c>
      <c r="C66" s="97" t="e">
        <f>IF(VLOOKUP(B66,ESTANDAR!A:P,16,0)="CONTROLADO",'FR PD 001 V1'!H63&amp;"-"&amp;'FR PD 001 V1'!B63,'FR PD 001 V1'!H63)</f>
        <v>#N/A</v>
      </c>
      <c r="D66" s="97" t="str">
        <f>IFERROR(VLOOKUP(B66,ESTANDAR!$A:$D,4,0),"")</f>
        <v/>
      </c>
      <c r="E66" s="97">
        <f>'FR PD 001 V1'!K63</f>
        <v>0</v>
      </c>
      <c r="F66" s="97" t="str">
        <f>IF('FR PD 001 V1'!S63="L","L",IF('FR PD 001 V1'!S63="D","D","I"))</f>
        <v>I</v>
      </c>
      <c r="G66" s="98" t="str">
        <f>IF(OR(F66="L",F66="D"),'FR PD 001 V1'!O63,"")</f>
        <v/>
      </c>
      <c r="H66" s="99" t="str">
        <f>IF(OR(F66="L",F66="D"),'FR PD 001 V1'!P63,"")</f>
        <v/>
      </c>
      <c r="I66" s="97"/>
      <c r="J66" s="100">
        <f>IFERROR(IF(B66=B65,0,ROUNDUP(SUMIFS(L$9:L$85,B$9:B$85,B66)/VLOOKUP(B66,ESTANDAR!A:N,5,0),0)),0)</f>
        <v>0</v>
      </c>
      <c r="K66" s="244">
        <f t="shared" si="2"/>
        <v>0</v>
      </c>
      <c r="L66" s="241">
        <f>'FR PD 001 V1'!J63*'FR PD 001 V1'!Q63</f>
        <v>0</v>
      </c>
      <c r="M66" s="64">
        <f t="shared" si="0"/>
        <v>0</v>
      </c>
    </row>
    <row r="67" spans="1:13" ht="18" customHeight="1">
      <c r="A67" s="95" t="str">
        <f>'FR PD 001 V1'!A64</f>
        <v/>
      </c>
      <c r="B67" s="96">
        <f>'FR PD 001 V1'!G64</f>
        <v>0</v>
      </c>
      <c r="C67" s="97" t="e">
        <f>IF(VLOOKUP(B67,ESTANDAR!A:P,16,0)="CONTROLADO",'FR PD 001 V1'!H64&amp;"-"&amp;'FR PD 001 V1'!B64,'FR PD 001 V1'!H64)</f>
        <v>#N/A</v>
      </c>
      <c r="D67" s="97" t="str">
        <f>IFERROR(VLOOKUP(B67,ESTANDAR!$A:$D,4,0),"")</f>
        <v/>
      </c>
      <c r="E67" s="97">
        <f>'FR PD 001 V1'!K64</f>
        <v>0</v>
      </c>
      <c r="F67" s="97" t="str">
        <f>IF('FR PD 001 V1'!S64="L","L",IF('FR PD 001 V1'!S64="D","D","I"))</f>
        <v>I</v>
      </c>
      <c r="G67" s="98" t="str">
        <f>IF(OR(F67="L",F67="D"),'FR PD 001 V1'!O64,"")</f>
        <v/>
      </c>
      <c r="H67" s="99" t="str">
        <f>IF(OR(F67="L",F67="D"),'FR PD 001 V1'!P64,"")</f>
        <v/>
      </c>
      <c r="I67" s="97"/>
      <c r="J67" s="100">
        <f>IFERROR(IF(B67=B66,0,ROUNDUP(SUMIFS(L$9:L$85,B$9:B$85,B67)/VLOOKUP(B67,ESTANDAR!A:N,5,0),0)),0)</f>
        <v>0</v>
      </c>
      <c r="K67" s="244">
        <f t="shared" si="2"/>
        <v>0</v>
      </c>
      <c r="L67" s="241">
        <f>'FR PD 001 V1'!J64*'FR PD 001 V1'!Q64</f>
        <v>0</v>
      </c>
      <c r="M67" s="64">
        <f t="shared" si="0"/>
        <v>0</v>
      </c>
    </row>
    <row r="68" spans="1:13" ht="18" customHeight="1">
      <c r="A68" s="95" t="str">
        <f>'FR PD 001 V1'!A65</f>
        <v/>
      </c>
      <c r="B68" s="96">
        <f>'FR PD 001 V1'!G65</f>
        <v>0</v>
      </c>
      <c r="C68" s="97" t="e">
        <f>IF(VLOOKUP(B68,ESTANDAR!A:P,16,0)="CONTROLADO",'FR PD 001 V1'!H65&amp;"-"&amp;'FR PD 001 V1'!B65,'FR PD 001 V1'!H65)</f>
        <v>#N/A</v>
      </c>
      <c r="D68" s="97" t="str">
        <f>IFERROR(VLOOKUP(B68,ESTANDAR!$A:$D,4,0),"")</f>
        <v/>
      </c>
      <c r="E68" s="97">
        <f>'FR PD 001 V1'!K65</f>
        <v>0</v>
      </c>
      <c r="F68" s="97" t="str">
        <f>IF('FR PD 001 V1'!S65="L","L",IF('FR PD 001 V1'!S65="D","D","I"))</f>
        <v>I</v>
      </c>
      <c r="G68" s="98" t="str">
        <f>IF(OR(F68="L",F68="D"),'FR PD 001 V1'!O65,"")</f>
        <v/>
      </c>
      <c r="H68" s="99" t="str">
        <f>IF(OR(F68="L",F68="D"),'FR PD 001 V1'!P65,"")</f>
        <v/>
      </c>
      <c r="I68" s="97"/>
      <c r="J68" s="100">
        <f>IFERROR(IF(B68=B67,0,ROUNDUP(SUMIFS(L$9:L$85,B$9:B$85,B68)/VLOOKUP(B68,ESTANDAR!A:N,5,0),0)),0)</f>
        <v>0</v>
      </c>
      <c r="K68" s="244">
        <f t="shared" si="2"/>
        <v>0</v>
      </c>
      <c r="L68" s="241">
        <f>'FR PD 001 V1'!J65*'FR PD 001 V1'!Q65</f>
        <v>0</v>
      </c>
      <c r="M68" s="64">
        <f t="shared" si="0"/>
        <v>0</v>
      </c>
    </row>
    <row r="69" spans="1:13" ht="18" customHeight="1">
      <c r="A69" s="95" t="str">
        <f>'FR PD 001 V1'!A66</f>
        <v/>
      </c>
      <c r="B69" s="96">
        <f>'FR PD 001 V1'!G66</f>
        <v>0</v>
      </c>
      <c r="C69" s="97" t="e">
        <f>IF(VLOOKUP(B69,ESTANDAR!A:P,16,0)="CONTROLADO",'FR PD 001 V1'!H66&amp;"-"&amp;'FR PD 001 V1'!B66,'FR PD 001 V1'!H66)</f>
        <v>#N/A</v>
      </c>
      <c r="D69" s="97" t="str">
        <f>IFERROR(VLOOKUP(B69,ESTANDAR!$A:$D,4,0),"")</f>
        <v/>
      </c>
      <c r="E69" s="97">
        <f>'FR PD 001 V1'!K66</f>
        <v>0</v>
      </c>
      <c r="F69" s="97" t="str">
        <f>IF('FR PD 001 V1'!S66="L","L",IF('FR PD 001 V1'!S66="D","D","I"))</f>
        <v>I</v>
      </c>
      <c r="G69" s="98" t="str">
        <f>IF(OR(F69="L",F69="D"),'FR PD 001 V1'!O66,"")</f>
        <v/>
      </c>
      <c r="H69" s="99" t="str">
        <f>IF(OR(F69="L",F69="D"),'FR PD 001 V1'!P66,"")</f>
        <v/>
      </c>
      <c r="I69" s="97"/>
      <c r="J69" s="100">
        <f>IFERROR(IF(B69=B68,0,ROUNDUP(SUMIFS(L$9:L$85,B$9:B$85,B69)/VLOOKUP(B69,ESTANDAR!A:N,5,0),0)),0)</f>
        <v>0</v>
      </c>
      <c r="K69" s="244">
        <f t="shared" si="2"/>
        <v>0</v>
      </c>
      <c r="L69" s="241">
        <f>'FR PD 001 V1'!J66*'FR PD 001 V1'!Q66</f>
        <v>0</v>
      </c>
      <c r="M69" s="64">
        <f t="shared" si="0"/>
        <v>0</v>
      </c>
    </row>
    <row r="70" spans="1:13" ht="18" customHeight="1">
      <c r="A70" s="95" t="str">
        <f>'FR PD 001 V1'!A67</f>
        <v/>
      </c>
      <c r="B70" s="96">
        <f>'FR PD 001 V1'!G67</f>
        <v>0</v>
      </c>
      <c r="C70" s="97" t="e">
        <f>IF(VLOOKUP(B70,ESTANDAR!A:P,16,0)="CONTROLADO",'FR PD 001 V1'!H67&amp;"-"&amp;'FR PD 001 V1'!B67,'FR PD 001 V1'!H67)</f>
        <v>#N/A</v>
      </c>
      <c r="D70" s="97" t="str">
        <f>IFERROR(VLOOKUP(B70,ESTANDAR!$A:$D,4,0),"")</f>
        <v/>
      </c>
      <c r="E70" s="97">
        <f>'FR PD 001 V1'!K67</f>
        <v>0</v>
      </c>
      <c r="F70" s="97" t="str">
        <f>IF('FR PD 001 V1'!S67="L","L",IF('FR PD 001 V1'!S67="D","D","I"))</f>
        <v>I</v>
      </c>
      <c r="G70" s="98" t="str">
        <f>IF(OR(F70="L",F70="D"),'FR PD 001 V1'!O67,"")</f>
        <v/>
      </c>
      <c r="H70" s="99" t="str">
        <f>IF(OR(F70="L",F70="D"),'FR PD 001 V1'!P67,"")</f>
        <v/>
      </c>
      <c r="I70" s="97"/>
      <c r="J70" s="100">
        <f>IFERROR(IF(B70=B69,0,ROUNDUP(SUMIFS(L$9:L$85,B$9:B$85,B70)/VLOOKUP(B70,ESTANDAR!A:N,5,0),0)),0)</f>
        <v>0</v>
      </c>
      <c r="K70" s="244">
        <f t="shared" si="2"/>
        <v>0</v>
      </c>
      <c r="L70" s="241">
        <f>'FR PD 001 V1'!J67*'FR PD 001 V1'!Q67</f>
        <v>0</v>
      </c>
      <c r="M70" s="64">
        <f t="shared" si="0"/>
        <v>0</v>
      </c>
    </row>
    <row r="71" spans="1:13" ht="18" customHeight="1">
      <c r="A71" s="95" t="str">
        <f>'FR PD 001 V1'!A68</f>
        <v/>
      </c>
      <c r="B71" s="96">
        <f>'FR PD 001 V1'!G68</f>
        <v>0</v>
      </c>
      <c r="C71" s="97" t="e">
        <f>IF(VLOOKUP(B71,ESTANDAR!A:P,16,0)="CONTROLADO",'FR PD 001 V1'!H68&amp;"-"&amp;'FR PD 001 V1'!B68,'FR PD 001 V1'!H68)</f>
        <v>#N/A</v>
      </c>
      <c r="D71" s="97" t="str">
        <f>IFERROR(VLOOKUP(B71,ESTANDAR!$A:$D,4,0),"")</f>
        <v/>
      </c>
      <c r="E71" s="97">
        <f>'FR PD 001 V1'!K68</f>
        <v>0</v>
      </c>
      <c r="F71" s="97" t="str">
        <f>IF('FR PD 001 V1'!S68="L","L",IF('FR PD 001 V1'!S68="D","D","I"))</f>
        <v>I</v>
      </c>
      <c r="G71" s="98" t="str">
        <f>IF(OR(F71="L",F71="D"),'FR PD 001 V1'!O68,"")</f>
        <v/>
      </c>
      <c r="H71" s="99" t="str">
        <f>IF(OR(F71="L",F71="D"),'FR PD 001 V1'!P68,"")</f>
        <v/>
      </c>
      <c r="I71" s="97"/>
      <c r="J71" s="100">
        <f>IFERROR(IF(B71=B70,0,ROUNDUP(SUMIFS(L$9:L$85,B$9:B$85,B71)/VLOOKUP(B71,ESTANDAR!A:N,5,0),0)),0)</f>
        <v>0</v>
      </c>
      <c r="K71" s="244">
        <f t="shared" si="2"/>
        <v>0</v>
      </c>
      <c r="L71" s="241">
        <f>'FR PD 001 V1'!J68*'FR PD 001 V1'!Q68</f>
        <v>0</v>
      </c>
      <c r="M71" s="64">
        <f t="shared" si="0"/>
        <v>0</v>
      </c>
    </row>
    <row r="72" spans="1:13" ht="18" customHeight="1">
      <c r="A72" s="95" t="str">
        <f>K$5</f>
        <v>0</v>
      </c>
      <c r="B72" s="96" t="s">
        <v>171</v>
      </c>
      <c r="C72" s="97" t="s">
        <v>459</v>
      </c>
      <c r="D72" s="97" t="s">
        <v>320</v>
      </c>
      <c r="E72" s="97">
        <f>SUMIFS('FR PD 001 V1'!Q:Q,'FR PD 001 V1'!S:S,"INFUSOR 2:4:6")</f>
        <v>0</v>
      </c>
      <c r="F72" s="97" t="str">
        <f>IF('FR PD 001 V1'!S70="L","L",IF('FR PD 001 V1'!S70="D","D","I"))</f>
        <v>I</v>
      </c>
      <c r="G72" s="98"/>
      <c r="H72" s="99"/>
      <c r="I72" s="97"/>
      <c r="J72" s="100">
        <f>E72</f>
        <v>0</v>
      </c>
      <c r="K72" s="244">
        <f>E72-J72</f>
        <v>0</v>
      </c>
      <c r="L72" s="241"/>
      <c r="M72" s="64">
        <f t="shared" si="0"/>
        <v>0</v>
      </c>
    </row>
    <row r="73" spans="1:13" ht="18" customHeight="1">
      <c r="A73" s="95" t="str">
        <f>K$5</f>
        <v>0</v>
      </c>
      <c r="B73" s="96" t="s">
        <v>171</v>
      </c>
      <c r="C73" s="97" t="s">
        <v>460</v>
      </c>
      <c r="D73" s="97" t="s">
        <v>320</v>
      </c>
      <c r="E73" s="97">
        <f>SUMIFS('FR PD 001 V1'!Q:Q,'FR PD 001 V1'!S:S,"INFUSOR 5:7:12")</f>
        <v>0</v>
      </c>
      <c r="F73" s="97" t="str">
        <f>IF('FR PD 001 V1'!S71="L","L",IF('FR PD 001 V1'!S71="D","D","I"))</f>
        <v>I</v>
      </c>
      <c r="G73" s="98"/>
      <c r="H73" s="99"/>
      <c r="I73" s="97"/>
      <c r="J73" s="100">
        <f>E73</f>
        <v>0</v>
      </c>
      <c r="K73" s="244">
        <f>E73-J73</f>
        <v>0</v>
      </c>
      <c r="L73" s="241"/>
      <c r="M73" s="64">
        <f t="shared" ref="M73:M85" si="3">IFERROR(IF(AND(C73=C74,C73=C72),M72,IF(AND(C73&lt;&gt;C72,C73=C74),M72+1,IF(AND(C73=C72,C73&lt;&gt;C74),M72,IF(AND(C73&lt;&gt;C72,C73&lt;&gt;C74),M72+1)))),M72)</f>
        <v>1</v>
      </c>
    </row>
    <row r="74" spans="1:13" ht="18" customHeight="1">
      <c r="A74" s="95" t="str">
        <f t="shared" ref="A74:A85" si="4">K$5</f>
        <v>0</v>
      </c>
      <c r="B74" s="96">
        <v>738</v>
      </c>
      <c r="C74" s="97" t="s">
        <v>112</v>
      </c>
      <c r="D74" s="97" t="s">
        <v>113</v>
      </c>
      <c r="E74" s="97">
        <f>SUMIFS('FR PD 001 V1'!Q$6:Q$49,'FR PD 001 V1'!S$6:S$49,"JER 1mL")</f>
        <v>0</v>
      </c>
      <c r="F74" s="97" t="s">
        <v>164</v>
      </c>
      <c r="G74" s="98"/>
      <c r="H74" s="99"/>
      <c r="I74" s="97"/>
      <c r="J74" s="100">
        <f t="shared" ref="J74:J85" si="5">E74</f>
        <v>0</v>
      </c>
      <c r="K74" s="244">
        <f t="shared" ref="K74:K85" si="6">E74-J74</f>
        <v>0</v>
      </c>
      <c r="L74" s="241"/>
      <c r="M74" s="64">
        <f t="shared" si="3"/>
        <v>2</v>
      </c>
    </row>
    <row r="75" spans="1:13" ht="18" customHeight="1">
      <c r="A75" s="95" t="str">
        <f t="shared" si="4"/>
        <v>0</v>
      </c>
      <c r="B75" s="96">
        <v>744</v>
      </c>
      <c r="C75" s="97" t="s">
        <v>112</v>
      </c>
      <c r="D75" s="97" t="s">
        <v>114</v>
      </c>
      <c r="E75" s="97">
        <f>SUMIFS('FR PD 001 V1'!Q$6:Q$49,'FR PD 001 V1'!S$6:S$49,"JER 3mL")</f>
        <v>0</v>
      </c>
      <c r="F75" s="97" t="s">
        <v>164</v>
      </c>
      <c r="G75" s="98"/>
      <c r="H75" s="99"/>
      <c r="I75" s="97"/>
      <c r="J75" s="100">
        <f t="shared" si="5"/>
        <v>0</v>
      </c>
      <c r="K75" s="244">
        <f t="shared" si="6"/>
        <v>0</v>
      </c>
      <c r="L75" s="241"/>
      <c r="M75" s="64">
        <f t="shared" si="3"/>
        <v>2</v>
      </c>
    </row>
    <row r="76" spans="1:13" ht="18" customHeight="1">
      <c r="A76" s="95" t="str">
        <f t="shared" si="4"/>
        <v>0</v>
      </c>
      <c r="B76" s="96">
        <v>33801</v>
      </c>
      <c r="C76" s="97" t="s">
        <v>112</v>
      </c>
      <c r="D76" s="97" t="s">
        <v>115</v>
      </c>
      <c r="E76" s="97">
        <f>SUMIFS('FR PD 001 V1'!Q$6:Q$49,'FR PD 001 V1'!S$6:S$49,"JER 5mL")</f>
        <v>0</v>
      </c>
      <c r="F76" s="97" t="s">
        <v>164</v>
      </c>
      <c r="G76" s="98"/>
      <c r="H76" s="99"/>
      <c r="I76" s="97"/>
      <c r="J76" s="100">
        <f t="shared" si="5"/>
        <v>0</v>
      </c>
      <c r="K76" s="244">
        <f t="shared" si="6"/>
        <v>0</v>
      </c>
      <c r="L76" s="241"/>
      <c r="M76" s="64">
        <f t="shared" si="3"/>
        <v>2</v>
      </c>
    </row>
    <row r="77" spans="1:13" ht="18" customHeight="1">
      <c r="A77" s="95" t="str">
        <f t="shared" si="4"/>
        <v>0</v>
      </c>
      <c r="B77" s="96">
        <v>33802</v>
      </c>
      <c r="C77" s="97" t="s">
        <v>112</v>
      </c>
      <c r="D77" s="97" t="s">
        <v>116</v>
      </c>
      <c r="E77" s="97">
        <f>SUMIFS('FR PD 001 V1'!Q$6:Q$49,'FR PD 001 V1'!S$6:S$49,"JER 10mL")</f>
        <v>0</v>
      </c>
      <c r="F77" s="97" t="s">
        <v>164</v>
      </c>
      <c r="G77" s="98"/>
      <c r="H77" s="99"/>
      <c r="I77" s="97"/>
      <c r="J77" s="100">
        <f t="shared" si="5"/>
        <v>0</v>
      </c>
      <c r="K77" s="244">
        <f t="shared" si="6"/>
        <v>0</v>
      </c>
      <c r="L77" s="241"/>
      <c r="M77" s="64">
        <f t="shared" si="3"/>
        <v>2</v>
      </c>
    </row>
    <row r="78" spans="1:13" ht="18" customHeight="1">
      <c r="A78" s="95" t="str">
        <f t="shared" si="4"/>
        <v>0</v>
      </c>
      <c r="B78" s="96">
        <v>33803</v>
      </c>
      <c r="C78" s="97" t="s">
        <v>112</v>
      </c>
      <c r="D78" s="97" t="s">
        <v>126</v>
      </c>
      <c r="E78" s="97">
        <f>SUMIFS('FR PD 001 V1'!Q$6:Q$49,'FR PD 001 V1'!S$6:S$49,"JER 20mL")</f>
        <v>0</v>
      </c>
      <c r="F78" s="97" t="s">
        <v>164</v>
      </c>
      <c r="G78" s="98"/>
      <c r="H78" s="99"/>
      <c r="I78" s="97"/>
      <c r="J78" s="100">
        <f t="shared" si="5"/>
        <v>0</v>
      </c>
      <c r="K78" s="244">
        <f t="shared" si="6"/>
        <v>0</v>
      </c>
      <c r="L78" s="241"/>
      <c r="M78" s="64">
        <f t="shared" si="3"/>
        <v>2</v>
      </c>
    </row>
    <row r="79" spans="1:13" ht="18" customHeight="1">
      <c r="A79" s="95" t="str">
        <f t="shared" si="4"/>
        <v>0</v>
      </c>
      <c r="B79" s="96">
        <v>752</v>
      </c>
      <c r="C79" s="97" t="s">
        <v>112</v>
      </c>
      <c r="D79" s="97" t="s">
        <v>127</v>
      </c>
      <c r="E79" s="97">
        <f>SUMIFS('FR PD 001 V1'!Q$6:Q$49,'FR PD 001 V1'!S$6:S$49,"JER 50mL")</f>
        <v>0</v>
      </c>
      <c r="F79" s="97" t="s">
        <v>164</v>
      </c>
      <c r="G79" s="98"/>
      <c r="H79" s="99"/>
      <c r="I79" s="97"/>
      <c r="J79" s="100">
        <f t="shared" si="5"/>
        <v>0</v>
      </c>
      <c r="K79" s="244">
        <f t="shared" si="6"/>
        <v>0</v>
      </c>
      <c r="L79" s="241"/>
      <c r="M79" s="64">
        <f t="shared" si="3"/>
        <v>2</v>
      </c>
    </row>
    <row r="80" spans="1:13" ht="18" customHeight="1">
      <c r="A80" s="95" t="str">
        <f>K$5</f>
        <v>0</v>
      </c>
      <c r="B80" s="96" t="s">
        <v>171</v>
      </c>
      <c r="C80" s="97" t="s">
        <v>751</v>
      </c>
      <c r="D80" s="97" t="s">
        <v>522</v>
      </c>
      <c r="E80" s="97">
        <f>SUMIFS('FR PD 001 V1'!Q$6:Q$49,'FR PD 001 V1'!S$6:S$49,"SSN 50mL")</f>
        <v>0</v>
      </c>
      <c r="F80" s="97" t="s">
        <v>164</v>
      </c>
      <c r="G80" s="98"/>
      <c r="H80" s="99"/>
      <c r="I80" s="97"/>
      <c r="J80" s="100">
        <f>E80</f>
        <v>0</v>
      </c>
      <c r="K80" s="244">
        <f>E80-J80</f>
        <v>0</v>
      </c>
      <c r="L80" s="241"/>
      <c r="M80" s="64">
        <f t="shared" si="3"/>
        <v>3</v>
      </c>
    </row>
    <row r="81" spans="1:13" ht="18" customHeight="1">
      <c r="A81" s="95" t="str">
        <f t="shared" si="4"/>
        <v>0</v>
      </c>
      <c r="B81" s="96">
        <v>4143</v>
      </c>
      <c r="C81" s="97" t="s">
        <v>751</v>
      </c>
      <c r="D81" s="97" t="s">
        <v>358</v>
      </c>
      <c r="E81" s="97">
        <f>SUMIFS('FR PD 001 V1'!Q$6:Q$49,'FR PD 001 V1'!S$6:S$49,"SSN 100mL")</f>
        <v>0</v>
      </c>
      <c r="F81" s="97" t="s">
        <v>164</v>
      </c>
      <c r="G81" s="98"/>
      <c r="H81" s="99"/>
      <c r="I81" s="97"/>
      <c r="J81" s="100">
        <f t="shared" si="5"/>
        <v>0</v>
      </c>
      <c r="K81" s="244">
        <f t="shared" si="6"/>
        <v>0</v>
      </c>
      <c r="L81" s="241"/>
      <c r="M81" s="64">
        <f t="shared" si="3"/>
        <v>3</v>
      </c>
    </row>
    <row r="82" spans="1:13" ht="18" customHeight="1">
      <c r="A82" s="95" t="str">
        <f t="shared" si="4"/>
        <v>0</v>
      </c>
      <c r="B82" s="96">
        <v>4142</v>
      </c>
      <c r="C82" s="97" t="s">
        <v>751</v>
      </c>
      <c r="D82" s="97" t="s">
        <v>359</v>
      </c>
      <c r="E82" s="97">
        <f>((((SUMIFS('FR PD 001 V1'!Q$6:Q$49,'FR PD 001 V1'!S$6:S$49,"SSN 250mL"))+(SUMIFS('FR PD 001 V1'!Q$6:Q$49,'FR PD 001 V1'!S$6:S$49,"SSN 200mL")+(SUMIFS('FR PD 001 V1'!Q$6:Q$49,'FR PD 001 V1'!S$6:S$49,"INFUSOR 5:7:12")+(SUMIFS('FR PD 001 V1'!Q$6:Q$49,'FR PD 001 V1'!S$6:S$49,"INFUSOR 2:4:6")))))))</f>
        <v>0</v>
      </c>
      <c r="F82" s="97" t="s">
        <v>164</v>
      </c>
      <c r="G82" s="98"/>
      <c r="H82" s="99"/>
      <c r="I82" s="97"/>
      <c r="J82" s="100">
        <f t="shared" si="5"/>
        <v>0</v>
      </c>
      <c r="K82" s="244">
        <f t="shared" si="6"/>
        <v>0</v>
      </c>
      <c r="L82" s="241"/>
      <c r="M82" s="64">
        <f t="shared" si="3"/>
        <v>3</v>
      </c>
    </row>
    <row r="83" spans="1:13" ht="18" customHeight="1">
      <c r="A83" s="95" t="str">
        <f t="shared" si="4"/>
        <v>0</v>
      </c>
      <c r="B83" s="96">
        <v>4141</v>
      </c>
      <c r="C83" s="97" t="s">
        <v>751</v>
      </c>
      <c r="D83" s="97" t="s">
        <v>360</v>
      </c>
      <c r="E83" s="97">
        <f>SUMIFS('FR PD 001 V1'!Q$6:Q$49,'FR PD 001 V1'!S$6:S$49,"SSN 500mL")</f>
        <v>0</v>
      </c>
      <c r="F83" s="97" t="s">
        <v>164</v>
      </c>
      <c r="G83" s="98"/>
      <c r="H83" s="99"/>
      <c r="I83" s="97"/>
      <c r="J83" s="100">
        <f t="shared" si="5"/>
        <v>0</v>
      </c>
      <c r="K83" s="244">
        <f t="shared" si="6"/>
        <v>0</v>
      </c>
      <c r="L83" s="241"/>
      <c r="M83" s="64">
        <f t="shared" si="3"/>
        <v>3</v>
      </c>
    </row>
    <row r="84" spans="1:13" ht="18" customHeight="1">
      <c r="A84" s="95" t="str">
        <f t="shared" si="4"/>
        <v>0</v>
      </c>
      <c r="B84" s="96">
        <v>475</v>
      </c>
      <c r="C84" s="97" t="s">
        <v>752</v>
      </c>
      <c r="D84" s="97" t="s">
        <v>360</v>
      </c>
      <c r="E84" s="97">
        <f>SUMIFS('FR PD 001 V1'!Q$6:Q$49,'FR PD 001 V1'!S$6:S$49,"DAD 5% 500mL")</f>
        <v>0</v>
      </c>
      <c r="F84" s="97" t="s">
        <v>164</v>
      </c>
      <c r="G84" s="98"/>
      <c r="H84" s="99"/>
      <c r="I84" s="97"/>
      <c r="J84" s="100">
        <f>E84</f>
        <v>0</v>
      </c>
      <c r="K84" s="244">
        <f>E84-J84</f>
        <v>0</v>
      </c>
      <c r="L84" s="241"/>
      <c r="M84" s="64">
        <f t="shared" si="3"/>
        <v>4</v>
      </c>
    </row>
    <row r="85" spans="1:13" ht="18" customHeight="1">
      <c r="A85" s="95" t="str">
        <f t="shared" si="4"/>
        <v>0</v>
      </c>
      <c r="B85" s="96">
        <v>468</v>
      </c>
      <c r="C85" s="97" t="s">
        <v>117</v>
      </c>
      <c r="D85" s="97" t="s">
        <v>360</v>
      </c>
      <c r="E85" s="97">
        <f>IF('FR PD 001 V1'!Q$70&lt;=100,1,IF(AND('FR PD 001 V1'!Q$70&gt;100,'FR PD 001 V1'!Q$70&lt;=200),2,IF(AND('FR PD 001 V1'!Q$70&gt;200,'FR PD 001 V1'!Q$70&lt;=300),3,4)))</f>
        <v>1</v>
      </c>
      <c r="F85" s="97" t="s">
        <v>164</v>
      </c>
      <c r="G85" s="98"/>
      <c r="H85" s="99"/>
      <c r="I85" s="97"/>
      <c r="J85" s="100">
        <f t="shared" si="5"/>
        <v>1</v>
      </c>
      <c r="K85" s="244">
        <f t="shared" si="6"/>
        <v>0</v>
      </c>
      <c r="L85" s="241"/>
      <c r="M85" s="64">
        <f t="shared" si="3"/>
        <v>5</v>
      </c>
    </row>
    <row r="86" spans="1:13">
      <c r="A86" s="102"/>
      <c r="B86" s="103"/>
      <c r="C86" s="104"/>
      <c r="D86" s="104"/>
      <c r="E86" s="104"/>
      <c r="F86" s="105"/>
      <c r="G86" s="104"/>
      <c r="H86" s="106"/>
      <c r="I86" s="105"/>
      <c r="J86" s="107"/>
      <c r="K86" s="108"/>
    </row>
    <row r="87" spans="1:13">
      <c r="A87" s="713" t="s">
        <v>120</v>
      </c>
      <c r="B87" s="714"/>
      <c r="C87" s="722" t="str">
        <f>'FR PD 001 V1'!A72</f>
        <v>DIEGOS</v>
      </c>
      <c r="D87" s="722"/>
      <c r="E87" s="722"/>
      <c r="F87" s="722"/>
      <c r="G87" s="722"/>
      <c r="H87" s="722"/>
      <c r="I87" s="722"/>
      <c r="J87" s="722"/>
      <c r="K87" s="109"/>
    </row>
    <row r="88" spans="1:13">
      <c r="A88" s="713" t="s">
        <v>121</v>
      </c>
      <c r="B88" s="714"/>
      <c r="C88" s="715"/>
      <c r="D88" s="715"/>
      <c r="E88" s="715"/>
      <c r="F88" s="715"/>
      <c r="G88" s="715"/>
      <c r="H88" s="715"/>
      <c r="I88" s="715"/>
      <c r="J88" s="715"/>
      <c r="K88" s="243"/>
    </row>
    <row r="89" spans="1:13">
      <c r="A89" s="713" t="s">
        <v>122</v>
      </c>
      <c r="B89" s="714"/>
      <c r="C89" s="715"/>
      <c r="D89" s="715"/>
      <c r="E89" s="715"/>
      <c r="F89" s="715"/>
      <c r="G89" s="715"/>
      <c r="H89" s="715"/>
      <c r="I89" s="715"/>
      <c r="J89" s="715"/>
      <c r="K89" s="243"/>
    </row>
    <row r="90" spans="1:13">
      <c r="A90" s="88"/>
      <c r="B90" s="88"/>
      <c r="C90" s="88"/>
      <c r="D90" s="88"/>
      <c r="E90" s="88"/>
      <c r="F90" s="88"/>
      <c r="G90" s="88"/>
      <c r="H90" s="89"/>
      <c r="I90" s="88"/>
      <c r="J90" s="88"/>
      <c r="K90" s="88"/>
    </row>
    <row r="91" spans="1:13">
      <c r="A91" s="717" t="s">
        <v>150</v>
      </c>
      <c r="B91" s="717"/>
      <c r="C91" s="110"/>
      <c r="D91" s="110"/>
      <c r="E91" s="110"/>
      <c r="F91" s="717" t="s">
        <v>26</v>
      </c>
      <c r="G91" s="717"/>
      <c r="H91" s="111" t="s">
        <v>157</v>
      </c>
      <c r="I91" s="110"/>
      <c r="J91" s="110"/>
      <c r="K91" s="110"/>
    </row>
    <row r="92" spans="1:13">
      <c r="A92" s="101" t="s">
        <v>28</v>
      </c>
      <c r="B92" s="112" t="s">
        <v>158</v>
      </c>
      <c r="C92" s="110"/>
      <c r="D92" s="110"/>
      <c r="E92" s="110"/>
      <c r="F92" s="113" t="s">
        <v>159</v>
      </c>
      <c r="G92" s="114" t="s">
        <v>160</v>
      </c>
      <c r="H92" s="115" t="s">
        <v>161</v>
      </c>
      <c r="I92" s="110"/>
      <c r="J92" s="110"/>
      <c r="K92" s="110"/>
    </row>
    <row r="93" spans="1:13">
      <c r="A93" s="116" t="s">
        <v>145</v>
      </c>
      <c r="B93" s="117" t="s">
        <v>174</v>
      </c>
      <c r="C93" s="110"/>
      <c r="D93" s="110"/>
      <c r="E93" s="110"/>
      <c r="F93" s="110"/>
      <c r="G93" s="110"/>
      <c r="H93" s="118"/>
      <c r="I93" s="110"/>
      <c r="J93" s="110"/>
      <c r="K93" s="110"/>
    </row>
    <row r="94" spans="1:13">
      <c r="A94" s="244" t="s">
        <v>164</v>
      </c>
      <c r="B94" s="112" t="s">
        <v>165</v>
      </c>
      <c r="C94" s="110"/>
      <c r="D94" s="110"/>
      <c r="E94" s="110"/>
      <c r="F94" s="110"/>
      <c r="G94" s="110"/>
      <c r="H94" s="118"/>
      <c r="I94" s="110"/>
      <c r="J94" s="110"/>
      <c r="K94" s="110"/>
    </row>
    <row r="95" spans="1:13">
      <c r="A95" s="119" t="s">
        <v>27</v>
      </c>
      <c r="B95" s="114" t="s">
        <v>166</v>
      </c>
      <c r="C95" s="110"/>
      <c r="D95" s="110"/>
      <c r="E95" s="110"/>
      <c r="F95" s="110"/>
      <c r="G95" s="110"/>
      <c r="H95" s="118"/>
      <c r="I95" s="110"/>
      <c r="J95" s="110"/>
      <c r="K95" s="110"/>
    </row>
  </sheetData>
  <sheetProtection selectLockedCells="1" selectUnlockedCells="1"/>
  <autoFilter ref="A8:J85" xr:uid="{00000000-0009-0000-0000-000006000000}"/>
  <mergeCells count="17">
    <mergeCell ref="A2:B2"/>
    <mergeCell ref="C2:J2"/>
    <mergeCell ref="A4:B4"/>
    <mergeCell ref="C4:G4"/>
    <mergeCell ref="A87:B87"/>
    <mergeCell ref="C87:J87"/>
    <mergeCell ref="A5:B5"/>
    <mergeCell ref="C5:G5"/>
    <mergeCell ref="A6:B6"/>
    <mergeCell ref="C6:G6"/>
    <mergeCell ref="A89:B89"/>
    <mergeCell ref="C89:J89"/>
    <mergeCell ref="L7:L8"/>
    <mergeCell ref="A91:B91"/>
    <mergeCell ref="F91:G91"/>
    <mergeCell ref="A88:B88"/>
    <mergeCell ref="C88:J88"/>
  </mergeCells>
  <conditionalFormatting sqref="A9:L9 C10:C71">
    <cfRule type="expression" dxfId="114" priority="3">
      <formula>ISODD($M9)</formula>
    </cfRule>
  </conditionalFormatting>
  <conditionalFormatting sqref="A10:B85 D10:L85">
    <cfRule type="expression" dxfId="113" priority="2">
      <formula>ISODD($M10)</formula>
    </cfRule>
  </conditionalFormatting>
  <conditionalFormatting sqref="C72:C85">
    <cfRule type="expression" dxfId="112" priority="1">
      <formula>ISODD($M72)</formula>
    </cfRule>
  </conditionalFormatting>
  <printOptions horizontalCentered="1"/>
  <pageMargins left="0.23622047244094491" right="0.23622047244094491" top="0.19685039370078741" bottom="0.19685039370078741" header="0.23622047244094491" footer="0.27559055118110237"/>
  <pageSetup scale="3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pageSetUpPr fitToPage="1"/>
  </sheetPr>
  <dimension ref="A1:AA90"/>
  <sheetViews>
    <sheetView view="pageBreakPreview" zoomScale="90" zoomScaleSheetLayoutView="90" workbookViewId="0">
      <selection activeCell="G8" sqref="G7:G70"/>
    </sheetView>
  </sheetViews>
  <sheetFormatPr defaultColWidth="11.42578125" defaultRowHeight="15.75" customHeight="1"/>
  <cols>
    <col min="1" max="1" width="23.42578125" style="122" customWidth="1"/>
    <col min="2" max="2" width="24.85546875" style="122" customWidth="1"/>
    <col min="3" max="3" width="15.85546875" style="122" customWidth="1"/>
    <col min="4" max="4" width="6.85546875" style="122" customWidth="1"/>
    <col min="5" max="5" width="11.85546875" style="122" customWidth="1"/>
    <col min="6" max="6" width="16.85546875" style="122" customWidth="1"/>
    <col min="7" max="7" width="13.85546875" style="122" customWidth="1"/>
    <col min="8" max="8" width="31.5703125" style="122" bestFit="1" customWidth="1"/>
    <col min="9" max="9" width="14" style="122" customWidth="1"/>
    <col min="10" max="11" width="15.7109375" style="122" customWidth="1"/>
    <col min="12" max="12" width="0.140625" style="122" customWidth="1"/>
    <col min="13" max="13" width="0.28515625" style="122" customWidth="1"/>
    <col min="14" max="14" width="9.5703125" style="122" customWidth="1"/>
    <col min="15" max="15" width="3.85546875" style="122" customWidth="1"/>
    <col min="16" max="16" width="3.7109375" style="122" customWidth="1"/>
    <col min="17" max="17" width="11.42578125" style="121" hidden="1" customWidth="1"/>
    <col min="18" max="18" width="11.42578125" style="122"/>
    <col min="19" max="19" width="13" style="122" customWidth="1"/>
    <col min="20" max="24" width="11.42578125" style="122"/>
    <col min="25" max="25" width="13" style="122" bestFit="1" customWidth="1"/>
    <col min="26" max="16384" width="11.42578125" style="122"/>
  </cols>
  <sheetData>
    <row r="1" spans="1:27" ht="15.75" customHeight="1" thickBot="1">
      <c r="A1" s="122" t="s">
        <v>849</v>
      </c>
      <c r="B1" s="122" t="str">
        <f ca="1">"FR CC 016 "&amp;VLOOKUP('FORMATO DIL'!$B$2,LOTES!$N:$Q,4,FALSE)&amp;" "&amp;'FORMATO DIL'!$C$4&amp;" "&amp;TEXT(C3,"DDMMYY")&amp;"-"&amp;'FR PD 001 V1'!Q70</f>
        <v>FR CC 016 IV JPC SEXTO NORTE  040822-0</v>
      </c>
      <c r="C1" s="122" t="s">
        <v>852</v>
      </c>
      <c r="D1" s="122" t="str">
        <f ca="1">'FR PD 001 V1'!T3</f>
        <v>Z:\PRODUCCION ESTERILES\IV SCOOP JPC-MATERNO-VERAGUAS-CPOLICARPA SCOOP\2022\08 AGOSTO\040822\JPC\PEDIATRIA\</v>
      </c>
      <c r="E1" s="122" t="s">
        <v>886</v>
      </c>
      <c r="F1" s="122" t="str">
        <f ca="1">VLOOKUP('FORMATO DIL'!$B$2,LOTES!$N:$W,10,FALSE)</f>
        <v>S:\ESTERILES\IV SCOOP JPC-MATERNO-VERAGUAS-CPOLICARPA\2022\08 AGOSTO\040822\JPC\PEDIATRIA\</v>
      </c>
      <c r="G1" s="122" t="str">
        <f ca="1">J3&amp;";; "&amp;J3&amp;";"&amp;C4&amp;";"&amp;N4&amp;";"&amp;H3&amp;";"&amp;J1&amp;";"&amp;TEXT(C3,"DD/MM/YYYY")&amp;";"&amp;TEXT(F3,"HH:MM:SS")&amp;";"&amp;TEXT(NOW(),"dd/mm/yyyy hh:mm")</f>
        <v>0;; 0;C.JPC/SEXTO NTE/SCOOP;NORMAL;ESTERILES;0;04/08/2022;12:03:43;04/08/2022 12:07</v>
      </c>
      <c r="J1" s="122">
        <f>+SUM(J7:J70)</f>
        <v>0</v>
      </c>
      <c r="K1" s="438"/>
      <c r="R1" s="122" t="str">
        <f>J3</f>
        <v>0</v>
      </c>
      <c r="T1" s="441">
        <f>VALUE(R1)</f>
        <v>0</v>
      </c>
      <c r="U1" s="122" t="str">
        <f>C4</f>
        <v>C.JPC/SEXTO NTE/SCOOP</v>
      </c>
      <c r="V1" s="122" t="str">
        <f>N4</f>
        <v>NORMAL</v>
      </c>
      <c r="W1" s="122" t="str">
        <f>H3</f>
        <v>ESTERILES</v>
      </c>
      <c r="X1" s="122">
        <f>VALUE(J1)</f>
        <v>0</v>
      </c>
      <c r="Y1" s="122">
        <f ca="1">VALUE(C3)</f>
        <v>44777</v>
      </c>
      <c r="Z1" s="122" t="str">
        <f ca="1">TEXT(F3,"HH:MM:SS")</f>
        <v>12:03:43</v>
      </c>
      <c r="AA1" s="122" t="str">
        <f ca="1">TEXT(NOW(),"dd/mm/yyyy hh:mm")</f>
        <v>04/08/2022 12:07</v>
      </c>
    </row>
    <row r="2" spans="1:27" ht="60" customHeight="1" thickBot="1">
      <c r="A2" s="312"/>
      <c r="B2" s="312"/>
      <c r="C2" s="747" t="str">
        <f>"ORDEN DE DESPACHO/REMISION No: "&amp;'FR PD 001 V1'!A6&amp;IF(RIGHT('FORMATO DIL'!J4,3)=RIGHT('FORMATO DIL'!H2,3),"","-"&amp;RIGHT('FORMATO DIL'!J4,3))</f>
        <v>ORDEN DE DESPACHO/REMISION No: 0-0</v>
      </c>
      <c r="D2" s="747"/>
      <c r="E2" s="747"/>
      <c r="F2" s="747"/>
      <c r="G2" s="747"/>
      <c r="H2" s="747"/>
      <c r="I2" s="748"/>
      <c r="J2" s="765" t="str">
        <f>CONCATENATE("*",J3,"*")</f>
        <v>*0*</v>
      </c>
      <c r="K2" s="766"/>
      <c r="L2" s="313"/>
      <c r="M2" s="313"/>
      <c r="N2" s="754" t="s">
        <v>430</v>
      </c>
      <c r="O2" s="755"/>
      <c r="P2" s="756"/>
      <c r="R2" s="213" t="str">
        <f ca="1">"FR CC 016 "&amp;VLOOKUP('FORMATO DIL'!$B$2,LOTES!$N:$Q,4,FALSE)&amp;" "&amp;'FORMATO DIL'!$C$4&amp;" "&amp;TEXT(C3,"DDMMYY")&amp;"-"&amp;'FR PD 001 V1'!Q70</f>
        <v>FR CC 016 IV JPC SEXTO NORTE  040822-0</v>
      </c>
      <c r="Z2" s="442"/>
    </row>
    <row r="3" spans="1:27" ht="26.1" customHeight="1" thickBot="1">
      <c r="A3" s="312"/>
      <c r="B3" s="314" t="s">
        <v>454</v>
      </c>
      <c r="C3" s="315">
        <f ca="1">'FR PD 001 V1'!B70</f>
        <v>44777</v>
      </c>
      <c r="D3" s="745" t="s">
        <v>431</v>
      </c>
      <c r="E3" s="746"/>
      <c r="F3" s="316" t="str">
        <f ca="1">'FR PD 001 V1'!A75</f>
        <v>12:03:43</v>
      </c>
      <c r="G3" s="314" t="s">
        <v>457</v>
      </c>
      <c r="H3" s="317" t="s">
        <v>436</v>
      </c>
      <c r="I3" s="318" t="s">
        <v>432</v>
      </c>
      <c r="J3" s="763" t="str">
        <f>MID(A7,1,5)</f>
        <v>0</v>
      </c>
      <c r="K3" s="764"/>
      <c r="L3" s="319"/>
      <c r="M3" s="319"/>
      <c r="N3" s="757" t="s">
        <v>434</v>
      </c>
      <c r="O3" s="758"/>
      <c r="P3" s="759"/>
    </row>
    <row r="4" spans="1:27" ht="21.95" customHeight="1" thickBot="1">
      <c r="A4" s="320"/>
      <c r="B4" s="321" t="s">
        <v>433</v>
      </c>
      <c r="C4" s="749" t="str">
        <f>'FORMATO DIL'!B2</f>
        <v>C.JPC/SEXTO NTE/SCOOP</v>
      </c>
      <c r="D4" s="750"/>
      <c r="E4" s="750"/>
      <c r="F4" s="751"/>
      <c r="G4" s="321" t="s">
        <v>458</v>
      </c>
      <c r="H4" s="322"/>
      <c r="I4" s="323"/>
      <c r="J4" s="323"/>
      <c r="K4" s="324"/>
      <c r="L4" s="323"/>
      <c r="M4" s="323"/>
      <c r="N4" s="760" t="str">
        <f>'FORMATO DIL'!C2</f>
        <v>NORMAL</v>
      </c>
      <c r="O4" s="761"/>
      <c r="P4" s="762"/>
    </row>
    <row r="6" spans="1:27" ht="37.5" customHeight="1">
      <c r="A6" s="123" t="s">
        <v>2</v>
      </c>
      <c r="B6" s="124" t="s">
        <v>3</v>
      </c>
      <c r="C6" s="125" t="s">
        <v>14</v>
      </c>
      <c r="D6" s="124" t="s">
        <v>194</v>
      </c>
      <c r="E6" s="125" t="s">
        <v>5</v>
      </c>
      <c r="F6" s="125" t="s">
        <v>97</v>
      </c>
      <c r="G6" s="126" t="s">
        <v>4</v>
      </c>
      <c r="H6" s="126" t="s">
        <v>6</v>
      </c>
      <c r="I6" s="126" t="s">
        <v>7</v>
      </c>
      <c r="J6" s="123" t="s">
        <v>8</v>
      </c>
      <c r="K6" s="123" t="s">
        <v>273</v>
      </c>
      <c r="L6" s="126" t="s">
        <v>508</v>
      </c>
      <c r="M6" s="204" t="s">
        <v>261</v>
      </c>
      <c r="N6" s="123" t="s">
        <v>455</v>
      </c>
      <c r="O6" s="126" t="s">
        <v>9</v>
      </c>
      <c r="P6" s="126" t="s">
        <v>10</v>
      </c>
      <c r="R6" s="126"/>
      <c r="S6" s="204"/>
      <c r="T6" s="122">
        <f>IFERROR(IF(AND(B6=B7,B6=B5),T5,IF(AND(B6&lt;&gt;B5,B6=B7),T5+1,IF(AND(B6=B5,B6&lt;&gt;B7),T5,IF(AND(B6&lt;&gt;B5,B6&lt;&gt;B7),T5+1)))),IF(B6=B5,T5,T5+1))</f>
        <v>1</v>
      </c>
    </row>
    <row r="7" spans="1:27" ht="13.5" customHeight="1">
      <c r="A7" s="127">
        <f>+'FR PD 001 V1'!A6</f>
        <v>0</v>
      </c>
      <c r="B7" s="202" t="str">
        <f>+'FR PD 001 V1'!B6</f>
        <v/>
      </c>
      <c r="C7" s="129">
        <f>+'FR PD 001 V1'!C6</f>
        <v>0</v>
      </c>
      <c r="D7" s="128">
        <f>+'FR PD 001 V1'!D6</f>
        <v>0</v>
      </c>
      <c r="E7" s="128" t="str">
        <f>+'FR PD 001 V1'!E6</f>
        <v>NA</v>
      </c>
      <c r="F7" s="128">
        <f>+'FR PD 001 V1'!F6</f>
        <v>0</v>
      </c>
      <c r="G7" s="128" t="str">
        <f>'FORMATO DIL'!$G$6</f>
        <v>6 NORTE</v>
      </c>
      <c r="H7" s="130">
        <f>+'FR PD 001 V1'!H6</f>
        <v>0</v>
      </c>
      <c r="I7" s="131" t="e">
        <f>IF(LEFT('FR PD 001 V1'!S6,3)="INF","MAGISTRAL",VLOOKUP(H7,ESTANDAR!B:N,13,0))</f>
        <v>#N/A</v>
      </c>
      <c r="J7" s="128">
        <f>+'FR PD 001 V1'!Q6</f>
        <v>0</v>
      </c>
      <c r="K7" s="128">
        <f>+'FR PD 001 V1'!J6</f>
        <v>0</v>
      </c>
      <c r="L7" s="128">
        <f>+'FR PD 001 V1'!S6</f>
        <v>0</v>
      </c>
      <c r="M7" s="128">
        <f>+'FR PD 001 V1'!K6</f>
        <v>0</v>
      </c>
      <c r="N7" s="128"/>
      <c r="O7" s="132"/>
      <c r="P7" s="131"/>
      <c r="Q7" s="121">
        <f>IFERROR(VALUE(MID(A7,6,5)),0)</f>
        <v>0</v>
      </c>
      <c r="R7" s="128"/>
      <c r="S7" s="128"/>
      <c r="T7" s="122">
        <f t="shared" ref="T7:T70" si="0">IFERROR(IF(AND(B7=B8,B7=B6),T6,IF(AND(B7&lt;&gt;B6,B7=B8),T6+1,IF(AND(B7=B6,B7&lt;&gt;B8),T6,IF(AND(B7&lt;&gt;B6,B7&lt;&gt;B8),T6+1)))),IF(B7=B6,T6,T6+1))</f>
        <v>2</v>
      </c>
    </row>
    <row r="8" spans="1:27" ht="13.5" customHeight="1">
      <c r="A8" s="127" t="str">
        <f>+'FR PD 001 V1'!A7</f>
        <v/>
      </c>
      <c r="B8" s="202" t="str">
        <f>+'FR PD 001 V1'!B7</f>
        <v/>
      </c>
      <c r="C8" s="129">
        <f>+'FR PD 001 V1'!C7</f>
        <v>0</v>
      </c>
      <c r="D8" s="128">
        <f>+'FR PD 001 V1'!D7</f>
        <v>0</v>
      </c>
      <c r="E8" s="128" t="str">
        <f>+'FR PD 001 V1'!E7</f>
        <v>NA</v>
      </c>
      <c r="F8" s="128">
        <f>+'FR PD 001 V1'!F7</f>
        <v>0</v>
      </c>
      <c r="G8" s="128" t="str">
        <f>'FORMATO DIL'!$G$6</f>
        <v>6 NORTE</v>
      </c>
      <c r="H8" s="130">
        <f>+'FR PD 001 V1'!H7</f>
        <v>0</v>
      </c>
      <c r="I8" s="131" t="e">
        <f>IF(LEFT('FR PD 001 V1'!S7,3)="INF","MAGISTRAL",VLOOKUP(H8,ESTANDAR!B:N,13,0))</f>
        <v>#N/A</v>
      </c>
      <c r="J8" s="128">
        <f>+'FR PD 001 V1'!Q7</f>
        <v>0</v>
      </c>
      <c r="K8" s="128">
        <f>+'FR PD 001 V1'!J7</f>
        <v>0</v>
      </c>
      <c r="L8" s="128">
        <f>+'FR PD 001 V1'!S7</f>
        <v>0</v>
      </c>
      <c r="M8" s="128">
        <f>+'FR PD 001 V1'!K7</f>
        <v>0</v>
      </c>
      <c r="N8" s="128"/>
      <c r="O8" s="132"/>
      <c r="P8" s="131"/>
      <c r="Q8" s="121">
        <f t="shared" ref="Q8:Q70" si="1">IFERROR(VALUE(MID(A8,6,5)),0)</f>
        <v>0</v>
      </c>
      <c r="R8" s="128"/>
      <c r="S8" s="128"/>
      <c r="T8" s="122">
        <f t="shared" si="0"/>
        <v>2</v>
      </c>
    </row>
    <row r="9" spans="1:27" ht="13.5" customHeight="1">
      <c r="A9" s="127" t="str">
        <f>+'FR PD 001 V1'!A8</f>
        <v/>
      </c>
      <c r="B9" s="202" t="str">
        <f>+'FR PD 001 V1'!B8</f>
        <v/>
      </c>
      <c r="C9" s="129">
        <f>+'FR PD 001 V1'!C8</f>
        <v>0</v>
      </c>
      <c r="D9" s="128">
        <f>+'FR PD 001 V1'!D8</f>
        <v>0</v>
      </c>
      <c r="E9" s="128" t="str">
        <f>+'FR PD 001 V1'!E8</f>
        <v>NA</v>
      </c>
      <c r="F9" s="128">
        <f>+'FR PD 001 V1'!F8</f>
        <v>0</v>
      </c>
      <c r="G9" s="128" t="str">
        <f>'FORMATO DIL'!$G$6</f>
        <v>6 NORTE</v>
      </c>
      <c r="H9" s="130">
        <f>+'FR PD 001 V1'!H8</f>
        <v>0</v>
      </c>
      <c r="I9" s="131" t="e">
        <f>IF(LEFT('FR PD 001 V1'!S8,3)="INF","MAGISTRAL",VLOOKUP(H9,ESTANDAR!B:N,13,0))</f>
        <v>#N/A</v>
      </c>
      <c r="J9" s="128">
        <f>+'FR PD 001 V1'!Q8</f>
        <v>0</v>
      </c>
      <c r="K9" s="128">
        <f>+'FR PD 001 V1'!J8</f>
        <v>0</v>
      </c>
      <c r="L9" s="128">
        <f>+'FR PD 001 V1'!S8</f>
        <v>0</v>
      </c>
      <c r="M9" s="128">
        <f>+'FR PD 001 V1'!K8</f>
        <v>0</v>
      </c>
      <c r="N9" s="128"/>
      <c r="O9" s="132"/>
      <c r="P9" s="131"/>
      <c r="Q9" s="121">
        <f t="shared" si="1"/>
        <v>0</v>
      </c>
      <c r="R9" s="128"/>
      <c r="S9" s="128"/>
      <c r="T9" s="122">
        <f t="shared" si="0"/>
        <v>2</v>
      </c>
    </row>
    <row r="10" spans="1:27" ht="13.5" customHeight="1">
      <c r="A10" s="127" t="str">
        <f>+'FR PD 001 V1'!A9</f>
        <v/>
      </c>
      <c r="B10" s="202" t="str">
        <f>+'FR PD 001 V1'!B9</f>
        <v/>
      </c>
      <c r="C10" s="129">
        <f>+'FR PD 001 V1'!C9</f>
        <v>0</v>
      </c>
      <c r="D10" s="128">
        <f>+'FR PD 001 V1'!D9</f>
        <v>0</v>
      </c>
      <c r="E10" s="128" t="str">
        <f>+'FR PD 001 V1'!E9</f>
        <v>NA</v>
      </c>
      <c r="F10" s="128">
        <f>+'FR PD 001 V1'!F9</f>
        <v>0</v>
      </c>
      <c r="G10" s="128" t="str">
        <f>'FORMATO DIL'!$G$6</f>
        <v>6 NORTE</v>
      </c>
      <c r="H10" s="130">
        <f>+'FR PD 001 V1'!H9</f>
        <v>0</v>
      </c>
      <c r="I10" s="131" t="e">
        <f>IF(LEFT('FR PD 001 V1'!S9,3)="INF","MAGISTRAL",VLOOKUP(H10,ESTANDAR!B:N,13,0))</f>
        <v>#N/A</v>
      </c>
      <c r="J10" s="128">
        <f>+'FR PD 001 V1'!Q9</f>
        <v>0</v>
      </c>
      <c r="K10" s="128">
        <f>+'FR PD 001 V1'!J9</f>
        <v>0</v>
      </c>
      <c r="L10" s="128">
        <f>+'FR PD 001 V1'!S9</f>
        <v>0</v>
      </c>
      <c r="M10" s="128">
        <f>+'FR PD 001 V1'!K9</f>
        <v>0</v>
      </c>
      <c r="N10" s="128"/>
      <c r="O10" s="132"/>
      <c r="P10" s="131"/>
      <c r="Q10" s="121">
        <f t="shared" si="1"/>
        <v>0</v>
      </c>
      <c r="R10" s="128"/>
      <c r="S10" s="128"/>
      <c r="T10" s="122">
        <f t="shared" si="0"/>
        <v>2</v>
      </c>
    </row>
    <row r="11" spans="1:27" ht="13.5" customHeight="1">
      <c r="A11" s="127" t="str">
        <f>+'FR PD 001 V1'!A10</f>
        <v/>
      </c>
      <c r="B11" s="202" t="str">
        <f>+'FR PD 001 V1'!B10</f>
        <v/>
      </c>
      <c r="C11" s="129">
        <f>+'FR PD 001 V1'!C10</f>
        <v>0</v>
      </c>
      <c r="D11" s="128">
        <f>+'FR PD 001 V1'!D10</f>
        <v>0</v>
      </c>
      <c r="E11" s="128" t="str">
        <f>+'FR PD 001 V1'!E10</f>
        <v>NA</v>
      </c>
      <c r="F11" s="128">
        <f>+'FR PD 001 V1'!F10</f>
        <v>0</v>
      </c>
      <c r="G11" s="128" t="str">
        <f>'FORMATO DIL'!$G$6</f>
        <v>6 NORTE</v>
      </c>
      <c r="H11" s="130">
        <f>+'FR PD 001 V1'!H10</f>
        <v>0</v>
      </c>
      <c r="I11" s="131" t="e">
        <f>IF(LEFT('FR PD 001 V1'!S10,3)="INF","MAGISTRAL",VLOOKUP(H11,ESTANDAR!B:N,13,0))</f>
        <v>#N/A</v>
      </c>
      <c r="J11" s="128">
        <f>+'FR PD 001 V1'!Q10</f>
        <v>0</v>
      </c>
      <c r="K11" s="128">
        <f>+'FR PD 001 V1'!J10</f>
        <v>0</v>
      </c>
      <c r="L11" s="128">
        <f>+'FR PD 001 V1'!S10</f>
        <v>0</v>
      </c>
      <c r="M11" s="128">
        <f>+'FR PD 001 V1'!K10</f>
        <v>0</v>
      </c>
      <c r="N11" s="128"/>
      <c r="O11" s="132"/>
      <c r="P11" s="131"/>
      <c r="Q11" s="121">
        <f t="shared" si="1"/>
        <v>0</v>
      </c>
      <c r="R11" s="128"/>
      <c r="S11" s="128"/>
      <c r="T11" s="122">
        <f t="shared" si="0"/>
        <v>2</v>
      </c>
    </row>
    <row r="12" spans="1:27" ht="13.5" customHeight="1">
      <c r="A12" s="127" t="str">
        <f>+'FR PD 001 V1'!A11</f>
        <v/>
      </c>
      <c r="B12" s="202" t="str">
        <f>+'FR PD 001 V1'!B11</f>
        <v/>
      </c>
      <c r="C12" s="129">
        <f>+'FR PD 001 V1'!C11</f>
        <v>0</v>
      </c>
      <c r="D12" s="128">
        <f>+'FR PD 001 V1'!D11</f>
        <v>0</v>
      </c>
      <c r="E12" s="128" t="str">
        <f>+'FR PD 001 V1'!E11</f>
        <v>NA</v>
      </c>
      <c r="F12" s="128">
        <f>+'FR PD 001 V1'!F11</f>
        <v>0</v>
      </c>
      <c r="G12" s="128" t="str">
        <f>'FORMATO DIL'!$G$6</f>
        <v>6 NORTE</v>
      </c>
      <c r="H12" s="130">
        <f>+'FR PD 001 V1'!H11</f>
        <v>0</v>
      </c>
      <c r="I12" s="131" t="e">
        <f>IF(LEFT('FR PD 001 V1'!S11,3)="INF","MAGISTRAL",VLOOKUP(H12,ESTANDAR!B:N,13,0))</f>
        <v>#N/A</v>
      </c>
      <c r="J12" s="128">
        <f>+'FR PD 001 V1'!Q11</f>
        <v>0</v>
      </c>
      <c r="K12" s="128">
        <f>+'FR PD 001 V1'!J11</f>
        <v>0</v>
      </c>
      <c r="L12" s="128">
        <f>+'FR PD 001 V1'!S11</f>
        <v>0</v>
      </c>
      <c r="M12" s="128">
        <f>+'FR PD 001 V1'!K11</f>
        <v>0</v>
      </c>
      <c r="N12" s="128"/>
      <c r="O12" s="132"/>
      <c r="P12" s="131"/>
      <c r="Q12" s="121">
        <f t="shared" si="1"/>
        <v>0</v>
      </c>
      <c r="R12" s="128"/>
      <c r="S12" s="128"/>
      <c r="T12" s="122">
        <f t="shared" si="0"/>
        <v>2</v>
      </c>
    </row>
    <row r="13" spans="1:27" ht="13.5" customHeight="1">
      <c r="A13" s="127" t="str">
        <f>+'FR PD 001 V1'!A12</f>
        <v/>
      </c>
      <c r="B13" s="202" t="str">
        <f>+'FR PD 001 V1'!B12</f>
        <v/>
      </c>
      <c r="C13" s="129">
        <f>+'FR PD 001 V1'!C12</f>
        <v>0</v>
      </c>
      <c r="D13" s="128">
        <f>+'FR PD 001 V1'!D12</f>
        <v>0</v>
      </c>
      <c r="E13" s="128" t="str">
        <f>+'FR PD 001 V1'!E12</f>
        <v>NA</v>
      </c>
      <c r="F13" s="128">
        <f>+'FR PD 001 V1'!F12</f>
        <v>0</v>
      </c>
      <c r="G13" s="128" t="str">
        <f>'FORMATO DIL'!$G$6</f>
        <v>6 NORTE</v>
      </c>
      <c r="H13" s="130">
        <f>+'FR PD 001 V1'!H12</f>
        <v>0</v>
      </c>
      <c r="I13" s="131" t="e">
        <f>IF(LEFT('FR PD 001 V1'!S12,3)="INF","MAGISTRAL",VLOOKUP(H13,ESTANDAR!B:N,13,0))</f>
        <v>#N/A</v>
      </c>
      <c r="J13" s="128">
        <f>+'FR PD 001 V1'!Q12</f>
        <v>0</v>
      </c>
      <c r="K13" s="128">
        <f>+'FR PD 001 V1'!J12</f>
        <v>0</v>
      </c>
      <c r="L13" s="128">
        <f>+'FR PD 001 V1'!S12</f>
        <v>0</v>
      </c>
      <c r="M13" s="128">
        <f>+'FR PD 001 V1'!K12</f>
        <v>0</v>
      </c>
      <c r="N13" s="128"/>
      <c r="O13" s="132"/>
      <c r="P13" s="131"/>
      <c r="Q13" s="121">
        <f t="shared" si="1"/>
        <v>0</v>
      </c>
      <c r="R13" s="128"/>
      <c r="S13" s="128"/>
      <c r="T13" s="122">
        <f t="shared" si="0"/>
        <v>2</v>
      </c>
    </row>
    <row r="14" spans="1:27" ht="13.5" customHeight="1">
      <c r="A14" s="127" t="str">
        <f>+'FR PD 001 V1'!A13</f>
        <v/>
      </c>
      <c r="B14" s="202" t="str">
        <f>+'FR PD 001 V1'!B13</f>
        <v/>
      </c>
      <c r="C14" s="129">
        <f>+'FR PD 001 V1'!C13</f>
        <v>0</v>
      </c>
      <c r="D14" s="128">
        <f>+'FR PD 001 V1'!D13</f>
        <v>0</v>
      </c>
      <c r="E14" s="128" t="str">
        <f>+'FR PD 001 V1'!E13</f>
        <v>NA</v>
      </c>
      <c r="F14" s="128">
        <f>+'FR PD 001 V1'!F13</f>
        <v>0</v>
      </c>
      <c r="G14" s="128" t="str">
        <f>'FORMATO DIL'!$G$6</f>
        <v>6 NORTE</v>
      </c>
      <c r="H14" s="130">
        <f>+'FR PD 001 V1'!H13</f>
        <v>0</v>
      </c>
      <c r="I14" s="131" t="e">
        <f>IF(LEFT('FR PD 001 V1'!S13,3)="INF","MAGISTRAL",VLOOKUP(H14,ESTANDAR!B:N,13,0))</f>
        <v>#N/A</v>
      </c>
      <c r="J14" s="128">
        <f>+'FR PD 001 V1'!Q13</f>
        <v>0</v>
      </c>
      <c r="K14" s="128">
        <f>+'FR PD 001 V1'!J13</f>
        <v>0</v>
      </c>
      <c r="L14" s="128">
        <f>+'FR PD 001 V1'!S13</f>
        <v>0</v>
      </c>
      <c r="M14" s="128">
        <f>+'FR PD 001 V1'!K13</f>
        <v>0</v>
      </c>
      <c r="N14" s="128"/>
      <c r="O14" s="132"/>
      <c r="P14" s="131"/>
      <c r="Q14" s="121">
        <f t="shared" si="1"/>
        <v>0</v>
      </c>
      <c r="R14" s="128"/>
      <c r="S14" s="128"/>
      <c r="T14" s="122">
        <f t="shared" si="0"/>
        <v>2</v>
      </c>
    </row>
    <row r="15" spans="1:27" ht="13.5" customHeight="1">
      <c r="A15" s="127" t="str">
        <f>+'FR PD 001 V1'!A14</f>
        <v/>
      </c>
      <c r="B15" s="202" t="str">
        <f>+'FR PD 001 V1'!B14</f>
        <v/>
      </c>
      <c r="C15" s="129">
        <f>+'FR PD 001 V1'!C14</f>
        <v>0</v>
      </c>
      <c r="D15" s="128">
        <f>+'FR PD 001 V1'!D14</f>
        <v>0</v>
      </c>
      <c r="E15" s="128" t="str">
        <f>+'FR PD 001 V1'!E14</f>
        <v>NA</v>
      </c>
      <c r="F15" s="128">
        <f>+'FR PD 001 V1'!F14</f>
        <v>0</v>
      </c>
      <c r="G15" s="128" t="str">
        <f>'FORMATO DIL'!$G$6</f>
        <v>6 NORTE</v>
      </c>
      <c r="H15" s="130">
        <f>+'FR PD 001 V1'!H14</f>
        <v>0</v>
      </c>
      <c r="I15" s="131" t="e">
        <f>IF(LEFT('FR PD 001 V1'!S14,3)="INF","MAGISTRAL",VLOOKUP(H15,ESTANDAR!B:N,13,0))</f>
        <v>#N/A</v>
      </c>
      <c r="J15" s="128">
        <f>+'FR PD 001 V1'!Q14</f>
        <v>0</v>
      </c>
      <c r="K15" s="128">
        <f>+'FR PD 001 V1'!J14</f>
        <v>0</v>
      </c>
      <c r="L15" s="128">
        <f>+'FR PD 001 V1'!S14</f>
        <v>0</v>
      </c>
      <c r="M15" s="128">
        <f>+'FR PD 001 V1'!K14</f>
        <v>0</v>
      </c>
      <c r="N15" s="128"/>
      <c r="O15" s="132"/>
      <c r="P15" s="131"/>
      <c r="Q15" s="121">
        <f t="shared" si="1"/>
        <v>0</v>
      </c>
      <c r="R15" s="128"/>
      <c r="S15" s="128"/>
      <c r="T15" s="122">
        <f t="shared" si="0"/>
        <v>2</v>
      </c>
    </row>
    <row r="16" spans="1:27" ht="13.5" customHeight="1">
      <c r="A16" s="127" t="str">
        <f>+'FR PD 001 V1'!A15</f>
        <v/>
      </c>
      <c r="B16" s="202" t="str">
        <f>+'FR PD 001 V1'!B15</f>
        <v/>
      </c>
      <c r="C16" s="129">
        <f>+'FR PD 001 V1'!C15</f>
        <v>0</v>
      </c>
      <c r="D16" s="128">
        <f>+'FR PD 001 V1'!D15</f>
        <v>0</v>
      </c>
      <c r="E16" s="128" t="str">
        <f>+'FR PD 001 V1'!E15</f>
        <v>NA</v>
      </c>
      <c r="F16" s="128">
        <f>+'FR PD 001 V1'!F15</f>
        <v>0</v>
      </c>
      <c r="G16" s="128" t="str">
        <f>'FORMATO DIL'!$G$6</f>
        <v>6 NORTE</v>
      </c>
      <c r="H16" s="130">
        <f>+'FR PD 001 V1'!H15</f>
        <v>0</v>
      </c>
      <c r="I16" s="131" t="e">
        <f>IF(LEFT('FR PD 001 V1'!S15,3)="INF","MAGISTRAL",VLOOKUP(H16,ESTANDAR!B:N,13,0))</f>
        <v>#N/A</v>
      </c>
      <c r="J16" s="128">
        <f>+'FR PD 001 V1'!Q15</f>
        <v>0</v>
      </c>
      <c r="K16" s="128">
        <f>+'FR PD 001 V1'!J15</f>
        <v>0</v>
      </c>
      <c r="L16" s="128">
        <f>+'FR PD 001 V1'!S15</f>
        <v>0</v>
      </c>
      <c r="M16" s="128">
        <f>+'FR PD 001 V1'!K15</f>
        <v>0</v>
      </c>
      <c r="N16" s="128"/>
      <c r="O16" s="132"/>
      <c r="P16" s="131"/>
      <c r="Q16" s="121">
        <f t="shared" si="1"/>
        <v>0</v>
      </c>
      <c r="R16" s="128"/>
      <c r="S16" s="128"/>
      <c r="T16" s="122">
        <f t="shared" si="0"/>
        <v>2</v>
      </c>
    </row>
    <row r="17" spans="1:20" ht="13.5" customHeight="1">
      <c r="A17" s="127" t="str">
        <f>+'FR PD 001 V1'!A16</f>
        <v/>
      </c>
      <c r="B17" s="202" t="str">
        <f>+'FR PD 001 V1'!B16</f>
        <v/>
      </c>
      <c r="C17" s="129">
        <f>+'FR PD 001 V1'!C16</f>
        <v>0</v>
      </c>
      <c r="D17" s="128">
        <f>+'FR PD 001 V1'!D16</f>
        <v>0</v>
      </c>
      <c r="E17" s="128" t="str">
        <f>+'FR PD 001 V1'!E16</f>
        <v>NA</v>
      </c>
      <c r="F17" s="128">
        <f>+'FR PD 001 V1'!F16</f>
        <v>0</v>
      </c>
      <c r="G17" s="128" t="str">
        <f>'FORMATO DIL'!$G$6</f>
        <v>6 NORTE</v>
      </c>
      <c r="H17" s="130">
        <f>+'FR PD 001 V1'!H16</f>
        <v>0</v>
      </c>
      <c r="I17" s="131" t="e">
        <f>IF(LEFT('FR PD 001 V1'!S16,3)="INF","MAGISTRAL",VLOOKUP(H17,ESTANDAR!B:N,13,0))</f>
        <v>#N/A</v>
      </c>
      <c r="J17" s="128">
        <f>+'FR PD 001 V1'!Q16</f>
        <v>0</v>
      </c>
      <c r="K17" s="128">
        <f>+'FR PD 001 V1'!J16</f>
        <v>0</v>
      </c>
      <c r="L17" s="128">
        <f>+'FR PD 001 V1'!S16</f>
        <v>0</v>
      </c>
      <c r="M17" s="128">
        <f>+'FR PD 001 V1'!K16</f>
        <v>0</v>
      </c>
      <c r="N17" s="128"/>
      <c r="O17" s="132"/>
      <c r="P17" s="131"/>
      <c r="Q17" s="121">
        <f t="shared" si="1"/>
        <v>0</v>
      </c>
      <c r="R17" s="128"/>
      <c r="S17" s="128"/>
      <c r="T17" s="122">
        <f t="shared" si="0"/>
        <v>2</v>
      </c>
    </row>
    <row r="18" spans="1:20" ht="13.5" customHeight="1">
      <c r="A18" s="127" t="str">
        <f>+'FR PD 001 V1'!A17</f>
        <v/>
      </c>
      <c r="B18" s="202" t="str">
        <f>+'FR PD 001 V1'!B17</f>
        <v/>
      </c>
      <c r="C18" s="129">
        <f>+'FR PD 001 V1'!C17</f>
        <v>0</v>
      </c>
      <c r="D18" s="128">
        <f>+'FR PD 001 V1'!D17</f>
        <v>0</v>
      </c>
      <c r="E18" s="128" t="str">
        <f>+'FR PD 001 V1'!E17</f>
        <v>NA</v>
      </c>
      <c r="F18" s="128">
        <f>+'FR PD 001 V1'!F17</f>
        <v>0</v>
      </c>
      <c r="G18" s="128" t="str">
        <f>'FORMATO DIL'!$G$6</f>
        <v>6 NORTE</v>
      </c>
      <c r="H18" s="130">
        <f>+'FR PD 001 V1'!H17</f>
        <v>0</v>
      </c>
      <c r="I18" s="131" t="e">
        <f>IF(LEFT('FR PD 001 V1'!S17,3)="INF","MAGISTRAL",VLOOKUP(H18,ESTANDAR!B:N,13,0))</f>
        <v>#N/A</v>
      </c>
      <c r="J18" s="128">
        <f>+'FR PD 001 V1'!Q17</f>
        <v>0</v>
      </c>
      <c r="K18" s="128">
        <f>+'FR PD 001 V1'!J17</f>
        <v>0</v>
      </c>
      <c r="L18" s="128">
        <f>+'FR PD 001 V1'!S17</f>
        <v>0</v>
      </c>
      <c r="M18" s="128">
        <f>+'FR PD 001 V1'!K17</f>
        <v>0</v>
      </c>
      <c r="N18" s="128"/>
      <c r="O18" s="132"/>
      <c r="P18" s="131"/>
      <c r="Q18" s="121">
        <f t="shared" si="1"/>
        <v>0</v>
      </c>
      <c r="R18" s="128"/>
      <c r="S18" s="128"/>
      <c r="T18" s="122">
        <f t="shared" si="0"/>
        <v>2</v>
      </c>
    </row>
    <row r="19" spans="1:20" ht="13.5" customHeight="1">
      <c r="A19" s="127" t="str">
        <f>+'FR PD 001 V1'!A18</f>
        <v/>
      </c>
      <c r="B19" s="202" t="str">
        <f>+'FR PD 001 V1'!B18</f>
        <v/>
      </c>
      <c r="C19" s="129">
        <f>+'FR PD 001 V1'!C18</f>
        <v>0</v>
      </c>
      <c r="D19" s="128">
        <f>+'FR PD 001 V1'!D18</f>
        <v>0</v>
      </c>
      <c r="E19" s="128" t="str">
        <f>+'FR PD 001 V1'!E18</f>
        <v>NA</v>
      </c>
      <c r="F19" s="128">
        <f>+'FR PD 001 V1'!F18</f>
        <v>0</v>
      </c>
      <c r="G19" s="128" t="str">
        <f>'FORMATO DIL'!$G$6</f>
        <v>6 NORTE</v>
      </c>
      <c r="H19" s="130">
        <f>+'FR PD 001 V1'!H18</f>
        <v>0</v>
      </c>
      <c r="I19" s="131" t="e">
        <f>IF(LEFT('FR PD 001 V1'!S18,3)="INF","MAGISTRAL",VLOOKUP(H19,ESTANDAR!B:N,13,0))</f>
        <v>#N/A</v>
      </c>
      <c r="J19" s="128">
        <f>+'FR PD 001 V1'!Q18</f>
        <v>0</v>
      </c>
      <c r="K19" s="128">
        <f>+'FR PD 001 V1'!J18</f>
        <v>0</v>
      </c>
      <c r="L19" s="128">
        <f>+'FR PD 001 V1'!S18</f>
        <v>0</v>
      </c>
      <c r="M19" s="128">
        <f>+'FR PD 001 V1'!K18</f>
        <v>0</v>
      </c>
      <c r="N19" s="128"/>
      <c r="O19" s="132"/>
      <c r="P19" s="131"/>
      <c r="Q19" s="121">
        <f t="shared" si="1"/>
        <v>0</v>
      </c>
      <c r="R19" s="128"/>
      <c r="S19" s="128"/>
      <c r="T19" s="122">
        <f t="shared" si="0"/>
        <v>2</v>
      </c>
    </row>
    <row r="20" spans="1:20" ht="13.5" customHeight="1">
      <c r="A20" s="127" t="str">
        <f>+'FR PD 001 V1'!A19</f>
        <v/>
      </c>
      <c r="B20" s="202" t="str">
        <f>+'FR PD 001 V1'!B19</f>
        <v/>
      </c>
      <c r="C20" s="129">
        <f>+'FR PD 001 V1'!C19</f>
        <v>0</v>
      </c>
      <c r="D20" s="128">
        <f>+'FR PD 001 V1'!D19</f>
        <v>0</v>
      </c>
      <c r="E20" s="128" t="str">
        <f>+'FR PD 001 V1'!E19</f>
        <v>NA</v>
      </c>
      <c r="F20" s="128">
        <f>+'FR PD 001 V1'!F19</f>
        <v>0</v>
      </c>
      <c r="G20" s="128" t="str">
        <f>'FORMATO DIL'!$G$6</f>
        <v>6 NORTE</v>
      </c>
      <c r="H20" s="130">
        <f>+'FR PD 001 V1'!H19</f>
        <v>0</v>
      </c>
      <c r="I20" s="131" t="e">
        <f>IF(LEFT('FR PD 001 V1'!S19,3)="INF","MAGISTRAL",VLOOKUP(H20,ESTANDAR!B:N,13,0))</f>
        <v>#N/A</v>
      </c>
      <c r="J20" s="128">
        <f>+'FR PD 001 V1'!Q19</f>
        <v>0</v>
      </c>
      <c r="K20" s="128">
        <f>+'FR PD 001 V1'!J19</f>
        <v>0</v>
      </c>
      <c r="L20" s="128">
        <f>+'FR PD 001 V1'!S19</f>
        <v>0</v>
      </c>
      <c r="M20" s="128">
        <f>+'FR PD 001 V1'!K19</f>
        <v>0</v>
      </c>
      <c r="N20" s="128"/>
      <c r="O20" s="132"/>
      <c r="P20" s="131"/>
      <c r="Q20" s="121">
        <f t="shared" si="1"/>
        <v>0</v>
      </c>
      <c r="R20" s="128"/>
      <c r="S20" s="128"/>
      <c r="T20" s="122">
        <f t="shared" si="0"/>
        <v>2</v>
      </c>
    </row>
    <row r="21" spans="1:20" ht="13.5" customHeight="1">
      <c r="A21" s="127" t="str">
        <f>+'FR PD 001 V1'!A20</f>
        <v/>
      </c>
      <c r="B21" s="202" t="str">
        <f>+'FR PD 001 V1'!B20</f>
        <v/>
      </c>
      <c r="C21" s="129">
        <f>+'FR PD 001 V1'!C20</f>
        <v>0</v>
      </c>
      <c r="D21" s="128">
        <f>+'FR PD 001 V1'!D20</f>
        <v>0</v>
      </c>
      <c r="E21" s="128" t="str">
        <f>+'FR PD 001 V1'!E20</f>
        <v>NA</v>
      </c>
      <c r="F21" s="128">
        <f>+'FR PD 001 V1'!F20</f>
        <v>0</v>
      </c>
      <c r="G21" s="128" t="str">
        <f>'FORMATO DIL'!$G$6</f>
        <v>6 NORTE</v>
      </c>
      <c r="H21" s="130">
        <f>+'FR PD 001 V1'!H20</f>
        <v>0</v>
      </c>
      <c r="I21" s="131" t="e">
        <f>IF(LEFT('FR PD 001 V1'!S20,3)="INF","MAGISTRAL",VLOOKUP(H21,ESTANDAR!B:N,13,0))</f>
        <v>#N/A</v>
      </c>
      <c r="J21" s="128">
        <f>+'FR PD 001 V1'!Q20</f>
        <v>0</v>
      </c>
      <c r="K21" s="128">
        <f>+'FR PD 001 V1'!J20</f>
        <v>0</v>
      </c>
      <c r="L21" s="128">
        <f>+'FR PD 001 V1'!S20</f>
        <v>0</v>
      </c>
      <c r="M21" s="128">
        <f>+'FR PD 001 V1'!K20</f>
        <v>0</v>
      </c>
      <c r="N21" s="128"/>
      <c r="O21" s="132"/>
      <c r="P21" s="131"/>
      <c r="Q21" s="121">
        <f t="shared" si="1"/>
        <v>0</v>
      </c>
      <c r="R21" s="128"/>
      <c r="S21" s="128"/>
      <c r="T21" s="122">
        <f t="shared" si="0"/>
        <v>2</v>
      </c>
    </row>
    <row r="22" spans="1:20" ht="13.5" customHeight="1">
      <c r="A22" s="127" t="str">
        <f>+'FR PD 001 V1'!A21</f>
        <v/>
      </c>
      <c r="B22" s="202" t="str">
        <f>+'FR PD 001 V1'!B21</f>
        <v/>
      </c>
      <c r="C22" s="129">
        <f>+'FR PD 001 V1'!C21</f>
        <v>0</v>
      </c>
      <c r="D22" s="128">
        <f>+'FR PD 001 V1'!D21</f>
        <v>0</v>
      </c>
      <c r="E22" s="128" t="str">
        <f>+'FR PD 001 V1'!E21</f>
        <v>NA</v>
      </c>
      <c r="F22" s="128">
        <f>+'FR PD 001 V1'!F21</f>
        <v>0</v>
      </c>
      <c r="G22" s="128" t="str">
        <f>'FORMATO DIL'!$G$6</f>
        <v>6 NORTE</v>
      </c>
      <c r="H22" s="130">
        <f>+'FR PD 001 V1'!H21</f>
        <v>0</v>
      </c>
      <c r="I22" s="131" t="e">
        <f>IF(LEFT('FR PD 001 V1'!S21,3)="INF","MAGISTRAL",VLOOKUP(H22,ESTANDAR!B:N,13,0))</f>
        <v>#N/A</v>
      </c>
      <c r="J22" s="128">
        <f>+'FR PD 001 V1'!Q21</f>
        <v>0</v>
      </c>
      <c r="K22" s="128">
        <f>+'FR PD 001 V1'!J21</f>
        <v>0</v>
      </c>
      <c r="L22" s="128">
        <f>+'FR PD 001 V1'!S21</f>
        <v>0</v>
      </c>
      <c r="M22" s="128">
        <f>+'FR PD 001 V1'!K21</f>
        <v>0</v>
      </c>
      <c r="N22" s="128"/>
      <c r="O22" s="132"/>
      <c r="P22" s="131"/>
      <c r="Q22" s="121">
        <f t="shared" si="1"/>
        <v>0</v>
      </c>
      <c r="R22" s="128"/>
      <c r="S22" s="128"/>
      <c r="T22" s="122">
        <f t="shared" si="0"/>
        <v>2</v>
      </c>
    </row>
    <row r="23" spans="1:20" ht="13.5" customHeight="1">
      <c r="A23" s="127" t="str">
        <f>+'FR PD 001 V1'!A22</f>
        <v/>
      </c>
      <c r="B23" s="202" t="str">
        <f>+'FR PD 001 V1'!B22</f>
        <v/>
      </c>
      <c r="C23" s="129">
        <f>+'FR PD 001 V1'!C22</f>
        <v>0</v>
      </c>
      <c r="D23" s="128">
        <f>+'FR PD 001 V1'!D22</f>
        <v>0</v>
      </c>
      <c r="E23" s="128" t="str">
        <f>+'FR PD 001 V1'!E22</f>
        <v>NA</v>
      </c>
      <c r="F23" s="128">
        <f>+'FR PD 001 V1'!F22</f>
        <v>0</v>
      </c>
      <c r="G23" s="128" t="str">
        <f>'FORMATO DIL'!$G$6</f>
        <v>6 NORTE</v>
      </c>
      <c r="H23" s="130">
        <f>+'FR PD 001 V1'!H22</f>
        <v>0</v>
      </c>
      <c r="I23" s="131" t="e">
        <f>IF(LEFT('FR PD 001 V1'!S22,3)="INF","MAGISTRAL",VLOOKUP(H23,ESTANDAR!B:N,13,0))</f>
        <v>#N/A</v>
      </c>
      <c r="J23" s="128">
        <f>+'FR PD 001 V1'!Q22</f>
        <v>0</v>
      </c>
      <c r="K23"/>
      <c r="L23" s="128">
        <f>+'FR PD 001 V1'!S22</f>
        <v>0</v>
      </c>
      <c r="M23" s="128">
        <f>+'FR PD 001 V1'!K22</f>
        <v>0</v>
      </c>
      <c r="N23" s="128"/>
      <c r="O23" s="132"/>
      <c r="P23" s="131"/>
      <c r="Q23" s="121">
        <f t="shared" si="1"/>
        <v>0</v>
      </c>
      <c r="R23" s="128"/>
      <c r="S23" s="128"/>
      <c r="T23" s="122">
        <f t="shared" si="0"/>
        <v>2</v>
      </c>
    </row>
    <row r="24" spans="1:20" ht="13.5" customHeight="1">
      <c r="A24" s="127" t="str">
        <f>+'FR PD 001 V1'!A23</f>
        <v/>
      </c>
      <c r="B24" s="202" t="str">
        <f>+'FR PD 001 V1'!B23</f>
        <v/>
      </c>
      <c r="C24" s="129">
        <f>+'FR PD 001 V1'!C23</f>
        <v>0</v>
      </c>
      <c r="D24" s="128">
        <f>+'FR PD 001 V1'!D23</f>
        <v>0</v>
      </c>
      <c r="E24" s="128" t="str">
        <f>+'FR PD 001 V1'!E23</f>
        <v>NA</v>
      </c>
      <c r="F24" s="128">
        <f>+'FR PD 001 V1'!F23</f>
        <v>0</v>
      </c>
      <c r="G24" s="128" t="str">
        <f>'FORMATO DIL'!$G$6</f>
        <v>6 NORTE</v>
      </c>
      <c r="H24" s="130">
        <f>+'FR PD 001 V1'!H23</f>
        <v>0</v>
      </c>
      <c r="I24" s="131" t="e">
        <f>IF(LEFT('FR PD 001 V1'!S23,3)="INF","MAGISTRAL",VLOOKUP(H24,ESTANDAR!B:N,13,0))</f>
        <v>#N/A</v>
      </c>
      <c r="J24" s="128">
        <f>+'FR PD 001 V1'!Q23</f>
        <v>0</v>
      </c>
      <c r="K24" s="128">
        <f>+'FR PD 001 V1'!J23</f>
        <v>0</v>
      </c>
      <c r="L24" s="128">
        <f>+'FR PD 001 V1'!S23</f>
        <v>0</v>
      </c>
      <c r="M24" s="128">
        <f>+'FR PD 001 V1'!K23</f>
        <v>0</v>
      </c>
      <c r="N24" s="128"/>
      <c r="O24" s="132"/>
      <c r="P24" s="131"/>
      <c r="Q24" s="121">
        <f t="shared" si="1"/>
        <v>0</v>
      </c>
      <c r="R24" s="128"/>
      <c r="S24" s="128"/>
      <c r="T24" s="122">
        <f t="shared" si="0"/>
        <v>2</v>
      </c>
    </row>
    <row r="25" spans="1:20" ht="13.5" customHeight="1">
      <c r="A25" s="127" t="str">
        <f>+'FR PD 001 V1'!A24</f>
        <v/>
      </c>
      <c r="B25" s="202" t="str">
        <f>+'FR PD 001 V1'!B24</f>
        <v/>
      </c>
      <c r="C25" s="129">
        <f>+'FR PD 001 V1'!C24</f>
        <v>0</v>
      </c>
      <c r="D25" s="128">
        <f>+'FR PD 001 V1'!D24</f>
        <v>0</v>
      </c>
      <c r="E25" s="128" t="str">
        <f>+'FR PD 001 V1'!E24</f>
        <v>NA</v>
      </c>
      <c r="F25" s="128">
        <f>+'FR PD 001 V1'!F24</f>
        <v>0</v>
      </c>
      <c r="G25" s="128" t="str">
        <f>'FORMATO DIL'!$G$6</f>
        <v>6 NORTE</v>
      </c>
      <c r="H25" s="130">
        <f>+'FR PD 001 V1'!H24</f>
        <v>0</v>
      </c>
      <c r="I25" s="131" t="e">
        <f>IF(LEFT('FR PD 001 V1'!S24,3)="INF","MAGISTRAL",VLOOKUP(H25,ESTANDAR!B:N,13,0))</f>
        <v>#N/A</v>
      </c>
      <c r="J25" s="128">
        <f>+'FR PD 001 V1'!Q24</f>
        <v>0</v>
      </c>
      <c r="K25" s="128">
        <f>+'FR PD 001 V1'!J24</f>
        <v>0</v>
      </c>
      <c r="L25" s="128">
        <f>+'FR PD 001 V1'!S24</f>
        <v>0</v>
      </c>
      <c r="M25" s="128">
        <f>+'FR PD 001 V1'!K24</f>
        <v>0</v>
      </c>
      <c r="N25" s="128"/>
      <c r="O25" s="132"/>
      <c r="P25" s="131"/>
      <c r="Q25" s="121">
        <f t="shared" si="1"/>
        <v>0</v>
      </c>
      <c r="R25" s="128"/>
      <c r="S25" s="128"/>
      <c r="T25" s="122">
        <f t="shared" si="0"/>
        <v>2</v>
      </c>
    </row>
    <row r="26" spans="1:20" ht="13.5" customHeight="1">
      <c r="A26" s="127" t="str">
        <f>+'FR PD 001 V1'!A25</f>
        <v/>
      </c>
      <c r="B26" s="202" t="str">
        <f>+'FR PD 001 V1'!B25</f>
        <v/>
      </c>
      <c r="C26" s="129">
        <f>+'FR PD 001 V1'!C25</f>
        <v>0</v>
      </c>
      <c r="D26" s="128">
        <f>+'FR PD 001 V1'!D25</f>
        <v>0</v>
      </c>
      <c r="E26" s="128" t="str">
        <f>+'FR PD 001 V1'!E25</f>
        <v>NA</v>
      </c>
      <c r="F26" s="128">
        <f>+'FR PD 001 V1'!F25</f>
        <v>0</v>
      </c>
      <c r="G26" s="128" t="str">
        <f>'FORMATO DIL'!$G$6</f>
        <v>6 NORTE</v>
      </c>
      <c r="H26" s="130">
        <f>+'FR PD 001 V1'!H25</f>
        <v>0</v>
      </c>
      <c r="I26" s="131" t="e">
        <f>IF(LEFT('FR PD 001 V1'!S25,3)="INF","MAGISTRAL",VLOOKUP(H26,ESTANDAR!B:N,13,0))</f>
        <v>#N/A</v>
      </c>
      <c r="J26" s="128">
        <f>+'FR PD 001 V1'!Q25</f>
        <v>0</v>
      </c>
      <c r="K26" s="128">
        <f>+'FR PD 001 V1'!J25</f>
        <v>0</v>
      </c>
      <c r="L26" s="128">
        <f>+'FR PD 001 V1'!S25</f>
        <v>0</v>
      </c>
      <c r="M26" s="128">
        <f>+'FR PD 001 V1'!K25</f>
        <v>0</v>
      </c>
      <c r="N26" s="128"/>
      <c r="O26" s="132"/>
      <c r="P26" s="131"/>
      <c r="Q26" s="121">
        <f t="shared" si="1"/>
        <v>0</v>
      </c>
      <c r="R26" s="128"/>
      <c r="S26" s="128"/>
      <c r="T26" s="122">
        <f t="shared" si="0"/>
        <v>2</v>
      </c>
    </row>
    <row r="27" spans="1:20" ht="13.5" customHeight="1">
      <c r="A27" s="127" t="str">
        <f>+'FR PD 001 V1'!A26</f>
        <v/>
      </c>
      <c r="B27" s="202" t="str">
        <f>+'FR PD 001 V1'!B26</f>
        <v/>
      </c>
      <c r="C27" s="129">
        <f>+'FR PD 001 V1'!C26</f>
        <v>0</v>
      </c>
      <c r="D27" s="128">
        <f>+'FR PD 001 V1'!D26</f>
        <v>0</v>
      </c>
      <c r="E27" s="128" t="str">
        <f>+'FR PD 001 V1'!E26</f>
        <v>NA</v>
      </c>
      <c r="F27" s="128">
        <f>+'FR PD 001 V1'!F26</f>
        <v>0</v>
      </c>
      <c r="G27" s="128" t="str">
        <f>'FORMATO DIL'!$G$6</f>
        <v>6 NORTE</v>
      </c>
      <c r="H27" s="130">
        <f>+'FR PD 001 V1'!H26</f>
        <v>0</v>
      </c>
      <c r="I27" s="131" t="e">
        <f>IF(LEFT('FR PD 001 V1'!S26,3)="INF","MAGISTRAL",VLOOKUP(H27,ESTANDAR!B:N,13,0))</f>
        <v>#N/A</v>
      </c>
      <c r="J27" s="128">
        <f>+'FR PD 001 V1'!Q26</f>
        <v>0</v>
      </c>
      <c r="K27" s="128">
        <f>+'FR PD 001 V1'!J26</f>
        <v>0</v>
      </c>
      <c r="L27" s="128">
        <f>+'FR PD 001 V1'!S26</f>
        <v>0</v>
      </c>
      <c r="M27" s="128">
        <f>+'FR PD 001 V1'!K26</f>
        <v>0</v>
      </c>
      <c r="N27" s="128"/>
      <c r="O27" s="132"/>
      <c r="P27" s="131"/>
      <c r="Q27" s="121">
        <f t="shared" si="1"/>
        <v>0</v>
      </c>
      <c r="R27" s="128"/>
      <c r="S27" s="128"/>
      <c r="T27" s="122">
        <f t="shared" si="0"/>
        <v>2</v>
      </c>
    </row>
    <row r="28" spans="1:20" ht="13.5" customHeight="1">
      <c r="A28" s="127" t="str">
        <f>+'FR PD 001 V1'!A27</f>
        <v/>
      </c>
      <c r="B28" s="202" t="str">
        <f>+'FR PD 001 V1'!B27</f>
        <v/>
      </c>
      <c r="C28" s="129">
        <f>+'FR PD 001 V1'!C27</f>
        <v>0</v>
      </c>
      <c r="D28" s="128">
        <f>+'FR PD 001 V1'!D27</f>
        <v>0</v>
      </c>
      <c r="E28" s="128" t="str">
        <f>+'FR PD 001 V1'!E27</f>
        <v>NA</v>
      </c>
      <c r="F28" s="128">
        <f>+'FR PD 001 V1'!F27</f>
        <v>0</v>
      </c>
      <c r="G28" s="128" t="str">
        <f>'FORMATO DIL'!$G$6</f>
        <v>6 NORTE</v>
      </c>
      <c r="H28" s="130">
        <f>+'FR PD 001 V1'!H27</f>
        <v>0</v>
      </c>
      <c r="I28" s="131" t="e">
        <f>IF(LEFT('FR PD 001 V1'!S27,3)="INF","MAGISTRAL",VLOOKUP(H28,ESTANDAR!B:N,13,0))</f>
        <v>#N/A</v>
      </c>
      <c r="J28" s="128">
        <f>+'FR PD 001 V1'!Q27</f>
        <v>0</v>
      </c>
      <c r="K28" s="128">
        <f>+'FR PD 001 V1'!J27</f>
        <v>0</v>
      </c>
      <c r="L28" s="128">
        <f>+'FR PD 001 V1'!S27</f>
        <v>0</v>
      </c>
      <c r="M28" s="128">
        <f>+'FR PD 001 V1'!K27</f>
        <v>0</v>
      </c>
      <c r="N28" s="128"/>
      <c r="O28" s="132"/>
      <c r="P28" s="131"/>
      <c r="Q28" s="121">
        <f t="shared" si="1"/>
        <v>0</v>
      </c>
      <c r="R28" s="128"/>
      <c r="S28" s="128"/>
      <c r="T28" s="122">
        <f t="shared" si="0"/>
        <v>2</v>
      </c>
    </row>
    <row r="29" spans="1:20" ht="13.5" customHeight="1">
      <c r="A29" s="127" t="str">
        <f>+'FR PD 001 V1'!A28</f>
        <v/>
      </c>
      <c r="B29" s="202" t="str">
        <f>+'FR PD 001 V1'!B28</f>
        <v/>
      </c>
      <c r="C29" s="129">
        <f>+'FR PD 001 V1'!C28</f>
        <v>0</v>
      </c>
      <c r="D29" s="128">
        <f>+'FR PD 001 V1'!D28</f>
        <v>0</v>
      </c>
      <c r="E29" s="128" t="str">
        <f>+'FR PD 001 V1'!E28</f>
        <v>NA</v>
      </c>
      <c r="F29" s="128">
        <f>+'FR PD 001 V1'!F28</f>
        <v>0</v>
      </c>
      <c r="G29" s="128" t="str">
        <f>'FORMATO DIL'!$G$6</f>
        <v>6 NORTE</v>
      </c>
      <c r="H29" s="130">
        <f>+'FR PD 001 V1'!H28</f>
        <v>0</v>
      </c>
      <c r="I29" s="131" t="e">
        <f>IF(LEFT('FR PD 001 V1'!S28,3)="INF","MAGISTRAL",VLOOKUP(H29,ESTANDAR!B:N,13,0))</f>
        <v>#N/A</v>
      </c>
      <c r="J29" s="128">
        <f>+'FR PD 001 V1'!Q28</f>
        <v>0</v>
      </c>
      <c r="K29" s="128">
        <f>+'FR PD 001 V1'!J28</f>
        <v>0</v>
      </c>
      <c r="L29" s="128">
        <f>+'FR PD 001 V1'!S28</f>
        <v>0</v>
      </c>
      <c r="M29" s="128">
        <f>+'FR PD 001 V1'!K28</f>
        <v>0</v>
      </c>
      <c r="N29" s="128"/>
      <c r="O29" s="132"/>
      <c r="P29" s="131"/>
      <c r="Q29" s="121">
        <f t="shared" si="1"/>
        <v>0</v>
      </c>
      <c r="R29" s="128"/>
      <c r="S29" s="128"/>
      <c r="T29" s="122">
        <f t="shared" si="0"/>
        <v>2</v>
      </c>
    </row>
    <row r="30" spans="1:20" ht="13.5" customHeight="1">
      <c r="A30" s="127" t="str">
        <f>+'FR PD 001 V1'!A29</f>
        <v/>
      </c>
      <c r="B30" s="202" t="str">
        <f>+'FR PD 001 V1'!B29</f>
        <v/>
      </c>
      <c r="C30" s="129">
        <f>+'FR PD 001 V1'!C29</f>
        <v>0</v>
      </c>
      <c r="D30" s="128">
        <f>+'FR PD 001 V1'!D29</f>
        <v>0</v>
      </c>
      <c r="E30" s="128" t="str">
        <f>+'FR PD 001 V1'!E29</f>
        <v>NA</v>
      </c>
      <c r="F30" s="128">
        <f>+'FR PD 001 V1'!F29</f>
        <v>0</v>
      </c>
      <c r="G30" s="128" t="str">
        <f>'FORMATO DIL'!$G$6</f>
        <v>6 NORTE</v>
      </c>
      <c r="H30" s="130">
        <f>+'FR PD 001 V1'!H29</f>
        <v>0</v>
      </c>
      <c r="I30" s="131" t="e">
        <f>IF(LEFT('FR PD 001 V1'!S29,3)="INF","MAGISTRAL",VLOOKUP(H30,ESTANDAR!B:N,13,0))</f>
        <v>#N/A</v>
      </c>
      <c r="J30" s="128">
        <f>+'FR PD 001 V1'!Q29</f>
        <v>0</v>
      </c>
      <c r="K30" s="128">
        <f>+'FR PD 001 V1'!J29</f>
        <v>0</v>
      </c>
      <c r="L30" s="128">
        <f>+'FR PD 001 V1'!S29</f>
        <v>0</v>
      </c>
      <c r="M30" s="128">
        <f>+'FR PD 001 V1'!K29</f>
        <v>0</v>
      </c>
      <c r="N30" s="128"/>
      <c r="O30" s="132"/>
      <c r="P30" s="131"/>
      <c r="Q30" s="121">
        <f t="shared" si="1"/>
        <v>0</v>
      </c>
      <c r="R30" s="128"/>
      <c r="S30" s="128"/>
      <c r="T30" s="122">
        <f t="shared" si="0"/>
        <v>2</v>
      </c>
    </row>
    <row r="31" spans="1:20" ht="13.5" customHeight="1">
      <c r="A31" s="127" t="str">
        <f>+'FR PD 001 V1'!A30</f>
        <v/>
      </c>
      <c r="B31" s="202" t="str">
        <f>+'FR PD 001 V1'!B30</f>
        <v/>
      </c>
      <c r="C31" s="129">
        <f>+'FR PD 001 V1'!C30</f>
        <v>0</v>
      </c>
      <c r="D31" s="128">
        <f>+'FR PD 001 V1'!D30</f>
        <v>0</v>
      </c>
      <c r="E31" s="128" t="str">
        <f>+'FR PD 001 V1'!E30</f>
        <v>NA</v>
      </c>
      <c r="F31" s="128">
        <f>+'FR PD 001 V1'!F30</f>
        <v>0</v>
      </c>
      <c r="G31" s="128" t="str">
        <f>'FORMATO DIL'!$G$6</f>
        <v>6 NORTE</v>
      </c>
      <c r="H31" s="130">
        <f>+'FR PD 001 V1'!H30</f>
        <v>0</v>
      </c>
      <c r="I31" s="131" t="e">
        <f>IF(LEFT('FR PD 001 V1'!S30,3)="INF","MAGISTRAL",VLOOKUP(H31,ESTANDAR!B:N,13,0))</f>
        <v>#N/A</v>
      </c>
      <c r="J31" s="128">
        <f>+'FR PD 001 V1'!Q30</f>
        <v>0</v>
      </c>
      <c r="K31" s="128">
        <f>+'FR PD 001 V1'!J30</f>
        <v>0</v>
      </c>
      <c r="L31" s="128">
        <f>+'FR PD 001 V1'!S30</f>
        <v>0</v>
      </c>
      <c r="M31" s="128">
        <f>+'FR PD 001 V1'!K30</f>
        <v>0</v>
      </c>
      <c r="N31" s="128"/>
      <c r="O31" s="132"/>
      <c r="P31" s="131"/>
      <c r="Q31" s="121">
        <f t="shared" si="1"/>
        <v>0</v>
      </c>
      <c r="R31" s="128"/>
      <c r="S31" s="128"/>
      <c r="T31" s="122">
        <f t="shared" si="0"/>
        <v>2</v>
      </c>
    </row>
    <row r="32" spans="1:20" ht="13.5" customHeight="1">
      <c r="A32" s="127" t="str">
        <f>+'FR PD 001 V1'!A31</f>
        <v/>
      </c>
      <c r="B32" s="202" t="str">
        <f>+'FR PD 001 V1'!B31</f>
        <v/>
      </c>
      <c r="C32" s="129">
        <f>+'FR PD 001 V1'!C31</f>
        <v>0</v>
      </c>
      <c r="D32" s="128">
        <f>+'FR PD 001 V1'!D31</f>
        <v>0</v>
      </c>
      <c r="E32" s="128" t="str">
        <f>+'FR PD 001 V1'!E31</f>
        <v>NA</v>
      </c>
      <c r="F32" s="128">
        <f>+'FR PD 001 V1'!F31</f>
        <v>0</v>
      </c>
      <c r="G32" s="128" t="str">
        <f>'FORMATO DIL'!$G$6</f>
        <v>6 NORTE</v>
      </c>
      <c r="H32" s="130">
        <f>+'FR PD 001 V1'!H31</f>
        <v>0</v>
      </c>
      <c r="I32" s="131" t="e">
        <f>IF(LEFT('FR PD 001 V1'!S31,3)="INF","MAGISTRAL",VLOOKUP(H32,ESTANDAR!B:N,13,0))</f>
        <v>#N/A</v>
      </c>
      <c r="J32" s="128">
        <f>+'FR PD 001 V1'!Q31</f>
        <v>0</v>
      </c>
      <c r="K32" s="128">
        <f>+'FR PD 001 V1'!J31</f>
        <v>0</v>
      </c>
      <c r="L32" s="128">
        <f>+'FR PD 001 V1'!S31</f>
        <v>0</v>
      </c>
      <c r="M32" s="128">
        <f>+'FR PD 001 V1'!K31</f>
        <v>0</v>
      </c>
      <c r="N32" s="128"/>
      <c r="O32" s="132"/>
      <c r="P32" s="131"/>
      <c r="Q32" s="121">
        <f t="shared" si="1"/>
        <v>0</v>
      </c>
      <c r="R32" s="128"/>
      <c r="S32" s="128"/>
      <c r="T32" s="122">
        <f t="shared" si="0"/>
        <v>2</v>
      </c>
    </row>
    <row r="33" spans="1:20" ht="13.5" customHeight="1">
      <c r="A33" s="127" t="str">
        <f>+'FR PD 001 V1'!A32</f>
        <v/>
      </c>
      <c r="B33" s="202" t="str">
        <f>+'FR PD 001 V1'!B32</f>
        <v/>
      </c>
      <c r="C33" s="129">
        <f>+'FR PD 001 V1'!C32</f>
        <v>0</v>
      </c>
      <c r="D33" s="128">
        <f>+'FR PD 001 V1'!D32</f>
        <v>0</v>
      </c>
      <c r="E33" s="128" t="str">
        <f>+'FR PD 001 V1'!E32</f>
        <v>NA</v>
      </c>
      <c r="F33" s="128">
        <f>+'FR PD 001 V1'!F32</f>
        <v>0</v>
      </c>
      <c r="G33" s="128" t="str">
        <f>'FORMATO DIL'!$G$6</f>
        <v>6 NORTE</v>
      </c>
      <c r="H33" s="130">
        <f>+'FR PD 001 V1'!H32</f>
        <v>0</v>
      </c>
      <c r="I33" s="131" t="e">
        <f>IF(LEFT('FR PD 001 V1'!S32,3)="INF","MAGISTRAL",VLOOKUP(H33,ESTANDAR!B:N,13,0))</f>
        <v>#N/A</v>
      </c>
      <c r="J33" s="128">
        <f>+'FR PD 001 V1'!Q32</f>
        <v>0</v>
      </c>
      <c r="K33" s="128">
        <f>+'FR PD 001 V1'!J32</f>
        <v>0</v>
      </c>
      <c r="L33" s="128">
        <f>+'FR PD 001 V1'!S32</f>
        <v>0</v>
      </c>
      <c r="M33" s="128">
        <f>+'FR PD 001 V1'!K32</f>
        <v>0</v>
      </c>
      <c r="N33" s="128"/>
      <c r="O33" s="132"/>
      <c r="P33" s="131"/>
      <c r="Q33" s="121">
        <f t="shared" si="1"/>
        <v>0</v>
      </c>
      <c r="R33" s="128"/>
      <c r="S33" s="128"/>
      <c r="T33" s="122">
        <f t="shared" si="0"/>
        <v>2</v>
      </c>
    </row>
    <row r="34" spans="1:20" ht="13.5" customHeight="1">
      <c r="A34" s="127" t="str">
        <f>+'FR PD 001 V1'!A33</f>
        <v/>
      </c>
      <c r="B34" s="202" t="str">
        <f>+'FR PD 001 V1'!B33</f>
        <v/>
      </c>
      <c r="C34" s="129">
        <f>+'FR PD 001 V1'!C33</f>
        <v>0</v>
      </c>
      <c r="D34" s="128">
        <f>+'FR PD 001 V1'!D33</f>
        <v>0</v>
      </c>
      <c r="E34" s="128" t="str">
        <f>+'FR PD 001 V1'!E33</f>
        <v>NA</v>
      </c>
      <c r="F34" s="128">
        <f>+'FR PD 001 V1'!F33</f>
        <v>0</v>
      </c>
      <c r="G34" s="128" t="str">
        <f>'FORMATO DIL'!$G$6</f>
        <v>6 NORTE</v>
      </c>
      <c r="H34" s="130">
        <f>+'FR PD 001 V1'!H33</f>
        <v>0</v>
      </c>
      <c r="I34" s="131" t="e">
        <f>IF(LEFT('FR PD 001 V1'!S33,3)="INF","MAGISTRAL",VLOOKUP(H34,ESTANDAR!B:N,13,0))</f>
        <v>#N/A</v>
      </c>
      <c r="J34" s="128">
        <f>+'FR PD 001 V1'!Q33</f>
        <v>0</v>
      </c>
      <c r="K34" s="128">
        <f>+'FR PD 001 V1'!J33</f>
        <v>0</v>
      </c>
      <c r="L34" s="128">
        <f>+'FR PD 001 V1'!S33</f>
        <v>0</v>
      </c>
      <c r="M34" s="128">
        <f>+'FR PD 001 V1'!K33</f>
        <v>0</v>
      </c>
      <c r="N34" s="128"/>
      <c r="O34" s="132"/>
      <c r="P34" s="131"/>
      <c r="Q34" s="121">
        <f t="shared" si="1"/>
        <v>0</v>
      </c>
      <c r="R34" s="128"/>
      <c r="S34" s="128"/>
      <c r="T34" s="122">
        <f t="shared" si="0"/>
        <v>2</v>
      </c>
    </row>
    <row r="35" spans="1:20" ht="13.5" customHeight="1">
      <c r="A35" s="127" t="str">
        <f>+'FR PD 001 V1'!A34</f>
        <v/>
      </c>
      <c r="B35" s="202" t="str">
        <f>+'FR PD 001 V1'!B34</f>
        <v/>
      </c>
      <c r="C35" s="129">
        <f>+'FR PD 001 V1'!C34</f>
        <v>0</v>
      </c>
      <c r="D35" s="128">
        <f>+'FR PD 001 V1'!D34</f>
        <v>0</v>
      </c>
      <c r="E35" s="128" t="str">
        <f>+'FR PD 001 V1'!E34</f>
        <v>NA</v>
      </c>
      <c r="F35" s="128">
        <f>+'FR PD 001 V1'!F34</f>
        <v>0</v>
      </c>
      <c r="G35" s="128" t="str">
        <f>'FORMATO DIL'!$G$6</f>
        <v>6 NORTE</v>
      </c>
      <c r="H35" s="130">
        <f>+'FR PD 001 V1'!H34</f>
        <v>0</v>
      </c>
      <c r="I35" s="131" t="e">
        <f>IF(LEFT('FR PD 001 V1'!S34,3)="INF","MAGISTRAL",VLOOKUP(H35,ESTANDAR!B:N,13,0))</f>
        <v>#N/A</v>
      </c>
      <c r="J35" s="128">
        <f>+'FR PD 001 V1'!Q34</f>
        <v>0</v>
      </c>
      <c r="K35" s="128">
        <f>+'FR PD 001 V1'!J34</f>
        <v>0</v>
      </c>
      <c r="L35" s="128">
        <f>+'FR PD 001 V1'!S34</f>
        <v>0</v>
      </c>
      <c r="M35" s="128">
        <f>+'FR PD 001 V1'!K34</f>
        <v>0</v>
      </c>
      <c r="N35" s="128"/>
      <c r="O35" s="132"/>
      <c r="P35" s="131"/>
      <c r="Q35" s="121">
        <f t="shared" si="1"/>
        <v>0</v>
      </c>
      <c r="R35" s="128"/>
      <c r="S35" s="128"/>
      <c r="T35" s="122">
        <f t="shared" si="0"/>
        <v>2</v>
      </c>
    </row>
    <row r="36" spans="1:20" ht="13.5" customHeight="1">
      <c r="A36" s="127" t="str">
        <f>+'FR PD 001 V1'!A35</f>
        <v/>
      </c>
      <c r="B36" s="202" t="str">
        <f>+'FR PD 001 V1'!B35</f>
        <v/>
      </c>
      <c r="C36" s="129">
        <f>+'FR PD 001 V1'!C35</f>
        <v>0</v>
      </c>
      <c r="D36" s="128">
        <f>+'FR PD 001 V1'!D35</f>
        <v>0</v>
      </c>
      <c r="E36" s="128" t="str">
        <f>+'FR PD 001 V1'!E35</f>
        <v>NA</v>
      </c>
      <c r="F36" s="128">
        <f>+'FR PD 001 V1'!F35</f>
        <v>0</v>
      </c>
      <c r="G36" s="128" t="str">
        <f>'FORMATO DIL'!$G$6</f>
        <v>6 NORTE</v>
      </c>
      <c r="H36" s="130">
        <f>+'FR PD 001 V1'!H35</f>
        <v>0</v>
      </c>
      <c r="I36" s="131" t="e">
        <f>IF(LEFT('FR PD 001 V1'!S35,3)="INF","MAGISTRAL",VLOOKUP(H36,ESTANDAR!B:N,13,0))</f>
        <v>#N/A</v>
      </c>
      <c r="J36" s="128">
        <f>+'FR PD 001 V1'!Q35</f>
        <v>0</v>
      </c>
      <c r="K36" s="128">
        <f>+'FR PD 001 V1'!J35</f>
        <v>0</v>
      </c>
      <c r="L36" s="128">
        <f>+'FR PD 001 V1'!S35</f>
        <v>0</v>
      </c>
      <c r="M36" s="128">
        <f>+'FR PD 001 V1'!K35</f>
        <v>0</v>
      </c>
      <c r="N36" s="128"/>
      <c r="O36" s="132"/>
      <c r="P36" s="131"/>
      <c r="Q36" s="121">
        <f t="shared" si="1"/>
        <v>0</v>
      </c>
      <c r="R36" s="128"/>
      <c r="S36" s="128"/>
      <c r="T36" s="122">
        <f t="shared" si="0"/>
        <v>2</v>
      </c>
    </row>
    <row r="37" spans="1:20" ht="13.5" customHeight="1">
      <c r="A37" s="127" t="str">
        <f>+'FR PD 001 V1'!A36</f>
        <v/>
      </c>
      <c r="B37" s="202" t="str">
        <f>+'FR PD 001 V1'!B36</f>
        <v/>
      </c>
      <c r="C37" s="129">
        <f>+'FR PD 001 V1'!C36</f>
        <v>0</v>
      </c>
      <c r="D37" s="128">
        <f>+'FR PD 001 V1'!D36</f>
        <v>0</v>
      </c>
      <c r="E37" s="128" t="str">
        <f>+'FR PD 001 V1'!E36</f>
        <v>NA</v>
      </c>
      <c r="F37" s="128">
        <f>+'FR PD 001 V1'!F36</f>
        <v>0</v>
      </c>
      <c r="G37" s="128" t="str">
        <f>'FORMATO DIL'!$G$6</f>
        <v>6 NORTE</v>
      </c>
      <c r="H37" s="130">
        <f>+'FR PD 001 V1'!H36</f>
        <v>0</v>
      </c>
      <c r="I37" s="131" t="e">
        <f>IF(LEFT('FR PD 001 V1'!S36,3)="INF","MAGISTRAL",VLOOKUP(H37,ESTANDAR!B:N,13,0))</f>
        <v>#N/A</v>
      </c>
      <c r="J37" s="128">
        <f>+'FR PD 001 V1'!Q36</f>
        <v>0</v>
      </c>
      <c r="K37" s="128">
        <f>+'FR PD 001 V1'!J36</f>
        <v>0</v>
      </c>
      <c r="L37" s="128">
        <f>+'FR PD 001 V1'!S36</f>
        <v>0</v>
      </c>
      <c r="M37" s="128">
        <f>+'FR PD 001 V1'!K36</f>
        <v>0</v>
      </c>
      <c r="N37" s="128"/>
      <c r="O37" s="132"/>
      <c r="P37" s="131"/>
      <c r="Q37" s="121">
        <f t="shared" si="1"/>
        <v>0</v>
      </c>
      <c r="R37" s="128"/>
      <c r="S37" s="128"/>
      <c r="T37" s="122">
        <f t="shared" si="0"/>
        <v>2</v>
      </c>
    </row>
    <row r="38" spans="1:20" ht="13.5" customHeight="1">
      <c r="A38" s="127" t="str">
        <f>+'FR PD 001 V1'!A37</f>
        <v/>
      </c>
      <c r="B38" s="202" t="str">
        <f>+'FR PD 001 V1'!B37</f>
        <v/>
      </c>
      <c r="C38" s="129">
        <f>+'FR PD 001 V1'!C37</f>
        <v>0</v>
      </c>
      <c r="D38" s="128">
        <f>+'FR PD 001 V1'!D37</f>
        <v>0</v>
      </c>
      <c r="E38" s="128" t="str">
        <f>+'FR PD 001 V1'!E37</f>
        <v>NA</v>
      </c>
      <c r="F38" s="128">
        <f>+'FR PD 001 V1'!F37</f>
        <v>0</v>
      </c>
      <c r="G38" s="128" t="str">
        <f>'FORMATO DIL'!$G$6</f>
        <v>6 NORTE</v>
      </c>
      <c r="H38" s="130">
        <f>+'FR PD 001 V1'!H37</f>
        <v>0</v>
      </c>
      <c r="I38" s="131" t="e">
        <f>IF(LEFT('FR PD 001 V1'!S37,3)="INF","MAGISTRAL",VLOOKUP(H38,ESTANDAR!B:N,13,0))</f>
        <v>#N/A</v>
      </c>
      <c r="J38" s="128">
        <f>+'FR PD 001 V1'!Q37</f>
        <v>0</v>
      </c>
      <c r="K38" s="128">
        <f>+'FR PD 001 V1'!J37</f>
        <v>0</v>
      </c>
      <c r="L38" s="128">
        <f>+'FR PD 001 V1'!S37</f>
        <v>0</v>
      </c>
      <c r="M38" s="128">
        <f>+'FR PD 001 V1'!K37</f>
        <v>0</v>
      </c>
      <c r="N38" s="128"/>
      <c r="O38" s="132"/>
      <c r="P38" s="131"/>
      <c r="Q38" s="121">
        <f t="shared" si="1"/>
        <v>0</v>
      </c>
      <c r="R38" s="128"/>
      <c r="S38" s="128"/>
      <c r="T38" s="122">
        <f t="shared" si="0"/>
        <v>2</v>
      </c>
    </row>
    <row r="39" spans="1:20" ht="13.5" customHeight="1">
      <c r="A39" s="127" t="str">
        <f>+'FR PD 001 V1'!A38</f>
        <v/>
      </c>
      <c r="B39" s="202" t="str">
        <f>+'FR PD 001 V1'!B38</f>
        <v/>
      </c>
      <c r="C39" s="129">
        <f>+'FR PD 001 V1'!C38</f>
        <v>0</v>
      </c>
      <c r="D39" s="128">
        <f>+'FR PD 001 V1'!D38</f>
        <v>0</v>
      </c>
      <c r="E39" s="128" t="str">
        <f>+'FR PD 001 V1'!E38</f>
        <v>NA</v>
      </c>
      <c r="F39" s="128">
        <f>+'FR PD 001 V1'!F38</f>
        <v>0</v>
      </c>
      <c r="G39" s="128" t="str">
        <f>'FORMATO DIL'!$G$6</f>
        <v>6 NORTE</v>
      </c>
      <c r="H39" s="130">
        <f>+'FR PD 001 V1'!H38</f>
        <v>0</v>
      </c>
      <c r="I39" s="131" t="e">
        <f>IF(LEFT('FR PD 001 V1'!S38,3)="INF","MAGISTRAL",VLOOKUP(H39,ESTANDAR!B:N,13,0))</f>
        <v>#N/A</v>
      </c>
      <c r="J39" s="128">
        <f>+'FR PD 001 V1'!Q38</f>
        <v>0</v>
      </c>
      <c r="K39" s="128">
        <f>+'FR PD 001 V1'!J38</f>
        <v>0</v>
      </c>
      <c r="L39" s="128">
        <f>+'FR PD 001 V1'!S38</f>
        <v>0</v>
      </c>
      <c r="M39" s="128">
        <f>+'FR PD 001 V1'!K38</f>
        <v>0</v>
      </c>
      <c r="N39" s="128"/>
      <c r="O39" s="132"/>
      <c r="P39" s="131"/>
      <c r="Q39" s="121">
        <f t="shared" si="1"/>
        <v>0</v>
      </c>
      <c r="R39" s="128"/>
      <c r="S39" s="128"/>
      <c r="T39" s="122">
        <f t="shared" si="0"/>
        <v>2</v>
      </c>
    </row>
    <row r="40" spans="1:20" ht="13.5" customHeight="1">
      <c r="A40" s="127" t="str">
        <f>+'FR PD 001 V1'!A39</f>
        <v/>
      </c>
      <c r="B40" s="202" t="str">
        <f>+'FR PD 001 V1'!B39</f>
        <v/>
      </c>
      <c r="C40" s="129">
        <f>+'FR PD 001 V1'!C39</f>
        <v>0</v>
      </c>
      <c r="D40" s="128">
        <f>+'FR PD 001 V1'!D39</f>
        <v>0</v>
      </c>
      <c r="E40" s="128" t="str">
        <f>+'FR PD 001 V1'!E39</f>
        <v>NA</v>
      </c>
      <c r="F40" s="128">
        <f>+'FR PD 001 V1'!F39</f>
        <v>0</v>
      </c>
      <c r="G40" s="128" t="str">
        <f>'FORMATO DIL'!$G$6</f>
        <v>6 NORTE</v>
      </c>
      <c r="H40" s="130">
        <f>+'FR PD 001 V1'!H39</f>
        <v>0</v>
      </c>
      <c r="I40" s="131" t="e">
        <f>IF(LEFT('FR PD 001 V1'!S39,3)="INF","MAGISTRAL",VLOOKUP(H40,ESTANDAR!B:N,13,0))</f>
        <v>#N/A</v>
      </c>
      <c r="J40" s="128">
        <f>+'FR PD 001 V1'!Q39</f>
        <v>0</v>
      </c>
      <c r="K40" s="128">
        <f>+'FR PD 001 V1'!J39</f>
        <v>0</v>
      </c>
      <c r="L40" s="128">
        <f>+'FR PD 001 V1'!S39</f>
        <v>0</v>
      </c>
      <c r="M40" s="128">
        <f>+'FR PD 001 V1'!K39</f>
        <v>0</v>
      </c>
      <c r="N40" s="128"/>
      <c r="O40" s="132"/>
      <c r="P40" s="131"/>
      <c r="Q40" s="121">
        <f t="shared" si="1"/>
        <v>0</v>
      </c>
      <c r="R40" s="128"/>
      <c r="S40" s="128"/>
      <c r="T40" s="122">
        <f t="shared" si="0"/>
        <v>2</v>
      </c>
    </row>
    <row r="41" spans="1:20" ht="13.5" customHeight="1">
      <c r="A41" s="127" t="str">
        <f>+'FR PD 001 V1'!A40</f>
        <v/>
      </c>
      <c r="B41" s="202" t="str">
        <f>+'FR PD 001 V1'!B40</f>
        <v/>
      </c>
      <c r="C41" s="129">
        <f>+'FR PD 001 V1'!C40</f>
        <v>0</v>
      </c>
      <c r="D41" s="128">
        <f>+'FR PD 001 V1'!D40</f>
        <v>0</v>
      </c>
      <c r="E41" s="128" t="str">
        <f>+'FR PD 001 V1'!E40</f>
        <v>NA</v>
      </c>
      <c r="F41" s="128">
        <f>+'FR PD 001 V1'!F40</f>
        <v>0</v>
      </c>
      <c r="G41" s="128" t="str">
        <f>'FORMATO DIL'!$G$6</f>
        <v>6 NORTE</v>
      </c>
      <c r="H41" s="130">
        <f>+'FR PD 001 V1'!H40</f>
        <v>0</v>
      </c>
      <c r="I41" s="131" t="e">
        <f>IF(LEFT('FR PD 001 V1'!S40,3)="INF","MAGISTRAL",VLOOKUP(H41,ESTANDAR!B:N,13,0))</f>
        <v>#N/A</v>
      </c>
      <c r="J41" s="128">
        <f>+'FR PD 001 V1'!Q40</f>
        <v>0</v>
      </c>
      <c r="K41" s="128">
        <f>+'FR PD 001 V1'!J40</f>
        <v>0</v>
      </c>
      <c r="L41" s="128">
        <f>+'FR PD 001 V1'!S40</f>
        <v>0</v>
      </c>
      <c r="M41" s="128">
        <f>+'FR PD 001 V1'!K40</f>
        <v>0</v>
      </c>
      <c r="N41" s="128"/>
      <c r="O41" s="132"/>
      <c r="P41" s="131"/>
      <c r="Q41" s="121">
        <f t="shared" si="1"/>
        <v>0</v>
      </c>
      <c r="R41" s="128"/>
      <c r="S41" s="128"/>
      <c r="T41" s="122">
        <f t="shared" si="0"/>
        <v>2</v>
      </c>
    </row>
    <row r="42" spans="1:20" ht="13.5" customHeight="1">
      <c r="A42" s="127" t="str">
        <f>+'FR PD 001 V1'!A41</f>
        <v/>
      </c>
      <c r="B42" s="202" t="str">
        <f>+'FR PD 001 V1'!B41</f>
        <v/>
      </c>
      <c r="C42" s="129">
        <f>+'FR PD 001 V1'!C41</f>
        <v>0</v>
      </c>
      <c r="D42" s="128">
        <f>+'FR PD 001 V1'!D41</f>
        <v>0</v>
      </c>
      <c r="E42" s="128" t="str">
        <f>+'FR PD 001 V1'!E41</f>
        <v>NA</v>
      </c>
      <c r="F42" s="128">
        <f>+'FR PD 001 V1'!F41</f>
        <v>0</v>
      </c>
      <c r="G42" s="128" t="str">
        <f>'FORMATO DIL'!$G$6</f>
        <v>6 NORTE</v>
      </c>
      <c r="H42" s="130">
        <f>+'FR PD 001 V1'!H41</f>
        <v>0</v>
      </c>
      <c r="I42" s="131" t="e">
        <f>IF(LEFT('FR PD 001 V1'!S41,3)="INF","MAGISTRAL",VLOOKUP(H42,ESTANDAR!B:N,13,0))</f>
        <v>#N/A</v>
      </c>
      <c r="J42" s="128">
        <f>+'FR PD 001 V1'!Q41</f>
        <v>0</v>
      </c>
      <c r="K42" s="128">
        <f>+'FR PD 001 V1'!J41</f>
        <v>0</v>
      </c>
      <c r="L42" s="128">
        <f>+'FR PD 001 V1'!S41</f>
        <v>0</v>
      </c>
      <c r="M42" s="128">
        <f>+'FR PD 001 V1'!K41</f>
        <v>0</v>
      </c>
      <c r="N42" s="128"/>
      <c r="O42" s="132"/>
      <c r="P42" s="131"/>
      <c r="Q42" s="121">
        <f t="shared" si="1"/>
        <v>0</v>
      </c>
      <c r="R42" s="128"/>
      <c r="S42" s="128"/>
      <c r="T42" s="122">
        <f t="shared" si="0"/>
        <v>2</v>
      </c>
    </row>
    <row r="43" spans="1:20" ht="13.5" customHeight="1">
      <c r="A43" s="127" t="str">
        <f>+'FR PD 001 V1'!A42</f>
        <v/>
      </c>
      <c r="B43" s="202" t="str">
        <f>+'FR PD 001 V1'!B42</f>
        <v/>
      </c>
      <c r="C43" s="129">
        <f>+'FR PD 001 V1'!C42</f>
        <v>0</v>
      </c>
      <c r="D43" s="128">
        <f>+'FR PD 001 V1'!D42</f>
        <v>0</v>
      </c>
      <c r="E43" s="128" t="str">
        <f>+'FR PD 001 V1'!E42</f>
        <v>NA</v>
      </c>
      <c r="F43" s="128">
        <f>+'FR PD 001 V1'!F42</f>
        <v>0</v>
      </c>
      <c r="G43" s="128" t="str">
        <f>'FORMATO DIL'!$G$6</f>
        <v>6 NORTE</v>
      </c>
      <c r="H43" s="130">
        <f>+'FR PD 001 V1'!H42</f>
        <v>0</v>
      </c>
      <c r="I43" s="131" t="e">
        <f>IF(LEFT('FR PD 001 V1'!S42,3)="INF","MAGISTRAL",VLOOKUP(H43,ESTANDAR!B:N,13,0))</f>
        <v>#N/A</v>
      </c>
      <c r="J43" s="128">
        <f>+'FR PD 001 V1'!Q42</f>
        <v>0</v>
      </c>
      <c r="K43" s="128">
        <f>+'FR PD 001 V1'!J42</f>
        <v>0</v>
      </c>
      <c r="L43" s="128">
        <f>+'FR PD 001 V1'!S42</f>
        <v>0</v>
      </c>
      <c r="M43" s="128">
        <f>+'FR PD 001 V1'!K42</f>
        <v>0</v>
      </c>
      <c r="N43" s="128"/>
      <c r="O43" s="132"/>
      <c r="P43" s="131"/>
      <c r="Q43" s="121">
        <f t="shared" si="1"/>
        <v>0</v>
      </c>
      <c r="R43" s="128"/>
      <c r="S43" s="128"/>
      <c r="T43" s="122">
        <f t="shared" si="0"/>
        <v>2</v>
      </c>
    </row>
    <row r="44" spans="1:20" ht="13.5" customHeight="1">
      <c r="A44" s="127" t="str">
        <f>+'FR PD 001 V1'!A43</f>
        <v/>
      </c>
      <c r="B44" s="202" t="str">
        <f>+'FR PD 001 V1'!B43</f>
        <v/>
      </c>
      <c r="C44" s="129">
        <f>+'FR PD 001 V1'!C43</f>
        <v>0</v>
      </c>
      <c r="D44" s="128">
        <f>+'FR PD 001 V1'!D43</f>
        <v>0</v>
      </c>
      <c r="E44" s="128" t="str">
        <f>+'FR PD 001 V1'!E43</f>
        <v>NA</v>
      </c>
      <c r="F44" s="128">
        <f>+'FR PD 001 V1'!F43</f>
        <v>0</v>
      </c>
      <c r="G44" s="128" t="str">
        <f>'FORMATO DIL'!$G$6</f>
        <v>6 NORTE</v>
      </c>
      <c r="H44" s="130">
        <f>+'FR PD 001 V1'!H43</f>
        <v>0</v>
      </c>
      <c r="I44" s="131" t="e">
        <f>IF(LEFT('FR PD 001 V1'!S43,3)="INF","MAGISTRAL",VLOOKUP(H44,ESTANDAR!B:N,13,0))</f>
        <v>#N/A</v>
      </c>
      <c r="J44" s="128">
        <f>+'FR PD 001 V1'!Q43</f>
        <v>0</v>
      </c>
      <c r="K44" s="128">
        <f>+'FR PD 001 V1'!J43</f>
        <v>0</v>
      </c>
      <c r="L44" s="128">
        <f>+'FR PD 001 V1'!S43</f>
        <v>0</v>
      </c>
      <c r="M44" s="128">
        <f>+'FR PD 001 V1'!K43</f>
        <v>0</v>
      </c>
      <c r="N44" s="128"/>
      <c r="O44" s="132"/>
      <c r="P44" s="131"/>
      <c r="Q44" s="121">
        <f t="shared" si="1"/>
        <v>0</v>
      </c>
      <c r="R44" s="128"/>
      <c r="S44" s="128"/>
      <c r="T44" s="122">
        <f t="shared" si="0"/>
        <v>2</v>
      </c>
    </row>
    <row r="45" spans="1:20" ht="13.5" customHeight="1">
      <c r="A45" s="127" t="str">
        <f>+'FR PD 001 V1'!A44</f>
        <v/>
      </c>
      <c r="B45" s="202" t="str">
        <f>+'FR PD 001 V1'!B44</f>
        <v/>
      </c>
      <c r="C45" s="129">
        <f>+'FR PD 001 V1'!C44</f>
        <v>0</v>
      </c>
      <c r="D45" s="128">
        <f>+'FR PD 001 V1'!D44</f>
        <v>0</v>
      </c>
      <c r="E45" s="128" t="str">
        <f>+'FR PD 001 V1'!E44</f>
        <v>NA</v>
      </c>
      <c r="F45" s="128">
        <f>+'FR PD 001 V1'!F44</f>
        <v>0</v>
      </c>
      <c r="G45" s="128" t="str">
        <f>'FORMATO DIL'!$G$6</f>
        <v>6 NORTE</v>
      </c>
      <c r="H45" s="130">
        <f>+'FR PD 001 V1'!H44</f>
        <v>0</v>
      </c>
      <c r="I45" s="131" t="e">
        <f>IF(LEFT('FR PD 001 V1'!S44,3)="INF","MAGISTRAL",VLOOKUP(H45,ESTANDAR!B:N,13,0))</f>
        <v>#N/A</v>
      </c>
      <c r="J45" s="128">
        <f>+'FR PD 001 V1'!Q44</f>
        <v>0</v>
      </c>
      <c r="K45" s="128">
        <f>+'FR PD 001 V1'!J44</f>
        <v>0</v>
      </c>
      <c r="L45" s="128">
        <f>+'FR PD 001 V1'!S44</f>
        <v>0</v>
      </c>
      <c r="M45" s="128">
        <f>+'FR PD 001 V1'!K44</f>
        <v>0</v>
      </c>
      <c r="N45" s="128"/>
      <c r="O45" s="132"/>
      <c r="P45" s="131"/>
      <c r="Q45" s="121">
        <f t="shared" si="1"/>
        <v>0</v>
      </c>
      <c r="R45" s="128"/>
      <c r="S45" s="128"/>
      <c r="T45" s="122">
        <f t="shared" si="0"/>
        <v>2</v>
      </c>
    </row>
    <row r="46" spans="1:20" ht="13.5" customHeight="1">
      <c r="A46" s="127" t="str">
        <f>+'FR PD 001 V1'!A45</f>
        <v/>
      </c>
      <c r="B46" s="202" t="str">
        <f>+'FR PD 001 V1'!B45</f>
        <v/>
      </c>
      <c r="C46" s="129">
        <f>+'FR PD 001 V1'!C45</f>
        <v>0</v>
      </c>
      <c r="D46" s="128">
        <f>+'FR PD 001 V1'!D45</f>
        <v>0</v>
      </c>
      <c r="E46" s="128" t="str">
        <f>+'FR PD 001 V1'!E45</f>
        <v>NA</v>
      </c>
      <c r="F46" s="128">
        <f>+'FR PD 001 V1'!F45</f>
        <v>0</v>
      </c>
      <c r="G46" s="128" t="str">
        <f>'FORMATO DIL'!$G$6</f>
        <v>6 NORTE</v>
      </c>
      <c r="H46" s="130">
        <f>+'FR PD 001 V1'!H45</f>
        <v>0</v>
      </c>
      <c r="I46" s="131" t="e">
        <f>IF(LEFT('FR PD 001 V1'!S45,3)="INF","MAGISTRAL",VLOOKUP(H46,ESTANDAR!B:N,13,0))</f>
        <v>#N/A</v>
      </c>
      <c r="J46" s="128">
        <f>+'FR PD 001 V1'!Q45</f>
        <v>0</v>
      </c>
      <c r="K46" s="128">
        <f>+'FR PD 001 V1'!J45</f>
        <v>0</v>
      </c>
      <c r="L46" s="128">
        <f>+'FR PD 001 V1'!S45</f>
        <v>0</v>
      </c>
      <c r="M46" s="128">
        <f>+'FR PD 001 V1'!K45</f>
        <v>0</v>
      </c>
      <c r="N46" s="128"/>
      <c r="O46" s="132"/>
      <c r="P46" s="131"/>
      <c r="Q46" s="121">
        <f t="shared" si="1"/>
        <v>0</v>
      </c>
      <c r="R46" s="128"/>
      <c r="S46" s="128"/>
      <c r="T46" s="122">
        <f t="shared" si="0"/>
        <v>2</v>
      </c>
    </row>
    <row r="47" spans="1:20" ht="13.5" customHeight="1">
      <c r="A47" s="127" t="str">
        <f>+'FR PD 001 V1'!A46</f>
        <v/>
      </c>
      <c r="B47" s="202" t="str">
        <f>+'FR PD 001 V1'!B46</f>
        <v/>
      </c>
      <c r="C47" s="129">
        <f>+'FR PD 001 V1'!C46</f>
        <v>0</v>
      </c>
      <c r="D47" s="128">
        <f>+'FR PD 001 V1'!D46</f>
        <v>0</v>
      </c>
      <c r="E47" s="128" t="str">
        <f>+'FR PD 001 V1'!E46</f>
        <v>NA</v>
      </c>
      <c r="F47" s="128">
        <f>+'FR PD 001 V1'!F46</f>
        <v>0</v>
      </c>
      <c r="G47" s="128" t="str">
        <f>'FORMATO DIL'!$G$6</f>
        <v>6 NORTE</v>
      </c>
      <c r="H47" s="130">
        <f>+'FR PD 001 V1'!H46</f>
        <v>0</v>
      </c>
      <c r="I47" s="131" t="e">
        <f>IF(LEFT('FR PD 001 V1'!S46,3)="INF","MAGISTRAL",VLOOKUP(H47,ESTANDAR!B:N,13,0))</f>
        <v>#N/A</v>
      </c>
      <c r="J47" s="128">
        <f>+'FR PD 001 V1'!Q46</f>
        <v>0</v>
      </c>
      <c r="K47" s="128">
        <f>+'FR PD 001 V1'!J46</f>
        <v>0</v>
      </c>
      <c r="L47" s="128">
        <f>+'FR PD 001 V1'!S46</f>
        <v>0</v>
      </c>
      <c r="M47" s="128">
        <f>+'FR PD 001 V1'!K46</f>
        <v>0</v>
      </c>
      <c r="N47" s="128"/>
      <c r="O47" s="132"/>
      <c r="P47" s="131"/>
      <c r="Q47" s="121">
        <f t="shared" si="1"/>
        <v>0</v>
      </c>
      <c r="R47" s="128"/>
      <c r="S47" s="128"/>
      <c r="T47" s="122">
        <f t="shared" si="0"/>
        <v>2</v>
      </c>
    </row>
    <row r="48" spans="1:20" ht="13.5" customHeight="1">
      <c r="A48" s="127" t="str">
        <f>+'FR PD 001 V1'!A47</f>
        <v/>
      </c>
      <c r="B48" s="202" t="str">
        <f>+'FR PD 001 V1'!B47</f>
        <v/>
      </c>
      <c r="C48" s="129">
        <f>+'FR PD 001 V1'!C47</f>
        <v>0</v>
      </c>
      <c r="D48" s="128">
        <f>+'FR PD 001 V1'!D47</f>
        <v>0</v>
      </c>
      <c r="E48" s="128" t="str">
        <f>+'FR PD 001 V1'!E47</f>
        <v>NA</v>
      </c>
      <c r="F48" s="128">
        <f>+'FR PD 001 V1'!F47</f>
        <v>0</v>
      </c>
      <c r="G48" s="128" t="str">
        <f>'FORMATO DIL'!$G$6</f>
        <v>6 NORTE</v>
      </c>
      <c r="H48" s="130">
        <f>+'FR PD 001 V1'!H47</f>
        <v>0</v>
      </c>
      <c r="I48" s="131" t="e">
        <f>IF(LEFT('FR PD 001 V1'!S47,3)="INF","MAGISTRAL",VLOOKUP(H48,ESTANDAR!B:N,13,0))</f>
        <v>#N/A</v>
      </c>
      <c r="J48" s="128">
        <f>+'FR PD 001 V1'!Q47</f>
        <v>0</v>
      </c>
      <c r="K48" s="128">
        <f>+'FR PD 001 V1'!J47</f>
        <v>0</v>
      </c>
      <c r="L48" s="128">
        <f>+'FR PD 001 V1'!S47</f>
        <v>0</v>
      </c>
      <c r="M48" s="128">
        <f>+'FR PD 001 V1'!K47</f>
        <v>0</v>
      </c>
      <c r="N48" s="128"/>
      <c r="O48" s="132"/>
      <c r="P48" s="131"/>
      <c r="Q48" s="121">
        <f t="shared" si="1"/>
        <v>0</v>
      </c>
      <c r="R48" s="128"/>
      <c r="S48" s="128"/>
      <c r="T48" s="122">
        <f t="shared" si="0"/>
        <v>2</v>
      </c>
    </row>
    <row r="49" spans="1:20" ht="13.5" customHeight="1">
      <c r="A49" s="127" t="str">
        <f>+'FR PD 001 V1'!A48</f>
        <v/>
      </c>
      <c r="B49" s="202" t="str">
        <f>+'FR PD 001 V1'!B48</f>
        <v/>
      </c>
      <c r="C49" s="129">
        <f>+'FR PD 001 V1'!C48</f>
        <v>0</v>
      </c>
      <c r="D49" s="128">
        <f>+'FR PD 001 V1'!D48</f>
        <v>0</v>
      </c>
      <c r="E49" s="128" t="str">
        <f>+'FR PD 001 V1'!E48</f>
        <v>NA</v>
      </c>
      <c r="F49" s="128">
        <f>+'FR PD 001 V1'!F48</f>
        <v>0</v>
      </c>
      <c r="G49" s="128" t="str">
        <f>'FORMATO DIL'!$G$6</f>
        <v>6 NORTE</v>
      </c>
      <c r="H49" s="130">
        <f>+'FR PD 001 V1'!H48</f>
        <v>0</v>
      </c>
      <c r="I49" s="131" t="e">
        <f>IF(LEFT('FR PD 001 V1'!S48,3)="INF","MAGISTRAL",VLOOKUP(H49,ESTANDAR!B:N,13,0))</f>
        <v>#N/A</v>
      </c>
      <c r="J49" s="128">
        <f>+'FR PD 001 V1'!Q48</f>
        <v>0</v>
      </c>
      <c r="K49" s="128">
        <f>+'FR PD 001 V1'!J48</f>
        <v>0</v>
      </c>
      <c r="L49" s="128">
        <f>+'FR PD 001 V1'!S48</f>
        <v>0</v>
      </c>
      <c r="M49" s="128">
        <f>+'FR PD 001 V1'!K48</f>
        <v>0</v>
      </c>
      <c r="N49" s="128"/>
      <c r="O49" s="132"/>
      <c r="P49" s="131"/>
      <c r="Q49" s="121">
        <f t="shared" si="1"/>
        <v>0</v>
      </c>
      <c r="R49" s="128"/>
      <c r="S49" s="128"/>
      <c r="T49" s="122">
        <f t="shared" si="0"/>
        <v>2</v>
      </c>
    </row>
    <row r="50" spans="1:20" ht="13.5" customHeight="1">
      <c r="A50" s="127" t="str">
        <f>+'FR PD 001 V1'!A49</f>
        <v/>
      </c>
      <c r="B50" s="202" t="str">
        <f>+'FR PD 001 V1'!B49</f>
        <v/>
      </c>
      <c r="C50" s="129">
        <f>+'FR PD 001 V1'!C49</f>
        <v>0</v>
      </c>
      <c r="D50" s="128">
        <f>+'FR PD 001 V1'!D49</f>
        <v>0</v>
      </c>
      <c r="E50" s="128" t="str">
        <f>+'FR PD 001 V1'!E49</f>
        <v>NA</v>
      </c>
      <c r="F50" s="128">
        <f>+'FR PD 001 V1'!F49</f>
        <v>0</v>
      </c>
      <c r="G50" s="128" t="str">
        <f>'FORMATO DIL'!$G$6</f>
        <v>6 NORTE</v>
      </c>
      <c r="H50" s="130">
        <f>+'FR PD 001 V1'!H49</f>
        <v>0</v>
      </c>
      <c r="I50" s="131" t="e">
        <f>IF(LEFT('FR PD 001 V1'!S49,3)="INF","MAGISTRAL",VLOOKUP(H50,ESTANDAR!B:N,13,0))</f>
        <v>#N/A</v>
      </c>
      <c r="J50" s="128">
        <f>+'FR PD 001 V1'!Q49</f>
        <v>0</v>
      </c>
      <c r="K50" s="128">
        <f>+'FR PD 001 V1'!J49</f>
        <v>0</v>
      </c>
      <c r="L50" s="128">
        <f>+'FR PD 001 V1'!S49</f>
        <v>0</v>
      </c>
      <c r="M50" s="128">
        <f>+'FR PD 001 V1'!K49</f>
        <v>0</v>
      </c>
      <c r="N50" s="128"/>
      <c r="O50" s="132"/>
      <c r="P50" s="131"/>
      <c r="Q50" s="121">
        <f t="shared" si="1"/>
        <v>0</v>
      </c>
      <c r="R50" s="128"/>
      <c r="S50" s="128"/>
      <c r="T50" s="122">
        <f t="shared" si="0"/>
        <v>2</v>
      </c>
    </row>
    <row r="51" spans="1:20" ht="13.5" customHeight="1">
      <c r="A51" s="127" t="str">
        <f>+'FR PD 001 V1'!A50</f>
        <v/>
      </c>
      <c r="B51" s="202" t="str">
        <f>+'FR PD 001 V1'!B50</f>
        <v/>
      </c>
      <c r="C51" s="129">
        <f>+'FR PD 001 V1'!C50</f>
        <v>0</v>
      </c>
      <c r="D51" s="128">
        <f>+'FR PD 001 V1'!D50</f>
        <v>0</v>
      </c>
      <c r="E51" s="128" t="str">
        <f>+'FR PD 001 V1'!E50</f>
        <v>NA</v>
      </c>
      <c r="F51" s="128">
        <f>+'FR PD 001 V1'!F50</f>
        <v>0</v>
      </c>
      <c r="G51" s="128" t="str">
        <f>'FORMATO DIL'!$G$6</f>
        <v>6 NORTE</v>
      </c>
      <c r="H51" s="130">
        <f>+'FR PD 001 V1'!H50</f>
        <v>0</v>
      </c>
      <c r="I51" s="131" t="e">
        <f>IF(LEFT('FR PD 001 V1'!S50,3)="INF","MAGISTRAL",VLOOKUP(H51,ESTANDAR!B:N,13,0))</f>
        <v>#N/A</v>
      </c>
      <c r="J51" s="128">
        <f>+'FR PD 001 V1'!Q50</f>
        <v>0</v>
      </c>
      <c r="K51" s="128">
        <f>+'FR PD 001 V1'!J50</f>
        <v>0</v>
      </c>
      <c r="L51" s="128">
        <f>+'FR PD 001 V1'!S50</f>
        <v>0</v>
      </c>
      <c r="M51" s="128">
        <f>+'FR PD 001 V1'!K50</f>
        <v>0</v>
      </c>
      <c r="N51" s="128"/>
      <c r="O51" s="132"/>
      <c r="P51" s="131"/>
      <c r="Q51" s="121">
        <f t="shared" si="1"/>
        <v>0</v>
      </c>
      <c r="R51" s="128"/>
      <c r="S51" s="128"/>
      <c r="T51" s="122">
        <f t="shared" si="0"/>
        <v>2</v>
      </c>
    </row>
    <row r="52" spans="1:20" ht="13.5" customHeight="1">
      <c r="A52" s="127" t="str">
        <f>+'FR PD 001 V1'!A51</f>
        <v/>
      </c>
      <c r="B52" s="202" t="str">
        <f>+'FR PD 001 V1'!B51</f>
        <v/>
      </c>
      <c r="C52" s="129">
        <f>+'FR PD 001 V1'!C51</f>
        <v>0</v>
      </c>
      <c r="D52" s="128">
        <f>+'FR PD 001 V1'!D51</f>
        <v>0</v>
      </c>
      <c r="E52" s="128" t="str">
        <f>+'FR PD 001 V1'!E51</f>
        <v>NA</v>
      </c>
      <c r="F52" s="128">
        <f>+'FR PD 001 V1'!F51</f>
        <v>0</v>
      </c>
      <c r="G52" s="128" t="str">
        <f>'FORMATO DIL'!$G$6</f>
        <v>6 NORTE</v>
      </c>
      <c r="H52" s="130">
        <f>+'FR PD 001 V1'!H51</f>
        <v>0</v>
      </c>
      <c r="I52" s="131" t="e">
        <f>IF(LEFT('FR PD 001 V1'!S51,3)="INF","MAGISTRAL",VLOOKUP(H52,ESTANDAR!B:N,13,0))</f>
        <v>#N/A</v>
      </c>
      <c r="J52" s="128">
        <f>+'FR PD 001 V1'!Q51</f>
        <v>0</v>
      </c>
      <c r="K52" s="128">
        <f>+'FR PD 001 V1'!J51</f>
        <v>0</v>
      </c>
      <c r="L52" s="128">
        <f>+'FR PD 001 V1'!S51</f>
        <v>0</v>
      </c>
      <c r="M52" s="128">
        <f>+'FR PD 001 V1'!K51</f>
        <v>0</v>
      </c>
      <c r="N52" s="128"/>
      <c r="O52" s="132"/>
      <c r="P52" s="131"/>
      <c r="Q52" s="121">
        <f t="shared" si="1"/>
        <v>0</v>
      </c>
      <c r="R52" s="128"/>
      <c r="S52" s="128"/>
      <c r="T52" s="122">
        <f t="shared" si="0"/>
        <v>2</v>
      </c>
    </row>
    <row r="53" spans="1:20" ht="13.5" customHeight="1">
      <c r="A53" s="127" t="str">
        <f>+'FR PD 001 V1'!A52</f>
        <v/>
      </c>
      <c r="B53" s="202" t="str">
        <f>+'FR PD 001 V1'!B52</f>
        <v/>
      </c>
      <c r="C53" s="129">
        <f>+'FR PD 001 V1'!C52</f>
        <v>0</v>
      </c>
      <c r="D53" s="128">
        <f>+'FR PD 001 V1'!D52</f>
        <v>0</v>
      </c>
      <c r="E53" s="128" t="str">
        <f>+'FR PD 001 V1'!E52</f>
        <v>NA</v>
      </c>
      <c r="F53" s="128">
        <f>+'FR PD 001 V1'!F52</f>
        <v>0</v>
      </c>
      <c r="G53" s="128" t="str">
        <f>'FORMATO DIL'!$G$6</f>
        <v>6 NORTE</v>
      </c>
      <c r="H53" s="130">
        <f>+'FR PD 001 V1'!H52</f>
        <v>0</v>
      </c>
      <c r="I53" s="131" t="e">
        <f>IF(LEFT('FR PD 001 V1'!S52,3)="INF","MAGISTRAL",VLOOKUP(H53,ESTANDAR!B:N,13,0))</f>
        <v>#N/A</v>
      </c>
      <c r="J53" s="128">
        <f>+'FR PD 001 V1'!Q52</f>
        <v>0</v>
      </c>
      <c r="K53" s="128">
        <f>+'FR PD 001 V1'!J52</f>
        <v>0</v>
      </c>
      <c r="L53" s="128">
        <f>+'FR PD 001 V1'!S52</f>
        <v>0</v>
      </c>
      <c r="M53" s="128">
        <f>+'FR PD 001 V1'!K52</f>
        <v>0</v>
      </c>
      <c r="N53" s="128"/>
      <c r="O53" s="132"/>
      <c r="P53" s="131"/>
      <c r="Q53" s="121">
        <f t="shared" si="1"/>
        <v>0</v>
      </c>
      <c r="R53" s="128"/>
      <c r="S53" s="128"/>
      <c r="T53" s="122">
        <f t="shared" si="0"/>
        <v>2</v>
      </c>
    </row>
    <row r="54" spans="1:20" ht="13.5" customHeight="1">
      <c r="A54" s="127" t="str">
        <f>+'FR PD 001 V1'!A53</f>
        <v/>
      </c>
      <c r="B54" s="202" t="str">
        <f>+'FR PD 001 V1'!B53</f>
        <v/>
      </c>
      <c r="C54" s="129">
        <f>+'FR PD 001 V1'!C53</f>
        <v>0</v>
      </c>
      <c r="D54" s="128">
        <f>+'FR PD 001 V1'!D53</f>
        <v>0</v>
      </c>
      <c r="E54" s="128" t="str">
        <f>+'FR PD 001 V1'!E53</f>
        <v>NA</v>
      </c>
      <c r="F54" s="128">
        <f>+'FR PD 001 V1'!F53</f>
        <v>0</v>
      </c>
      <c r="G54" s="128" t="str">
        <f>'FORMATO DIL'!$G$6</f>
        <v>6 NORTE</v>
      </c>
      <c r="H54" s="130">
        <f>+'FR PD 001 V1'!H53</f>
        <v>0</v>
      </c>
      <c r="I54" s="131" t="e">
        <f>IF(LEFT('FR PD 001 V1'!S53,3)="INF","MAGISTRAL",VLOOKUP(H54,ESTANDAR!B:N,13,0))</f>
        <v>#N/A</v>
      </c>
      <c r="J54" s="128">
        <f>+'FR PD 001 V1'!Q53</f>
        <v>0</v>
      </c>
      <c r="K54" s="128">
        <f>+'FR PD 001 V1'!J53</f>
        <v>0</v>
      </c>
      <c r="L54" s="128">
        <f>+'FR PD 001 V1'!S53</f>
        <v>0</v>
      </c>
      <c r="M54" s="128">
        <f>+'FR PD 001 V1'!K53</f>
        <v>0</v>
      </c>
      <c r="N54" s="128"/>
      <c r="O54" s="132"/>
      <c r="P54" s="131"/>
      <c r="Q54" s="121">
        <f t="shared" si="1"/>
        <v>0</v>
      </c>
      <c r="R54" s="128"/>
      <c r="S54" s="128"/>
      <c r="T54" s="122">
        <f t="shared" si="0"/>
        <v>2</v>
      </c>
    </row>
    <row r="55" spans="1:20" ht="13.5" customHeight="1">
      <c r="A55" s="127" t="str">
        <f>+'FR PD 001 V1'!A54</f>
        <v/>
      </c>
      <c r="B55" s="202" t="str">
        <f>+'FR PD 001 V1'!B54</f>
        <v/>
      </c>
      <c r="C55" s="129">
        <f>+'FR PD 001 V1'!C54</f>
        <v>0</v>
      </c>
      <c r="D55" s="128">
        <f>+'FR PD 001 V1'!D54</f>
        <v>0</v>
      </c>
      <c r="E55" s="128" t="str">
        <f>+'FR PD 001 V1'!E54</f>
        <v>NA</v>
      </c>
      <c r="F55" s="128">
        <f>+'FR PD 001 V1'!F54</f>
        <v>0</v>
      </c>
      <c r="G55" s="128" t="str">
        <f>'FORMATO DIL'!$G$6</f>
        <v>6 NORTE</v>
      </c>
      <c r="H55" s="130">
        <f>+'FR PD 001 V1'!H54</f>
        <v>0</v>
      </c>
      <c r="I55" s="131" t="e">
        <f>IF(LEFT('FR PD 001 V1'!S54,3)="INF","MAGISTRAL",VLOOKUP(H55,ESTANDAR!B:N,13,0))</f>
        <v>#N/A</v>
      </c>
      <c r="J55" s="128">
        <f>+'FR PD 001 V1'!Q54</f>
        <v>0</v>
      </c>
      <c r="K55" s="128">
        <f>+'FR PD 001 V1'!J54</f>
        <v>0</v>
      </c>
      <c r="L55" s="128">
        <f>+'FR PD 001 V1'!S54</f>
        <v>0</v>
      </c>
      <c r="M55" s="128">
        <f>+'FR PD 001 V1'!K54</f>
        <v>0</v>
      </c>
      <c r="N55" s="128"/>
      <c r="O55" s="132"/>
      <c r="P55" s="131"/>
      <c r="Q55" s="121">
        <f t="shared" si="1"/>
        <v>0</v>
      </c>
      <c r="R55" s="128"/>
      <c r="S55" s="128"/>
      <c r="T55" s="122">
        <f t="shared" si="0"/>
        <v>2</v>
      </c>
    </row>
    <row r="56" spans="1:20" ht="13.5" customHeight="1">
      <c r="A56" s="127" t="str">
        <f>+'FR PD 001 V1'!A55</f>
        <v/>
      </c>
      <c r="B56" s="202" t="str">
        <f>+'FR PD 001 V1'!B55</f>
        <v/>
      </c>
      <c r="C56" s="129">
        <f>+'FR PD 001 V1'!C55</f>
        <v>0</v>
      </c>
      <c r="D56" s="128">
        <f>+'FR PD 001 V1'!D55</f>
        <v>0</v>
      </c>
      <c r="E56" s="128" t="str">
        <f>+'FR PD 001 V1'!E55</f>
        <v>NA</v>
      </c>
      <c r="F56" s="128">
        <f>+'FR PD 001 V1'!F55</f>
        <v>0</v>
      </c>
      <c r="G56" s="128" t="str">
        <f>'FORMATO DIL'!$G$6</f>
        <v>6 NORTE</v>
      </c>
      <c r="H56" s="130">
        <f>+'FR PD 001 V1'!H55</f>
        <v>0</v>
      </c>
      <c r="I56" s="131" t="e">
        <f>IF(LEFT('FR PD 001 V1'!S55,3)="INF","MAGISTRAL",VLOOKUP(H56,ESTANDAR!B:N,13,0))</f>
        <v>#N/A</v>
      </c>
      <c r="J56" s="128">
        <f>+'FR PD 001 V1'!Q55</f>
        <v>0</v>
      </c>
      <c r="K56" s="128">
        <f>+'FR PD 001 V1'!J55</f>
        <v>0</v>
      </c>
      <c r="L56" s="128">
        <f>+'FR PD 001 V1'!S55</f>
        <v>0</v>
      </c>
      <c r="M56" s="128">
        <f>+'FR PD 001 V1'!K55</f>
        <v>0</v>
      </c>
      <c r="N56" s="128"/>
      <c r="O56" s="132"/>
      <c r="P56" s="131"/>
      <c r="Q56" s="121">
        <f t="shared" si="1"/>
        <v>0</v>
      </c>
      <c r="R56" s="128"/>
      <c r="S56" s="128"/>
      <c r="T56" s="122">
        <f t="shared" si="0"/>
        <v>2</v>
      </c>
    </row>
    <row r="57" spans="1:20" ht="13.5" customHeight="1">
      <c r="A57" s="127" t="str">
        <f>+'FR PD 001 V1'!A56</f>
        <v/>
      </c>
      <c r="B57" s="202" t="str">
        <f>+'FR PD 001 V1'!B56</f>
        <v/>
      </c>
      <c r="C57" s="129">
        <f>+'FR PD 001 V1'!C56</f>
        <v>0</v>
      </c>
      <c r="D57" s="128">
        <f>+'FR PD 001 V1'!D56</f>
        <v>0</v>
      </c>
      <c r="E57" s="128" t="str">
        <f>+'FR PD 001 V1'!E56</f>
        <v>NA</v>
      </c>
      <c r="F57" s="128">
        <f>+'FR PD 001 V1'!F56</f>
        <v>0</v>
      </c>
      <c r="G57" s="128" t="str">
        <f>'FORMATO DIL'!$G$6</f>
        <v>6 NORTE</v>
      </c>
      <c r="H57" s="130">
        <f>+'FR PD 001 V1'!H56</f>
        <v>0</v>
      </c>
      <c r="I57" s="131" t="e">
        <f>IF(LEFT('FR PD 001 V1'!S56,3)="INF","MAGISTRAL",VLOOKUP(H57,ESTANDAR!B:N,13,0))</f>
        <v>#N/A</v>
      </c>
      <c r="J57" s="128">
        <f>+'FR PD 001 V1'!Q56</f>
        <v>0</v>
      </c>
      <c r="K57" s="128">
        <f>+'FR PD 001 V1'!J56</f>
        <v>0</v>
      </c>
      <c r="L57" s="128">
        <f>+'FR PD 001 V1'!S56</f>
        <v>0</v>
      </c>
      <c r="M57" s="128">
        <f>+'FR PD 001 V1'!K56</f>
        <v>0</v>
      </c>
      <c r="N57" s="128"/>
      <c r="O57" s="132"/>
      <c r="P57" s="131"/>
      <c r="Q57" s="121">
        <f t="shared" si="1"/>
        <v>0</v>
      </c>
      <c r="R57" s="128"/>
      <c r="S57" s="128"/>
      <c r="T57" s="122">
        <f t="shared" si="0"/>
        <v>2</v>
      </c>
    </row>
    <row r="58" spans="1:20" ht="13.5" customHeight="1">
      <c r="A58" s="127" t="str">
        <f>+'FR PD 001 V1'!A57</f>
        <v/>
      </c>
      <c r="B58" s="202" t="str">
        <f>+'FR PD 001 V1'!B57</f>
        <v/>
      </c>
      <c r="C58" s="129">
        <f>+'FR PD 001 V1'!C57</f>
        <v>0</v>
      </c>
      <c r="D58" s="128">
        <f>+'FR PD 001 V1'!D57</f>
        <v>0</v>
      </c>
      <c r="E58" s="128" t="str">
        <f>+'FR PD 001 V1'!E57</f>
        <v>NA</v>
      </c>
      <c r="F58" s="128">
        <f>+'FR PD 001 V1'!F57</f>
        <v>0</v>
      </c>
      <c r="G58" s="128" t="str">
        <f>'FORMATO DIL'!$G$6</f>
        <v>6 NORTE</v>
      </c>
      <c r="H58" s="130">
        <f>+'FR PD 001 V1'!H57</f>
        <v>0</v>
      </c>
      <c r="I58" s="131" t="e">
        <f>IF(LEFT('FR PD 001 V1'!S57,3)="INF","MAGISTRAL",VLOOKUP(H58,ESTANDAR!B:N,13,0))</f>
        <v>#N/A</v>
      </c>
      <c r="J58" s="128">
        <f>+'FR PD 001 V1'!Q57</f>
        <v>0</v>
      </c>
      <c r="K58" s="128">
        <f>+'FR PD 001 V1'!J57</f>
        <v>0</v>
      </c>
      <c r="L58" s="128">
        <f>+'FR PD 001 V1'!S57</f>
        <v>0</v>
      </c>
      <c r="M58" s="128">
        <f>+'FR PD 001 V1'!K57</f>
        <v>0</v>
      </c>
      <c r="N58" s="128"/>
      <c r="O58" s="132"/>
      <c r="P58" s="131"/>
      <c r="Q58" s="121">
        <f t="shared" si="1"/>
        <v>0</v>
      </c>
      <c r="R58" s="128"/>
      <c r="S58" s="128"/>
      <c r="T58" s="122">
        <f t="shared" si="0"/>
        <v>2</v>
      </c>
    </row>
    <row r="59" spans="1:20" ht="13.5" customHeight="1">
      <c r="A59" s="127" t="str">
        <f>+'FR PD 001 V1'!A58</f>
        <v/>
      </c>
      <c r="B59" s="202" t="str">
        <f>+'FR PD 001 V1'!B58</f>
        <v/>
      </c>
      <c r="C59" s="129">
        <f>+'FR PD 001 V1'!C58</f>
        <v>0</v>
      </c>
      <c r="D59" s="128">
        <f>+'FR PD 001 V1'!D58</f>
        <v>0</v>
      </c>
      <c r="E59" s="128" t="str">
        <f>+'FR PD 001 V1'!E58</f>
        <v>NA</v>
      </c>
      <c r="F59" s="128">
        <f>+'FR PD 001 V1'!F58</f>
        <v>0</v>
      </c>
      <c r="G59" s="128" t="str">
        <f>'FORMATO DIL'!$G$6</f>
        <v>6 NORTE</v>
      </c>
      <c r="H59" s="130">
        <f>+'FR PD 001 V1'!H58</f>
        <v>0</v>
      </c>
      <c r="I59" s="131" t="e">
        <f>IF(LEFT('FR PD 001 V1'!S58,3)="INF","MAGISTRAL",VLOOKUP(H59,ESTANDAR!B:N,13,0))</f>
        <v>#N/A</v>
      </c>
      <c r="J59" s="128">
        <f>+'FR PD 001 V1'!Q58</f>
        <v>0</v>
      </c>
      <c r="K59" s="128">
        <f>+'FR PD 001 V1'!J58</f>
        <v>0</v>
      </c>
      <c r="L59" s="128">
        <f>+'FR PD 001 V1'!S58</f>
        <v>0</v>
      </c>
      <c r="M59" s="128">
        <f>+'FR PD 001 V1'!K58</f>
        <v>0</v>
      </c>
      <c r="N59" s="128"/>
      <c r="O59" s="132"/>
      <c r="P59" s="131"/>
      <c r="Q59" s="121">
        <f t="shared" si="1"/>
        <v>0</v>
      </c>
      <c r="R59" s="128"/>
      <c r="S59" s="128"/>
      <c r="T59" s="122">
        <f t="shared" si="0"/>
        <v>2</v>
      </c>
    </row>
    <row r="60" spans="1:20" ht="13.5" customHeight="1">
      <c r="A60" s="127" t="str">
        <f>+'FR PD 001 V1'!A59</f>
        <v/>
      </c>
      <c r="B60" s="202" t="str">
        <f>+'FR PD 001 V1'!B59</f>
        <v/>
      </c>
      <c r="C60" s="129">
        <f>+'FR PD 001 V1'!C59</f>
        <v>0</v>
      </c>
      <c r="D60" s="128">
        <f>+'FR PD 001 V1'!D59</f>
        <v>0</v>
      </c>
      <c r="E60" s="128" t="str">
        <f>+'FR PD 001 V1'!E59</f>
        <v>NA</v>
      </c>
      <c r="F60" s="128">
        <f>+'FR PD 001 V1'!F59</f>
        <v>0</v>
      </c>
      <c r="G60" s="128" t="str">
        <f>'FORMATO DIL'!$G$6</f>
        <v>6 NORTE</v>
      </c>
      <c r="H60" s="130">
        <f>+'FR PD 001 V1'!H59</f>
        <v>0</v>
      </c>
      <c r="I60" s="131" t="e">
        <f>IF(LEFT('FR PD 001 V1'!S59,3)="INF","MAGISTRAL",VLOOKUP(H60,ESTANDAR!B:N,13,0))</f>
        <v>#N/A</v>
      </c>
      <c r="J60" s="128">
        <f>+'FR PD 001 V1'!Q59</f>
        <v>0</v>
      </c>
      <c r="K60" s="128">
        <f>+'FR PD 001 V1'!J59</f>
        <v>0</v>
      </c>
      <c r="L60" s="128">
        <f>+'FR PD 001 V1'!S59</f>
        <v>0</v>
      </c>
      <c r="M60" s="128">
        <f>+'FR PD 001 V1'!K59</f>
        <v>0</v>
      </c>
      <c r="N60" s="128"/>
      <c r="O60" s="132"/>
      <c r="P60" s="131"/>
      <c r="Q60" s="121">
        <f t="shared" si="1"/>
        <v>0</v>
      </c>
      <c r="R60" s="128"/>
      <c r="S60" s="128"/>
      <c r="T60" s="122">
        <f t="shared" si="0"/>
        <v>2</v>
      </c>
    </row>
    <row r="61" spans="1:20" ht="13.5" customHeight="1">
      <c r="A61" s="127" t="str">
        <f>+'FR PD 001 V1'!A60</f>
        <v/>
      </c>
      <c r="B61" s="202" t="str">
        <f>+'FR PD 001 V1'!B60</f>
        <v/>
      </c>
      <c r="C61" s="129">
        <f>+'FR PD 001 V1'!C60</f>
        <v>0</v>
      </c>
      <c r="D61" s="128">
        <f>+'FR PD 001 V1'!D60</f>
        <v>0</v>
      </c>
      <c r="E61" s="128" t="str">
        <f>+'FR PD 001 V1'!E60</f>
        <v>NA</v>
      </c>
      <c r="F61" s="128">
        <f>+'FR PD 001 V1'!F60</f>
        <v>0</v>
      </c>
      <c r="G61" s="128" t="str">
        <f>'FORMATO DIL'!$G$6</f>
        <v>6 NORTE</v>
      </c>
      <c r="H61" s="130">
        <f>+'FR PD 001 V1'!H60</f>
        <v>0</v>
      </c>
      <c r="I61" s="131" t="e">
        <f>IF(LEFT('FR PD 001 V1'!S60,3)="INF","MAGISTRAL",VLOOKUP(H61,ESTANDAR!B:N,13,0))</f>
        <v>#N/A</v>
      </c>
      <c r="J61" s="128">
        <f>+'FR PD 001 V1'!Q60</f>
        <v>0</v>
      </c>
      <c r="K61" s="128">
        <f>+'FR PD 001 V1'!J60</f>
        <v>0</v>
      </c>
      <c r="L61" s="128">
        <f>+'FR PD 001 V1'!S60</f>
        <v>0</v>
      </c>
      <c r="M61" s="128">
        <f>+'FR PD 001 V1'!K60</f>
        <v>0</v>
      </c>
      <c r="N61" s="128"/>
      <c r="O61" s="132"/>
      <c r="P61" s="131"/>
      <c r="Q61" s="121">
        <f t="shared" si="1"/>
        <v>0</v>
      </c>
      <c r="R61" s="128"/>
      <c r="S61" s="128"/>
      <c r="T61" s="122">
        <f t="shared" si="0"/>
        <v>2</v>
      </c>
    </row>
    <row r="62" spans="1:20" ht="13.5" customHeight="1">
      <c r="A62" s="127" t="str">
        <f>+'FR PD 001 V1'!A61</f>
        <v/>
      </c>
      <c r="B62" s="202" t="str">
        <f>+'FR PD 001 V1'!B61</f>
        <v/>
      </c>
      <c r="C62" s="129">
        <f>+'FR PD 001 V1'!C61</f>
        <v>0</v>
      </c>
      <c r="D62" s="128">
        <f>+'FR PD 001 V1'!D61</f>
        <v>0</v>
      </c>
      <c r="E62" s="128" t="str">
        <f>+'FR PD 001 V1'!E61</f>
        <v>NA</v>
      </c>
      <c r="F62" s="128">
        <f>+'FR PD 001 V1'!F61</f>
        <v>0</v>
      </c>
      <c r="G62" s="128" t="str">
        <f>'FORMATO DIL'!$G$6</f>
        <v>6 NORTE</v>
      </c>
      <c r="H62" s="130">
        <f>+'FR PD 001 V1'!H61</f>
        <v>0</v>
      </c>
      <c r="I62" s="131" t="e">
        <f>IF(LEFT('FR PD 001 V1'!S61,3)="INF","MAGISTRAL",VLOOKUP(H62,ESTANDAR!B:N,13,0))</f>
        <v>#N/A</v>
      </c>
      <c r="J62" s="128">
        <f>+'FR PD 001 V1'!Q61</f>
        <v>0</v>
      </c>
      <c r="K62" s="128">
        <f>+'FR PD 001 V1'!J61</f>
        <v>0</v>
      </c>
      <c r="L62" s="128">
        <f>+'FR PD 001 V1'!S61</f>
        <v>0</v>
      </c>
      <c r="M62" s="128">
        <f>+'FR PD 001 V1'!K61</f>
        <v>0</v>
      </c>
      <c r="N62" s="128"/>
      <c r="O62" s="132"/>
      <c r="P62" s="131"/>
      <c r="Q62" s="121">
        <f t="shared" si="1"/>
        <v>0</v>
      </c>
      <c r="R62" s="128"/>
      <c r="S62" s="128"/>
      <c r="T62" s="122">
        <f t="shared" si="0"/>
        <v>2</v>
      </c>
    </row>
    <row r="63" spans="1:20" ht="13.5" customHeight="1">
      <c r="A63" s="127" t="str">
        <f>+'FR PD 001 V1'!A62</f>
        <v/>
      </c>
      <c r="B63" s="202" t="str">
        <f>+'FR PD 001 V1'!B62</f>
        <v/>
      </c>
      <c r="C63" s="129">
        <f>+'FR PD 001 V1'!C62</f>
        <v>0</v>
      </c>
      <c r="D63" s="128">
        <f>+'FR PD 001 V1'!D62</f>
        <v>0</v>
      </c>
      <c r="E63" s="128" t="str">
        <f>+'FR PD 001 V1'!E62</f>
        <v>NA</v>
      </c>
      <c r="F63" s="128">
        <f>+'FR PD 001 V1'!F62</f>
        <v>0</v>
      </c>
      <c r="G63" s="128" t="str">
        <f>'FORMATO DIL'!$G$6</f>
        <v>6 NORTE</v>
      </c>
      <c r="H63" s="130">
        <f>+'FR PD 001 V1'!H62</f>
        <v>0</v>
      </c>
      <c r="I63" s="131" t="e">
        <f>IF(LEFT('FR PD 001 V1'!S62,3)="INF","MAGISTRAL",VLOOKUP(H63,ESTANDAR!B:N,13,0))</f>
        <v>#N/A</v>
      </c>
      <c r="J63" s="128">
        <f>+'FR PD 001 V1'!Q62</f>
        <v>0</v>
      </c>
      <c r="K63" s="128">
        <f>+'FR PD 001 V1'!J62</f>
        <v>0</v>
      </c>
      <c r="L63" s="128">
        <f>+'FR PD 001 V1'!S62</f>
        <v>0</v>
      </c>
      <c r="M63" s="128">
        <f>+'FR PD 001 V1'!K62</f>
        <v>0</v>
      </c>
      <c r="N63" s="128"/>
      <c r="O63" s="132"/>
      <c r="P63" s="131"/>
      <c r="Q63" s="121">
        <f t="shared" si="1"/>
        <v>0</v>
      </c>
      <c r="R63" s="128"/>
      <c r="S63" s="128"/>
      <c r="T63" s="122">
        <f t="shared" si="0"/>
        <v>2</v>
      </c>
    </row>
    <row r="64" spans="1:20" ht="13.5" customHeight="1">
      <c r="A64" s="127" t="str">
        <f>+'FR PD 001 V1'!A63</f>
        <v/>
      </c>
      <c r="B64" s="202" t="str">
        <f>+'FR PD 001 V1'!B63</f>
        <v/>
      </c>
      <c r="C64" s="129">
        <f>+'FR PD 001 V1'!C63</f>
        <v>0</v>
      </c>
      <c r="D64" s="128">
        <f>+'FR PD 001 V1'!D63</f>
        <v>0</v>
      </c>
      <c r="E64" s="128" t="str">
        <f>+'FR PD 001 V1'!E63</f>
        <v>NA</v>
      </c>
      <c r="F64" s="128">
        <f>+'FR PD 001 V1'!F63</f>
        <v>0</v>
      </c>
      <c r="G64" s="128" t="str">
        <f>'FORMATO DIL'!$G$6</f>
        <v>6 NORTE</v>
      </c>
      <c r="H64" s="130">
        <f>+'FR PD 001 V1'!H63</f>
        <v>0</v>
      </c>
      <c r="I64" s="131" t="e">
        <f>IF(LEFT('FR PD 001 V1'!S63,3)="INF","MAGISTRAL",VLOOKUP(H64,ESTANDAR!B:N,13,0))</f>
        <v>#N/A</v>
      </c>
      <c r="J64" s="128">
        <f>+'FR PD 001 V1'!Q63</f>
        <v>0</v>
      </c>
      <c r="K64" s="128">
        <f>+'FR PD 001 V1'!J63</f>
        <v>0</v>
      </c>
      <c r="L64" s="128">
        <f>+'FR PD 001 V1'!S63</f>
        <v>0</v>
      </c>
      <c r="M64" s="128">
        <f>+'FR PD 001 V1'!K63</f>
        <v>0</v>
      </c>
      <c r="N64" s="128"/>
      <c r="O64" s="132"/>
      <c r="P64" s="131"/>
      <c r="Q64" s="121">
        <f t="shared" si="1"/>
        <v>0</v>
      </c>
      <c r="R64" s="128"/>
      <c r="S64" s="128"/>
      <c r="T64" s="122">
        <f t="shared" si="0"/>
        <v>2</v>
      </c>
    </row>
    <row r="65" spans="1:20" ht="13.5" customHeight="1">
      <c r="A65" s="127" t="str">
        <f>+'FR PD 001 V1'!A64</f>
        <v/>
      </c>
      <c r="B65" s="202" t="str">
        <f>+'FR PD 001 V1'!B64</f>
        <v/>
      </c>
      <c r="C65" s="129">
        <f>+'FR PD 001 V1'!C64</f>
        <v>0</v>
      </c>
      <c r="D65" s="128">
        <f>+'FR PD 001 V1'!D64</f>
        <v>0</v>
      </c>
      <c r="E65" s="128" t="str">
        <f>+'FR PD 001 V1'!E64</f>
        <v>NA</v>
      </c>
      <c r="F65" s="128">
        <f>+'FR PD 001 V1'!F64</f>
        <v>0</v>
      </c>
      <c r="G65" s="128" t="str">
        <f>'FORMATO DIL'!$G$6</f>
        <v>6 NORTE</v>
      </c>
      <c r="H65" s="130">
        <f>+'FR PD 001 V1'!H64</f>
        <v>0</v>
      </c>
      <c r="I65" s="131" t="e">
        <f>IF(LEFT('FR PD 001 V1'!S64,3)="INF","MAGISTRAL",VLOOKUP(H65,ESTANDAR!B:N,13,0))</f>
        <v>#N/A</v>
      </c>
      <c r="J65" s="128">
        <f>+'FR PD 001 V1'!Q64</f>
        <v>0</v>
      </c>
      <c r="K65" s="128">
        <f>+'FR PD 001 V1'!J64</f>
        <v>0</v>
      </c>
      <c r="L65" s="128">
        <f>+'FR PD 001 V1'!S64</f>
        <v>0</v>
      </c>
      <c r="M65" s="128">
        <f>+'FR PD 001 V1'!K64</f>
        <v>0</v>
      </c>
      <c r="N65" s="128"/>
      <c r="O65" s="132"/>
      <c r="P65" s="131"/>
      <c r="Q65" s="121">
        <f t="shared" si="1"/>
        <v>0</v>
      </c>
      <c r="R65" s="128"/>
      <c r="S65" s="128"/>
      <c r="T65" s="122">
        <f t="shared" si="0"/>
        <v>2</v>
      </c>
    </row>
    <row r="66" spans="1:20" ht="13.5" customHeight="1">
      <c r="A66" s="127" t="str">
        <f>+'FR PD 001 V1'!A65</f>
        <v/>
      </c>
      <c r="B66" s="202" t="str">
        <f>+'FR PD 001 V1'!B65</f>
        <v/>
      </c>
      <c r="C66" s="129">
        <f>+'FR PD 001 V1'!C65</f>
        <v>0</v>
      </c>
      <c r="D66" s="128">
        <f>+'FR PD 001 V1'!D65</f>
        <v>0</v>
      </c>
      <c r="E66" s="128" t="str">
        <f>+'FR PD 001 V1'!E65</f>
        <v>NA</v>
      </c>
      <c r="F66" s="128">
        <f>+'FR PD 001 V1'!F65</f>
        <v>0</v>
      </c>
      <c r="G66" s="128" t="str">
        <f>'FORMATO DIL'!$G$6</f>
        <v>6 NORTE</v>
      </c>
      <c r="H66" s="130">
        <f>+'FR PD 001 V1'!H65</f>
        <v>0</v>
      </c>
      <c r="I66" s="131" t="e">
        <f>IF(LEFT('FR PD 001 V1'!S65,3)="INF","MAGISTRAL",VLOOKUP(H66,ESTANDAR!B:N,13,0))</f>
        <v>#N/A</v>
      </c>
      <c r="J66" s="128">
        <f>+'FR PD 001 V1'!Q65</f>
        <v>0</v>
      </c>
      <c r="K66" s="128">
        <f>+'FR PD 001 V1'!J65</f>
        <v>0</v>
      </c>
      <c r="L66" s="128">
        <f>+'FR PD 001 V1'!S65</f>
        <v>0</v>
      </c>
      <c r="M66" s="128">
        <f>+'FR PD 001 V1'!K65</f>
        <v>0</v>
      </c>
      <c r="N66" s="128"/>
      <c r="O66" s="132"/>
      <c r="P66" s="131"/>
      <c r="Q66" s="121">
        <f t="shared" si="1"/>
        <v>0</v>
      </c>
      <c r="R66" s="128"/>
      <c r="S66" s="128"/>
      <c r="T66" s="122">
        <f t="shared" si="0"/>
        <v>2</v>
      </c>
    </row>
    <row r="67" spans="1:20" ht="13.5" customHeight="1">
      <c r="A67" s="127" t="str">
        <f>+'FR PD 001 V1'!A66</f>
        <v/>
      </c>
      <c r="B67" s="202" t="str">
        <f>+'FR PD 001 V1'!B66</f>
        <v/>
      </c>
      <c r="C67" s="129">
        <f>+'FR PD 001 V1'!C66</f>
        <v>0</v>
      </c>
      <c r="D67" s="128">
        <f>+'FR PD 001 V1'!D66</f>
        <v>0</v>
      </c>
      <c r="E67" s="128" t="str">
        <f>+'FR PD 001 V1'!E66</f>
        <v>NA</v>
      </c>
      <c r="F67" s="128">
        <f>+'FR PD 001 V1'!F66</f>
        <v>0</v>
      </c>
      <c r="G67" s="128" t="str">
        <f>'FORMATO DIL'!$G$6</f>
        <v>6 NORTE</v>
      </c>
      <c r="H67" s="130">
        <f>+'FR PD 001 V1'!H66</f>
        <v>0</v>
      </c>
      <c r="I67" s="131" t="e">
        <f>IF(LEFT('FR PD 001 V1'!S66,3)="INF","MAGISTRAL",VLOOKUP(H67,ESTANDAR!B:N,13,0))</f>
        <v>#N/A</v>
      </c>
      <c r="J67" s="128">
        <f>+'FR PD 001 V1'!Q66</f>
        <v>0</v>
      </c>
      <c r="K67" s="128">
        <f>+'FR PD 001 V1'!J66</f>
        <v>0</v>
      </c>
      <c r="L67" s="128">
        <f>+'FR PD 001 V1'!S66</f>
        <v>0</v>
      </c>
      <c r="M67" s="128">
        <f>+'FR PD 001 V1'!K66</f>
        <v>0</v>
      </c>
      <c r="N67" s="128"/>
      <c r="O67" s="132"/>
      <c r="P67" s="131"/>
      <c r="Q67" s="121">
        <f t="shared" si="1"/>
        <v>0</v>
      </c>
      <c r="R67" s="128"/>
      <c r="S67" s="128"/>
      <c r="T67" s="122">
        <f t="shared" si="0"/>
        <v>2</v>
      </c>
    </row>
    <row r="68" spans="1:20" ht="13.5" customHeight="1">
      <c r="A68" s="127" t="str">
        <f>+'FR PD 001 V1'!A67</f>
        <v/>
      </c>
      <c r="B68" s="202" t="str">
        <f>+'FR PD 001 V1'!B67</f>
        <v/>
      </c>
      <c r="C68" s="129">
        <f>+'FR PD 001 V1'!C67</f>
        <v>0</v>
      </c>
      <c r="D68" s="128">
        <f>+'FR PD 001 V1'!D67</f>
        <v>0</v>
      </c>
      <c r="E68" s="128" t="str">
        <f>+'FR PD 001 V1'!E67</f>
        <v>NA</v>
      </c>
      <c r="F68" s="128">
        <f>+'FR PD 001 V1'!F67</f>
        <v>0</v>
      </c>
      <c r="G68" s="128" t="str">
        <f>'FORMATO DIL'!$G$6</f>
        <v>6 NORTE</v>
      </c>
      <c r="H68" s="130">
        <f>+'FR PD 001 V1'!H67</f>
        <v>0</v>
      </c>
      <c r="I68" s="131" t="e">
        <f>IF(LEFT('FR PD 001 V1'!S67,3)="INF","MAGISTRAL",VLOOKUP(H68,ESTANDAR!B:N,13,0))</f>
        <v>#N/A</v>
      </c>
      <c r="J68" s="128">
        <f>+'FR PD 001 V1'!Q67</f>
        <v>0</v>
      </c>
      <c r="K68" s="128">
        <f>+'FR PD 001 V1'!J67</f>
        <v>0</v>
      </c>
      <c r="L68" s="128">
        <f>+'FR PD 001 V1'!S67</f>
        <v>0</v>
      </c>
      <c r="M68" s="128">
        <f>+'FR PD 001 V1'!K67</f>
        <v>0</v>
      </c>
      <c r="N68" s="128"/>
      <c r="O68" s="132"/>
      <c r="P68" s="131"/>
      <c r="Q68" s="121">
        <f t="shared" si="1"/>
        <v>0</v>
      </c>
      <c r="R68" s="128"/>
      <c r="S68" s="128"/>
      <c r="T68" s="122">
        <f t="shared" si="0"/>
        <v>2</v>
      </c>
    </row>
    <row r="69" spans="1:20" ht="13.5" customHeight="1">
      <c r="A69" s="127" t="str">
        <f>+'FR PD 001 V1'!A68</f>
        <v/>
      </c>
      <c r="B69" s="202" t="str">
        <f>+'FR PD 001 V1'!B68</f>
        <v/>
      </c>
      <c r="C69" s="129">
        <f>+'FR PD 001 V1'!C68</f>
        <v>0</v>
      </c>
      <c r="D69" s="128">
        <f>+'FR PD 001 V1'!D68</f>
        <v>0</v>
      </c>
      <c r="E69" s="128" t="str">
        <f>+'FR PD 001 V1'!E68</f>
        <v>NA</v>
      </c>
      <c r="F69" s="128">
        <f>+'FR PD 001 V1'!F68</f>
        <v>0</v>
      </c>
      <c r="G69" s="128" t="str">
        <f>'FORMATO DIL'!$G$6</f>
        <v>6 NORTE</v>
      </c>
      <c r="H69" s="130">
        <f>+'FR PD 001 V1'!H68</f>
        <v>0</v>
      </c>
      <c r="I69" s="131" t="e">
        <f>IF(LEFT('FR PD 001 V1'!S68,3)="INF","MAGISTRAL",VLOOKUP(H69,ESTANDAR!B:N,13,0))</f>
        <v>#N/A</v>
      </c>
      <c r="J69" s="128">
        <f>+'FR PD 001 V1'!Q68</f>
        <v>0</v>
      </c>
      <c r="K69" s="128">
        <f>+'FR PD 001 V1'!J68</f>
        <v>0</v>
      </c>
      <c r="L69" s="128">
        <f>+'FR PD 001 V1'!S68</f>
        <v>0</v>
      </c>
      <c r="M69" s="128">
        <f>+'FR PD 001 V1'!K68</f>
        <v>0</v>
      </c>
      <c r="N69" s="128"/>
      <c r="O69" s="132"/>
      <c r="P69" s="131"/>
      <c r="Q69" s="121">
        <f t="shared" si="1"/>
        <v>0</v>
      </c>
      <c r="R69" s="128"/>
      <c r="S69" s="128"/>
      <c r="T69" s="122">
        <f t="shared" si="0"/>
        <v>2</v>
      </c>
    </row>
    <row r="70" spans="1:20" ht="13.5" customHeight="1">
      <c r="A70" s="127" t="str">
        <f>+'FR PD 001 V1'!A69</f>
        <v/>
      </c>
      <c r="B70" s="202" t="str">
        <f>+'FR PD 001 V1'!B69</f>
        <v/>
      </c>
      <c r="C70" s="129">
        <f>+'FR PD 001 V1'!C69</f>
        <v>0</v>
      </c>
      <c r="D70" s="128">
        <f>+'FR PD 001 V1'!D69</f>
        <v>0</v>
      </c>
      <c r="E70" s="128" t="str">
        <f>+'FR PD 001 V1'!E69</f>
        <v>NA</v>
      </c>
      <c r="F70" s="128">
        <f>+'FR PD 001 V1'!F69</f>
        <v>0</v>
      </c>
      <c r="G70" s="128" t="str">
        <f>'FORMATO DIL'!$G$6</f>
        <v>6 NORTE</v>
      </c>
      <c r="H70" s="130">
        <f>+'FR PD 001 V1'!H69</f>
        <v>0</v>
      </c>
      <c r="I70" s="131" t="e">
        <f>IF(LEFT('FR PD 001 V1'!S69,3)="INF","MAGISTRAL",VLOOKUP(H70,ESTANDAR!B:N,13,0))</f>
        <v>#N/A</v>
      </c>
      <c r="J70" s="128">
        <f>+'FR PD 001 V1'!Q69</f>
        <v>0</v>
      </c>
      <c r="K70" s="128">
        <f>+'FR PD 001 V1'!J69</f>
        <v>0</v>
      </c>
      <c r="L70" s="128">
        <f>+'FR PD 001 V1'!S69</f>
        <v>0</v>
      </c>
      <c r="M70" s="128">
        <f>+'FR PD 001 V1'!K69</f>
        <v>0</v>
      </c>
      <c r="N70" s="128"/>
      <c r="O70" s="132"/>
      <c r="P70" s="131"/>
      <c r="Q70" s="121">
        <f t="shared" si="1"/>
        <v>0</v>
      </c>
      <c r="R70" s="128"/>
      <c r="S70" s="128"/>
      <c r="T70" s="122">
        <f t="shared" si="0"/>
        <v>2</v>
      </c>
    </row>
    <row r="71" spans="1:20" ht="15.75" customHeight="1">
      <c r="A71" s="133"/>
      <c r="B71" s="133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</row>
    <row r="72" spans="1:20" ht="15.75" customHeight="1">
      <c r="A72" s="325"/>
      <c r="B72" s="326"/>
      <c r="C72" s="326"/>
      <c r="D72" s="326"/>
      <c r="E72" s="326"/>
      <c r="F72" s="326"/>
      <c r="G72" s="327"/>
      <c r="H72" s="752" t="s">
        <v>437</v>
      </c>
      <c r="I72" s="752"/>
      <c r="J72" s="328">
        <f>+SUM(J7:J70)</f>
        <v>0</v>
      </c>
      <c r="K72" s="753"/>
      <c r="L72" s="753"/>
      <c r="M72" s="753"/>
      <c r="N72" s="753"/>
      <c r="O72" s="753"/>
      <c r="P72" s="753"/>
    </row>
    <row r="73" spans="1:20" ht="15.75" customHeight="1">
      <c r="A73" s="728" t="s">
        <v>438</v>
      </c>
      <c r="B73" s="728"/>
      <c r="C73" s="329"/>
      <c r="D73" s="330"/>
      <c r="E73" s="728" t="s">
        <v>439</v>
      </c>
      <c r="F73" s="728"/>
      <c r="G73" s="725"/>
      <c r="H73" s="726"/>
      <c r="I73" s="329"/>
      <c r="J73" s="329"/>
      <c r="K73" s="329"/>
      <c r="L73" s="329"/>
      <c r="M73" s="329"/>
      <c r="N73" s="329"/>
      <c r="O73" s="329"/>
      <c r="P73" s="329"/>
    </row>
    <row r="74" spans="1:20" ht="15.75" customHeight="1" thickBot="1">
      <c r="A74" s="331" t="s">
        <v>440</v>
      </c>
      <c r="B74" s="332"/>
      <c r="C74" s="332"/>
      <c r="D74" s="332"/>
      <c r="E74" s="332"/>
      <c r="F74" s="332"/>
      <c r="G74" s="332"/>
      <c r="H74" s="332"/>
      <c r="I74" s="332"/>
      <c r="J74" s="332"/>
      <c r="K74" s="332"/>
      <c r="L74" s="332"/>
      <c r="M74" s="332"/>
      <c r="N74" s="332"/>
      <c r="O74" s="332"/>
      <c r="P74" s="332"/>
    </row>
    <row r="75" spans="1:20" ht="15.75" customHeight="1">
      <c r="A75" s="729" t="s">
        <v>439</v>
      </c>
      <c r="B75" s="731"/>
      <c r="C75" s="731" t="s">
        <v>441</v>
      </c>
      <c r="D75" s="731"/>
      <c r="E75" s="731"/>
      <c r="F75" s="731" t="s">
        <v>442</v>
      </c>
      <c r="G75" s="731"/>
      <c r="H75" s="731"/>
      <c r="I75" s="731"/>
      <c r="J75" s="731"/>
      <c r="K75" s="731"/>
      <c r="L75" s="731"/>
      <c r="M75" s="731"/>
      <c r="N75" s="731"/>
      <c r="O75" s="731"/>
      <c r="P75" s="731"/>
    </row>
    <row r="76" spans="1:20" ht="15.75" customHeight="1" thickBot="1">
      <c r="A76" s="730"/>
      <c r="B76" s="727"/>
      <c r="C76" s="727"/>
      <c r="D76" s="727"/>
      <c r="E76" s="727"/>
      <c r="F76" s="727"/>
      <c r="G76" s="727"/>
      <c r="H76" s="727"/>
      <c r="I76" s="727"/>
      <c r="J76" s="727"/>
      <c r="K76" s="727"/>
      <c r="L76" s="727"/>
      <c r="M76" s="727"/>
      <c r="N76" s="727"/>
      <c r="O76" s="727"/>
      <c r="P76" s="727"/>
    </row>
    <row r="77" spans="1:20" ht="15.75" customHeight="1" thickBot="1">
      <c r="A77" s="333" t="s">
        <v>443</v>
      </c>
      <c r="B77" s="334"/>
      <c r="C77" s="334"/>
      <c r="D77" s="334"/>
      <c r="E77" s="334"/>
      <c r="F77" s="334"/>
      <c r="G77" s="334"/>
      <c r="H77" s="334"/>
      <c r="I77" s="334"/>
      <c r="J77" s="334"/>
      <c r="K77" s="334"/>
      <c r="L77" s="334"/>
      <c r="M77" s="334"/>
      <c r="N77" s="334"/>
      <c r="O77" s="334"/>
      <c r="P77" s="334"/>
    </row>
    <row r="78" spans="1:20" ht="15.75" customHeight="1">
      <c r="A78" s="729" t="s">
        <v>439</v>
      </c>
      <c r="B78" s="732"/>
      <c r="C78" s="731" t="s">
        <v>444</v>
      </c>
      <c r="D78" s="731"/>
      <c r="E78" s="731"/>
      <c r="F78" s="731" t="s">
        <v>445</v>
      </c>
      <c r="G78" s="731"/>
      <c r="H78" s="731"/>
      <c r="I78" s="731"/>
      <c r="J78" s="731"/>
      <c r="K78" s="731"/>
      <c r="L78" s="731"/>
      <c r="M78" s="731"/>
      <c r="N78" s="731"/>
      <c r="O78" s="731"/>
      <c r="P78" s="731"/>
    </row>
    <row r="79" spans="1:20" ht="15.75" customHeight="1" thickBot="1">
      <c r="A79" s="730"/>
      <c r="B79" s="727"/>
      <c r="C79" s="727"/>
      <c r="D79" s="727"/>
      <c r="E79" s="727"/>
      <c r="F79" s="727"/>
      <c r="G79" s="727"/>
      <c r="H79" s="727"/>
      <c r="I79" s="727"/>
      <c r="J79" s="727"/>
      <c r="K79" s="727"/>
      <c r="L79" s="727"/>
      <c r="M79" s="727"/>
      <c r="N79" s="727"/>
      <c r="O79" s="727"/>
      <c r="P79" s="727"/>
    </row>
    <row r="80" spans="1:20" ht="15.75" customHeight="1" thickBot="1">
      <c r="A80" s="333" t="s">
        <v>446</v>
      </c>
      <c r="B80" s="334"/>
      <c r="C80" s="334"/>
      <c r="D80" s="334"/>
      <c r="E80" s="334"/>
      <c r="F80" s="334"/>
      <c r="G80" s="334"/>
      <c r="H80" s="334"/>
      <c r="I80" s="334"/>
      <c r="J80" s="334"/>
      <c r="K80" s="334"/>
      <c r="L80" s="334"/>
      <c r="M80" s="334"/>
      <c r="N80" s="334"/>
      <c r="O80" s="334"/>
      <c r="P80" s="334"/>
    </row>
    <row r="81" spans="1:17" ht="15.75" customHeight="1">
      <c r="A81" s="729" t="s">
        <v>447</v>
      </c>
      <c r="B81" s="335"/>
      <c r="C81" s="731" t="s">
        <v>291</v>
      </c>
      <c r="D81" s="731"/>
      <c r="E81" s="731"/>
      <c r="F81" s="731"/>
      <c r="G81" s="743" t="s">
        <v>448</v>
      </c>
      <c r="H81" s="743"/>
      <c r="I81" s="731"/>
      <c r="J81" s="743" t="s">
        <v>449</v>
      </c>
      <c r="K81" s="743"/>
      <c r="L81" s="336"/>
      <c r="M81" s="336"/>
      <c r="N81" s="336"/>
      <c r="O81" s="731"/>
      <c r="P81" s="731"/>
    </row>
    <row r="82" spans="1:17" ht="15.75" customHeight="1">
      <c r="A82" s="738"/>
      <c r="B82" s="337"/>
      <c r="C82" s="733"/>
      <c r="D82" s="733"/>
      <c r="E82" s="733"/>
      <c r="F82" s="733"/>
      <c r="G82" s="744"/>
      <c r="H82" s="744"/>
      <c r="I82" s="733"/>
      <c r="J82" s="744"/>
      <c r="K82" s="744"/>
      <c r="L82" s="338"/>
      <c r="M82" s="338"/>
      <c r="N82" s="338"/>
      <c r="O82" s="733"/>
      <c r="P82" s="733"/>
    </row>
    <row r="83" spans="1:17" ht="15.75" customHeight="1">
      <c r="A83" s="739" t="s">
        <v>450</v>
      </c>
      <c r="B83" s="339"/>
      <c r="C83" s="735" t="s">
        <v>442</v>
      </c>
      <c r="D83" s="735"/>
      <c r="E83" s="340"/>
      <c r="F83" s="340"/>
      <c r="G83" s="340"/>
      <c r="H83" s="340"/>
      <c r="I83" s="340"/>
      <c r="J83" s="340"/>
      <c r="K83" s="340"/>
      <c r="L83" s="340"/>
      <c r="M83" s="340"/>
      <c r="N83" s="340"/>
      <c r="O83" s="340"/>
      <c r="P83" s="340"/>
    </row>
    <row r="84" spans="1:17" ht="15.75" customHeight="1">
      <c r="A84" s="740"/>
      <c r="B84" s="341"/>
      <c r="C84" s="734"/>
      <c r="D84" s="734"/>
      <c r="E84" s="734"/>
      <c r="F84" s="734"/>
      <c r="G84" s="734"/>
      <c r="H84" s="734"/>
      <c r="I84" s="734"/>
      <c r="J84" s="734"/>
      <c r="K84" s="734"/>
      <c r="L84" s="734"/>
      <c r="M84" s="734"/>
      <c r="N84" s="734"/>
      <c r="O84" s="734"/>
      <c r="P84" s="734"/>
    </row>
    <row r="85" spans="1:17" ht="15.75" customHeight="1">
      <c r="A85" s="740"/>
      <c r="B85" s="341"/>
      <c r="C85" s="734"/>
      <c r="D85" s="734"/>
      <c r="E85" s="734"/>
      <c r="F85" s="734"/>
      <c r="G85" s="734"/>
      <c r="H85" s="734"/>
      <c r="I85" s="734"/>
      <c r="J85" s="734"/>
      <c r="K85" s="734"/>
      <c r="L85" s="734"/>
      <c r="M85" s="734"/>
      <c r="N85" s="734"/>
      <c r="O85" s="734"/>
      <c r="P85" s="734"/>
    </row>
    <row r="86" spans="1:17" ht="15.75" customHeight="1" thickBot="1">
      <c r="A86" s="741"/>
      <c r="B86" s="342"/>
      <c r="C86" s="742"/>
      <c r="D86" s="742"/>
      <c r="E86" s="742"/>
      <c r="F86" s="742"/>
      <c r="G86" s="742"/>
      <c r="H86" s="742"/>
      <c r="I86" s="742"/>
      <c r="J86" s="742"/>
      <c r="K86" s="742"/>
      <c r="L86" s="742"/>
      <c r="M86" s="742"/>
      <c r="N86" s="742"/>
      <c r="O86" s="742"/>
      <c r="P86" s="742"/>
    </row>
    <row r="87" spans="1:17" ht="15.75" customHeight="1">
      <c r="A87" s="736" t="s">
        <v>451</v>
      </c>
      <c r="B87" s="736"/>
      <c r="C87" s="736"/>
      <c r="D87" s="736"/>
      <c r="E87" s="736"/>
      <c r="F87" s="736"/>
      <c r="G87" s="736"/>
      <c r="H87" s="736"/>
      <c r="I87" s="736"/>
      <c r="J87" s="736"/>
      <c r="K87" s="736"/>
      <c r="L87" s="736"/>
      <c r="M87" s="736"/>
      <c r="N87" s="736"/>
      <c r="O87" s="736"/>
      <c r="P87" s="736"/>
      <c r="Q87" s="736"/>
    </row>
    <row r="88" spans="1:17" ht="15.75" customHeight="1">
      <c r="A88" s="737" t="s">
        <v>59</v>
      </c>
      <c r="B88" s="737"/>
      <c r="C88" s="737"/>
      <c r="D88" s="737"/>
      <c r="E88" s="737"/>
      <c r="F88" s="737"/>
      <c r="G88" s="737"/>
      <c r="H88" s="737"/>
      <c r="I88" s="737"/>
      <c r="J88" s="737"/>
      <c r="K88" s="737"/>
      <c r="L88" s="737"/>
      <c r="M88" s="737"/>
      <c r="N88" s="737"/>
      <c r="O88" s="737"/>
      <c r="P88" s="737"/>
      <c r="Q88" s="737"/>
    </row>
    <row r="89" spans="1:17" ht="15.75" customHeight="1">
      <c r="A89" s="343"/>
      <c r="B89" s="343"/>
      <c r="C89" s="343"/>
      <c r="D89" s="343"/>
      <c r="E89" s="343"/>
      <c r="F89" s="343"/>
      <c r="G89" s="343"/>
      <c r="H89" s="343"/>
      <c r="I89" s="343"/>
      <c r="J89" s="343"/>
      <c r="K89" s="343"/>
      <c r="L89" s="343"/>
      <c r="M89" s="343"/>
      <c r="N89" s="343"/>
      <c r="O89" s="344"/>
      <c r="P89" s="343"/>
      <c r="Q89" s="343"/>
    </row>
    <row r="90" spans="1:17" ht="15.75" customHeight="1">
      <c r="A90" s="345" t="s">
        <v>452</v>
      </c>
      <c r="B90" s="346"/>
      <c r="C90" s="346" t="s">
        <v>123</v>
      </c>
      <c r="D90" s="346"/>
      <c r="E90" s="346"/>
      <c r="F90" s="346" t="s">
        <v>453</v>
      </c>
      <c r="G90" s="346"/>
      <c r="H90" s="346"/>
      <c r="I90" s="346" t="s">
        <v>124</v>
      </c>
      <c r="J90" s="346"/>
      <c r="K90" s="346"/>
      <c r="L90" s="346"/>
      <c r="M90" s="346"/>
      <c r="N90" s="346"/>
      <c r="O90" s="347" t="s">
        <v>125</v>
      </c>
      <c r="P90" s="346"/>
      <c r="Q90" s="346"/>
    </row>
  </sheetData>
  <sheetProtection selectLockedCells="1" selectUnlockedCells="1"/>
  <protectedRanges>
    <protectedRange sqref="A7:A70" name="Rango1_2"/>
    <protectedRange sqref="B7:C70" name="Rango1_3"/>
    <protectedRange sqref="D7:G70" name="Rango1_4"/>
    <protectedRange sqref="R7:S70 J7:N70" name="Rango3_1"/>
  </protectedRanges>
  <autoFilter ref="A6:P6" xr:uid="{00000000-0009-0000-0000-000007000000}"/>
  <mergeCells count="41">
    <mergeCell ref="D3:E3"/>
    <mergeCell ref="C2:I2"/>
    <mergeCell ref="C4:F4"/>
    <mergeCell ref="H72:I72"/>
    <mergeCell ref="K72:P72"/>
    <mergeCell ref="N2:P2"/>
    <mergeCell ref="N3:P3"/>
    <mergeCell ref="N4:P4"/>
    <mergeCell ref="J3:K3"/>
    <mergeCell ref="J2:K2"/>
    <mergeCell ref="A88:Q88"/>
    <mergeCell ref="A81:A82"/>
    <mergeCell ref="A83:A86"/>
    <mergeCell ref="C85:P85"/>
    <mergeCell ref="C86:P86"/>
    <mergeCell ref="C81:C82"/>
    <mergeCell ref="D81:F82"/>
    <mergeCell ref="G81:H82"/>
    <mergeCell ref="I81:I82"/>
    <mergeCell ref="J81:K82"/>
    <mergeCell ref="G76:P76"/>
    <mergeCell ref="O81:P82"/>
    <mergeCell ref="C84:P84"/>
    <mergeCell ref="C83:D83"/>
    <mergeCell ref="A87:Q87"/>
    <mergeCell ref="G73:H73"/>
    <mergeCell ref="G79:P79"/>
    <mergeCell ref="A73:B73"/>
    <mergeCell ref="A75:A76"/>
    <mergeCell ref="B75:B76"/>
    <mergeCell ref="C75:C76"/>
    <mergeCell ref="A78:A79"/>
    <mergeCell ref="B78:B79"/>
    <mergeCell ref="C78:C79"/>
    <mergeCell ref="D78:E79"/>
    <mergeCell ref="F78:F79"/>
    <mergeCell ref="G78:P78"/>
    <mergeCell ref="E73:F73"/>
    <mergeCell ref="D75:E76"/>
    <mergeCell ref="F75:F76"/>
    <mergeCell ref="G75:P75"/>
  </mergeCells>
  <conditionalFormatting sqref="A7:P7 G8:G70">
    <cfRule type="expression" dxfId="111" priority="2">
      <formula>ISODD($T7)</formula>
    </cfRule>
  </conditionalFormatting>
  <conditionalFormatting sqref="A8:F70 L23:P23 H23:J23 H24:P70 H8:P22">
    <cfRule type="expression" dxfId="110" priority="1">
      <formula>ISODD($T8)</formula>
    </cfRule>
  </conditionalFormatting>
  <dataValidations disablePrompts="1" count="1">
    <dataValidation type="list" allowBlank="1" showInputMessage="1" showErrorMessage="1" sqref="I7:I70" xr:uid="{00000000-0002-0000-0700-000000000000}">
      <formula1>"ANTIBIOTICO,PALIATIVO,MAGISTRAL IV"</formula1>
    </dataValidation>
  </dataValidations>
  <printOptions horizontalCentered="1" verticalCentered="1"/>
  <pageMargins left="0" right="0" top="0.23" bottom="0.2" header="0.2" footer="0.23"/>
  <pageSetup scale="44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O81"/>
  <sheetViews>
    <sheetView view="pageBreakPreview" topLeftCell="A2" zoomScale="80" zoomScaleSheetLayoutView="80" workbookViewId="0">
      <selection activeCell="C14" sqref="C14"/>
    </sheetView>
  </sheetViews>
  <sheetFormatPr defaultColWidth="11.42578125" defaultRowHeight="15"/>
  <cols>
    <col min="1" max="1" width="18.28515625" customWidth="1"/>
    <col min="2" max="2" width="15.5703125" customWidth="1"/>
    <col min="3" max="3" width="28.140625" customWidth="1"/>
    <col min="4" max="4" width="16.5703125" customWidth="1"/>
    <col min="5" max="5" width="16.140625" customWidth="1"/>
    <col min="6" max="6" width="7.85546875" customWidth="1"/>
    <col min="7" max="7" width="12" bestFit="1" customWidth="1"/>
    <col min="8" max="8" width="10.140625" customWidth="1"/>
    <col min="9" max="9" width="15" customWidth="1"/>
    <col min="10" max="10" width="11.140625" customWidth="1"/>
    <col min="11" max="11" width="11.85546875" customWidth="1"/>
    <col min="12" max="12" width="9.28515625" customWidth="1"/>
    <col min="13" max="13" width="9.140625" customWidth="1"/>
    <col min="14" max="14" width="8.28515625" customWidth="1"/>
    <col min="15" max="15" width="8.7109375" customWidth="1"/>
    <col min="257" max="257" width="18.28515625" customWidth="1"/>
    <col min="258" max="258" width="15.5703125" customWidth="1"/>
    <col min="259" max="259" width="28.140625" customWidth="1"/>
    <col min="260" max="260" width="15.7109375" bestFit="1" customWidth="1"/>
    <col min="261" max="261" width="28.140625" customWidth="1"/>
    <col min="262" max="262" width="7.85546875" customWidth="1"/>
    <col min="263" max="263" width="12" bestFit="1" customWidth="1"/>
    <col min="264" max="264" width="10.140625" customWidth="1"/>
    <col min="265" max="265" width="15" customWidth="1"/>
    <col min="266" max="266" width="11.140625" customWidth="1"/>
    <col min="267" max="267" width="11.85546875" customWidth="1"/>
    <col min="268" max="268" width="9.28515625" customWidth="1"/>
    <col min="269" max="269" width="9.140625" customWidth="1"/>
    <col min="270" max="270" width="8.28515625" customWidth="1"/>
    <col min="271" max="271" width="8.7109375" customWidth="1"/>
    <col min="513" max="513" width="18.28515625" customWidth="1"/>
    <col min="514" max="514" width="15.5703125" customWidth="1"/>
    <col min="515" max="515" width="28.140625" customWidth="1"/>
    <col min="516" max="516" width="15.7109375" bestFit="1" customWidth="1"/>
    <col min="517" max="517" width="28.140625" customWidth="1"/>
    <col min="518" max="518" width="7.85546875" customWidth="1"/>
    <col min="519" max="519" width="12" bestFit="1" customWidth="1"/>
    <col min="520" max="520" width="10.140625" customWidth="1"/>
    <col min="521" max="521" width="15" customWidth="1"/>
    <col min="522" max="522" width="11.140625" customWidth="1"/>
    <col min="523" max="523" width="11.85546875" customWidth="1"/>
    <col min="524" max="524" width="9.28515625" customWidth="1"/>
    <col min="525" max="525" width="9.140625" customWidth="1"/>
    <col min="526" max="526" width="8.28515625" customWidth="1"/>
    <col min="527" max="527" width="8.7109375" customWidth="1"/>
    <col min="769" max="769" width="18.28515625" customWidth="1"/>
    <col min="770" max="770" width="15.5703125" customWidth="1"/>
    <col min="771" max="771" width="28.140625" customWidth="1"/>
    <col min="772" max="772" width="15.7109375" bestFit="1" customWidth="1"/>
    <col min="773" max="773" width="28.140625" customWidth="1"/>
    <col min="774" max="774" width="7.85546875" customWidth="1"/>
    <col min="775" max="775" width="12" bestFit="1" customWidth="1"/>
    <col min="776" max="776" width="10.140625" customWidth="1"/>
    <col min="777" max="777" width="15" customWidth="1"/>
    <col min="778" max="778" width="11.140625" customWidth="1"/>
    <col min="779" max="779" width="11.85546875" customWidth="1"/>
    <col min="780" max="780" width="9.28515625" customWidth="1"/>
    <col min="781" max="781" width="9.140625" customWidth="1"/>
    <col min="782" max="782" width="8.28515625" customWidth="1"/>
    <col min="783" max="783" width="8.7109375" customWidth="1"/>
    <col min="1025" max="1025" width="18.28515625" customWidth="1"/>
    <col min="1026" max="1026" width="15.5703125" customWidth="1"/>
    <col min="1027" max="1027" width="28.140625" customWidth="1"/>
    <col min="1028" max="1028" width="15.7109375" bestFit="1" customWidth="1"/>
    <col min="1029" max="1029" width="28.140625" customWidth="1"/>
    <col min="1030" max="1030" width="7.85546875" customWidth="1"/>
    <col min="1031" max="1031" width="12" bestFit="1" customWidth="1"/>
    <col min="1032" max="1032" width="10.140625" customWidth="1"/>
    <col min="1033" max="1033" width="15" customWidth="1"/>
    <col min="1034" max="1034" width="11.140625" customWidth="1"/>
    <col min="1035" max="1035" width="11.85546875" customWidth="1"/>
    <col min="1036" max="1036" width="9.28515625" customWidth="1"/>
    <col min="1037" max="1037" width="9.140625" customWidth="1"/>
    <col min="1038" max="1038" width="8.28515625" customWidth="1"/>
    <col min="1039" max="1039" width="8.7109375" customWidth="1"/>
    <col min="1281" max="1281" width="18.28515625" customWidth="1"/>
    <col min="1282" max="1282" width="15.5703125" customWidth="1"/>
    <col min="1283" max="1283" width="28.140625" customWidth="1"/>
    <col min="1284" max="1284" width="15.7109375" bestFit="1" customWidth="1"/>
    <col min="1285" max="1285" width="28.140625" customWidth="1"/>
    <col min="1286" max="1286" width="7.85546875" customWidth="1"/>
    <col min="1287" max="1287" width="12" bestFit="1" customWidth="1"/>
    <col min="1288" max="1288" width="10.140625" customWidth="1"/>
    <col min="1289" max="1289" width="15" customWidth="1"/>
    <col min="1290" max="1290" width="11.140625" customWidth="1"/>
    <col min="1291" max="1291" width="11.85546875" customWidth="1"/>
    <col min="1292" max="1292" width="9.28515625" customWidth="1"/>
    <col min="1293" max="1293" width="9.140625" customWidth="1"/>
    <col min="1294" max="1294" width="8.28515625" customWidth="1"/>
    <col min="1295" max="1295" width="8.7109375" customWidth="1"/>
    <col min="1537" max="1537" width="18.28515625" customWidth="1"/>
    <col min="1538" max="1538" width="15.5703125" customWidth="1"/>
    <col min="1539" max="1539" width="28.140625" customWidth="1"/>
    <col min="1540" max="1540" width="15.7109375" bestFit="1" customWidth="1"/>
    <col min="1541" max="1541" width="28.140625" customWidth="1"/>
    <col min="1542" max="1542" width="7.85546875" customWidth="1"/>
    <col min="1543" max="1543" width="12" bestFit="1" customWidth="1"/>
    <col min="1544" max="1544" width="10.140625" customWidth="1"/>
    <col min="1545" max="1545" width="15" customWidth="1"/>
    <col min="1546" max="1546" width="11.140625" customWidth="1"/>
    <col min="1547" max="1547" width="11.85546875" customWidth="1"/>
    <col min="1548" max="1548" width="9.28515625" customWidth="1"/>
    <col min="1549" max="1549" width="9.140625" customWidth="1"/>
    <col min="1550" max="1550" width="8.28515625" customWidth="1"/>
    <col min="1551" max="1551" width="8.7109375" customWidth="1"/>
    <col min="1793" max="1793" width="18.28515625" customWidth="1"/>
    <col min="1794" max="1794" width="15.5703125" customWidth="1"/>
    <col min="1795" max="1795" width="28.140625" customWidth="1"/>
    <col min="1796" max="1796" width="15.7109375" bestFit="1" customWidth="1"/>
    <col min="1797" max="1797" width="28.140625" customWidth="1"/>
    <col min="1798" max="1798" width="7.85546875" customWidth="1"/>
    <col min="1799" max="1799" width="12" bestFit="1" customWidth="1"/>
    <col min="1800" max="1800" width="10.140625" customWidth="1"/>
    <col min="1801" max="1801" width="15" customWidth="1"/>
    <col min="1802" max="1802" width="11.140625" customWidth="1"/>
    <col min="1803" max="1803" width="11.85546875" customWidth="1"/>
    <col min="1804" max="1804" width="9.28515625" customWidth="1"/>
    <col min="1805" max="1805" width="9.140625" customWidth="1"/>
    <col min="1806" max="1806" width="8.28515625" customWidth="1"/>
    <col min="1807" max="1807" width="8.7109375" customWidth="1"/>
    <col min="2049" max="2049" width="18.28515625" customWidth="1"/>
    <col min="2050" max="2050" width="15.5703125" customWidth="1"/>
    <col min="2051" max="2051" width="28.140625" customWidth="1"/>
    <col min="2052" max="2052" width="15.7109375" bestFit="1" customWidth="1"/>
    <col min="2053" max="2053" width="28.140625" customWidth="1"/>
    <col min="2054" max="2054" width="7.85546875" customWidth="1"/>
    <col min="2055" max="2055" width="12" bestFit="1" customWidth="1"/>
    <col min="2056" max="2056" width="10.140625" customWidth="1"/>
    <col min="2057" max="2057" width="15" customWidth="1"/>
    <col min="2058" max="2058" width="11.140625" customWidth="1"/>
    <col min="2059" max="2059" width="11.85546875" customWidth="1"/>
    <col min="2060" max="2060" width="9.28515625" customWidth="1"/>
    <col min="2061" max="2061" width="9.140625" customWidth="1"/>
    <col min="2062" max="2062" width="8.28515625" customWidth="1"/>
    <col min="2063" max="2063" width="8.7109375" customWidth="1"/>
    <col min="2305" max="2305" width="18.28515625" customWidth="1"/>
    <col min="2306" max="2306" width="15.5703125" customWidth="1"/>
    <col min="2307" max="2307" width="28.140625" customWidth="1"/>
    <col min="2308" max="2308" width="15.7109375" bestFit="1" customWidth="1"/>
    <col min="2309" max="2309" width="28.140625" customWidth="1"/>
    <col min="2310" max="2310" width="7.85546875" customWidth="1"/>
    <col min="2311" max="2311" width="12" bestFit="1" customWidth="1"/>
    <col min="2312" max="2312" width="10.140625" customWidth="1"/>
    <col min="2313" max="2313" width="15" customWidth="1"/>
    <col min="2314" max="2314" width="11.140625" customWidth="1"/>
    <col min="2315" max="2315" width="11.85546875" customWidth="1"/>
    <col min="2316" max="2316" width="9.28515625" customWidth="1"/>
    <col min="2317" max="2317" width="9.140625" customWidth="1"/>
    <col min="2318" max="2318" width="8.28515625" customWidth="1"/>
    <col min="2319" max="2319" width="8.7109375" customWidth="1"/>
    <col min="2561" max="2561" width="18.28515625" customWidth="1"/>
    <col min="2562" max="2562" width="15.5703125" customWidth="1"/>
    <col min="2563" max="2563" width="28.140625" customWidth="1"/>
    <col min="2564" max="2564" width="15.7109375" bestFit="1" customWidth="1"/>
    <col min="2565" max="2565" width="28.140625" customWidth="1"/>
    <col min="2566" max="2566" width="7.85546875" customWidth="1"/>
    <col min="2567" max="2567" width="12" bestFit="1" customWidth="1"/>
    <col min="2568" max="2568" width="10.140625" customWidth="1"/>
    <col min="2569" max="2569" width="15" customWidth="1"/>
    <col min="2570" max="2570" width="11.140625" customWidth="1"/>
    <col min="2571" max="2571" width="11.85546875" customWidth="1"/>
    <col min="2572" max="2572" width="9.28515625" customWidth="1"/>
    <col min="2573" max="2573" width="9.140625" customWidth="1"/>
    <col min="2574" max="2574" width="8.28515625" customWidth="1"/>
    <col min="2575" max="2575" width="8.7109375" customWidth="1"/>
    <col min="2817" max="2817" width="18.28515625" customWidth="1"/>
    <col min="2818" max="2818" width="15.5703125" customWidth="1"/>
    <col min="2819" max="2819" width="28.140625" customWidth="1"/>
    <col min="2820" max="2820" width="15.7109375" bestFit="1" customWidth="1"/>
    <col min="2821" max="2821" width="28.140625" customWidth="1"/>
    <col min="2822" max="2822" width="7.85546875" customWidth="1"/>
    <col min="2823" max="2823" width="12" bestFit="1" customWidth="1"/>
    <col min="2824" max="2824" width="10.140625" customWidth="1"/>
    <col min="2825" max="2825" width="15" customWidth="1"/>
    <col min="2826" max="2826" width="11.140625" customWidth="1"/>
    <col min="2827" max="2827" width="11.85546875" customWidth="1"/>
    <col min="2828" max="2828" width="9.28515625" customWidth="1"/>
    <col min="2829" max="2829" width="9.140625" customWidth="1"/>
    <col min="2830" max="2830" width="8.28515625" customWidth="1"/>
    <col min="2831" max="2831" width="8.7109375" customWidth="1"/>
    <col min="3073" max="3073" width="18.28515625" customWidth="1"/>
    <col min="3074" max="3074" width="15.5703125" customWidth="1"/>
    <col min="3075" max="3075" width="28.140625" customWidth="1"/>
    <col min="3076" max="3076" width="15.7109375" bestFit="1" customWidth="1"/>
    <col min="3077" max="3077" width="28.140625" customWidth="1"/>
    <col min="3078" max="3078" width="7.85546875" customWidth="1"/>
    <col min="3079" max="3079" width="12" bestFit="1" customWidth="1"/>
    <col min="3080" max="3080" width="10.140625" customWidth="1"/>
    <col min="3081" max="3081" width="15" customWidth="1"/>
    <col min="3082" max="3082" width="11.140625" customWidth="1"/>
    <col min="3083" max="3083" width="11.85546875" customWidth="1"/>
    <col min="3084" max="3084" width="9.28515625" customWidth="1"/>
    <col min="3085" max="3085" width="9.140625" customWidth="1"/>
    <col min="3086" max="3086" width="8.28515625" customWidth="1"/>
    <col min="3087" max="3087" width="8.7109375" customWidth="1"/>
    <col min="3329" max="3329" width="18.28515625" customWidth="1"/>
    <col min="3330" max="3330" width="15.5703125" customWidth="1"/>
    <col min="3331" max="3331" width="28.140625" customWidth="1"/>
    <col min="3332" max="3332" width="15.7109375" bestFit="1" customWidth="1"/>
    <col min="3333" max="3333" width="28.140625" customWidth="1"/>
    <col min="3334" max="3334" width="7.85546875" customWidth="1"/>
    <col min="3335" max="3335" width="12" bestFit="1" customWidth="1"/>
    <col min="3336" max="3336" width="10.140625" customWidth="1"/>
    <col min="3337" max="3337" width="15" customWidth="1"/>
    <col min="3338" max="3338" width="11.140625" customWidth="1"/>
    <col min="3339" max="3339" width="11.85546875" customWidth="1"/>
    <col min="3340" max="3340" width="9.28515625" customWidth="1"/>
    <col min="3341" max="3341" width="9.140625" customWidth="1"/>
    <col min="3342" max="3342" width="8.28515625" customWidth="1"/>
    <col min="3343" max="3343" width="8.7109375" customWidth="1"/>
    <col min="3585" max="3585" width="18.28515625" customWidth="1"/>
    <col min="3586" max="3586" width="15.5703125" customWidth="1"/>
    <col min="3587" max="3587" width="28.140625" customWidth="1"/>
    <col min="3588" max="3588" width="15.7109375" bestFit="1" customWidth="1"/>
    <col min="3589" max="3589" width="28.140625" customWidth="1"/>
    <col min="3590" max="3590" width="7.85546875" customWidth="1"/>
    <col min="3591" max="3591" width="12" bestFit="1" customWidth="1"/>
    <col min="3592" max="3592" width="10.140625" customWidth="1"/>
    <col min="3593" max="3593" width="15" customWidth="1"/>
    <col min="3594" max="3594" width="11.140625" customWidth="1"/>
    <col min="3595" max="3595" width="11.85546875" customWidth="1"/>
    <col min="3596" max="3596" width="9.28515625" customWidth="1"/>
    <col min="3597" max="3597" width="9.140625" customWidth="1"/>
    <col min="3598" max="3598" width="8.28515625" customWidth="1"/>
    <col min="3599" max="3599" width="8.7109375" customWidth="1"/>
    <col min="3841" max="3841" width="18.28515625" customWidth="1"/>
    <col min="3842" max="3842" width="15.5703125" customWidth="1"/>
    <col min="3843" max="3843" width="28.140625" customWidth="1"/>
    <col min="3844" max="3844" width="15.7109375" bestFit="1" customWidth="1"/>
    <col min="3845" max="3845" width="28.140625" customWidth="1"/>
    <col min="3846" max="3846" width="7.85546875" customWidth="1"/>
    <col min="3847" max="3847" width="12" bestFit="1" customWidth="1"/>
    <col min="3848" max="3848" width="10.140625" customWidth="1"/>
    <col min="3849" max="3849" width="15" customWidth="1"/>
    <col min="3850" max="3850" width="11.140625" customWidth="1"/>
    <col min="3851" max="3851" width="11.85546875" customWidth="1"/>
    <col min="3852" max="3852" width="9.28515625" customWidth="1"/>
    <col min="3853" max="3853" width="9.140625" customWidth="1"/>
    <col min="3854" max="3854" width="8.28515625" customWidth="1"/>
    <col min="3855" max="3855" width="8.7109375" customWidth="1"/>
    <col min="4097" max="4097" width="18.28515625" customWidth="1"/>
    <col min="4098" max="4098" width="15.5703125" customWidth="1"/>
    <col min="4099" max="4099" width="28.140625" customWidth="1"/>
    <col min="4100" max="4100" width="15.7109375" bestFit="1" customWidth="1"/>
    <col min="4101" max="4101" width="28.140625" customWidth="1"/>
    <col min="4102" max="4102" width="7.85546875" customWidth="1"/>
    <col min="4103" max="4103" width="12" bestFit="1" customWidth="1"/>
    <col min="4104" max="4104" width="10.140625" customWidth="1"/>
    <col min="4105" max="4105" width="15" customWidth="1"/>
    <col min="4106" max="4106" width="11.140625" customWidth="1"/>
    <col min="4107" max="4107" width="11.85546875" customWidth="1"/>
    <col min="4108" max="4108" width="9.28515625" customWidth="1"/>
    <col min="4109" max="4109" width="9.140625" customWidth="1"/>
    <col min="4110" max="4110" width="8.28515625" customWidth="1"/>
    <col min="4111" max="4111" width="8.7109375" customWidth="1"/>
    <col min="4353" max="4353" width="18.28515625" customWidth="1"/>
    <col min="4354" max="4354" width="15.5703125" customWidth="1"/>
    <col min="4355" max="4355" width="28.140625" customWidth="1"/>
    <col min="4356" max="4356" width="15.7109375" bestFit="1" customWidth="1"/>
    <col min="4357" max="4357" width="28.140625" customWidth="1"/>
    <col min="4358" max="4358" width="7.85546875" customWidth="1"/>
    <col min="4359" max="4359" width="12" bestFit="1" customWidth="1"/>
    <col min="4360" max="4360" width="10.140625" customWidth="1"/>
    <col min="4361" max="4361" width="15" customWidth="1"/>
    <col min="4362" max="4362" width="11.140625" customWidth="1"/>
    <col min="4363" max="4363" width="11.85546875" customWidth="1"/>
    <col min="4364" max="4364" width="9.28515625" customWidth="1"/>
    <col min="4365" max="4365" width="9.140625" customWidth="1"/>
    <col min="4366" max="4366" width="8.28515625" customWidth="1"/>
    <col min="4367" max="4367" width="8.7109375" customWidth="1"/>
    <col min="4609" max="4609" width="18.28515625" customWidth="1"/>
    <col min="4610" max="4610" width="15.5703125" customWidth="1"/>
    <col min="4611" max="4611" width="28.140625" customWidth="1"/>
    <col min="4612" max="4612" width="15.7109375" bestFit="1" customWidth="1"/>
    <col min="4613" max="4613" width="28.140625" customWidth="1"/>
    <col min="4614" max="4614" width="7.85546875" customWidth="1"/>
    <col min="4615" max="4615" width="12" bestFit="1" customWidth="1"/>
    <col min="4616" max="4616" width="10.140625" customWidth="1"/>
    <col min="4617" max="4617" width="15" customWidth="1"/>
    <col min="4618" max="4618" width="11.140625" customWidth="1"/>
    <col min="4619" max="4619" width="11.85546875" customWidth="1"/>
    <col min="4620" max="4620" width="9.28515625" customWidth="1"/>
    <col min="4621" max="4621" width="9.140625" customWidth="1"/>
    <col min="4622" max="4622" width="8.28515625" customWidth="1"/>
    <col min="4623" max="4623" width="8.7109375" customWidth="1"/>
    <col min="4865" max="4865" width="18.28515625" customWidth="1"/>
    <col min="4866" max="4866" width="15.5703125" customWidth="1"/>
    <col min="4867" max="4867" width="28.140625" customWidth="1"/>
    <col min="4868" max="4868" width="15.7109375" bestFit="1" customWidth="1"/>
    <col min="4869" max="4869" width="28.140625" customWidth="1"/>
    <col min="4870" max="4870" width="7.85546875" customWidth="1"/>
    <col min="4871" max="4871" width="12" bestFit="1" customWidth="1"/>
    <col min="4872" max="4872" width="10.140625" customWidth="1"/>
    <col min="4873" max="4873" width="15" customWidth="1"/>
    <col min="4874" max="4874" width="11.140625" customWidth="1"/>
    <col min="4875" max="4875" width="11.85546875" customWidth="1"/>
    <col min="4876" max="4876" width="9.28515625" customWidth="1"/>
    <col min="4877" max="4877" width="9.140625" customWidth="1"/>
    <col min="4878" max="4878" width="8.28515625" customWidth="1"/>
    <col min="4879" max="4879" width="8.7109375" customWidth="1"/>
    <col min="5121" max="5121" width="18.28515625" customWidth="1"/>
    <col min="5122" max="5122" width="15.5703125" customWidth="1"/>
    <col min="5123" max="5123" width="28.140625" customWidth="1"/>
    <col min="5124" max="5124" width="15.7109375" bestFit="1" customWidth="1"/>
    <col min="5125" max="5125" width="28.140625" customWidth="1"/>
    <col min="5126" max="5126" width="7.85546875" customWidth="1"/>
    <col min="5127" max="5127" width="12" bestFit="1" customWidth="1"/>
    <col min="5128" max="5128" width="10.140625" customWidth="1"/>
    <col min="5129" max="5129" width="15" customWidth="1"/>
    <col min="5130" max="5130" width="11.140625" customWidth="1"/>
    <col min="5131" max="5131" width="11.85546875" customWidth="1"/>
    <col min="5132" max="5132" width="9.28515625" customWidth="1"/>
    <col min="5133" max="5133" width="9.140625" customWidth="1"/>
    <col min="5134" max="5134" width="8.28515625" customWidth="1"/>
    <col min="5135" max="5135" width="8.7109375" customWidth="1"/>
    <col min="5377" max="5377" width="18.28515625" customWidth="1"/>
    <col min="5378" max="5378" width="15.5703125" customWidth="1"/>
    <col min="5379" max="5379" width="28.140625" customWidth="1"/>
    <col min="5380" max="5380" width="15.7109375" bestFit="1" customWidth="1"/>
    <col min="5381" max="5381" width="28.140625" customWidth="1"/>
    <col min="5382" max="5382" width="7.85546875" customWidth="1"/>
    <col min="5383" max="5383" width="12" bestFit="1" customWidth="1"/>
    <col min="5384" max="5384" width="10.140625" customWidth="1"/>
    <col min="5385" max="5385" width="15" customWidth="1"/>
    <col min="5386" max="5386" width="11.140625" customWidth="1"/>
    <col min="5387" max="5387" width="11.85546875" customWidth="1"/>
    <col min="5388" max="5388" width="9.28515625" customWidth="1"/>
    <col min="5389" max="5389" width="9.140625" customWidth="1"/>
    <col min="5390" max="5390" width="8.28515625" customWidth="1"/>
    <col min="5391" max="5391" width="8.7109375" customWidth="1"/>
    <col min="5633" max="5633" width="18.28515625" customWidth="1"/>
    <col min="5634" max="5634" width="15.5703125" customWidth="1"/>
    <col min="5635" max="5635" width="28.140625" customWidth="1"/>
    <col min="5636" max="5636" width="15.7109375" bestFit="1" customWidth="1"/>
    <col min="5637" max="5637" width="28.140625" customWidth="1"/>
    <col min="5638" max="5638" width="7.85546875" customWidth="1"/>
    <col min="5639" max="5639" width="12" bestFit="1" customWidth="1"/>
    <col min="5640" max="5640" width="10.140625" customWidth="1"/>
    <col min="5641" max="5641" width="15" customWidth="1"/>
    <col min="5642" max="5642" width="11.140625" customWidth="1"/>
    <col min="5643" max="5643" width="11.85546875" customWidth="1"/>
    <col min="5644" max="5644" width="9.28515625" customWidth="1"/>
    <col min="5645" max="5645" width="9.140625" customWidth="1"/>
    <col min="5646" max="5646" width="8.28515625" customWidth="1"/>
    <col min="5647" max="5647" width="8.7109375" customWidth="1"/>
    <col min="5889" max="5889" width="18.28515625" customWidth="1"/>
    <col min="5890" max="5890" width="15.5703125" customWidth="1"/>
    <col min="5891" max="5891" width="28.140625" customWidth="1"/>
    <col min="5892" max="5892" width="15.7109375" bestFit="1" customWidth="1"/>
    <col min="5893" max="5893" width="28.140625" customWidth="1"/>
    <col min="5894" max="5894" width="7.85546875" customWidth="1"/>
    <col min="5895" max="5895" width="12" bestFit="1" customWidth="1"/>
    <col min="5896" max="5896" width="10.140625" customWidth="1"/>
    <col min="5897" max="5897" width="15" customWidth="1"/>
    <col min="5898" max="5898" width="11.140625" customWidth="1"/>
    <col min="5899" max="5899" width="11.85546875" customWidth="1"/>
    <col min="5900" max="5900" width="9.28515625" customWidth="1"/>
    <col min="5901" max="5901" width="9.140625" customWidth="1"/>
    <col min="5902" max="5902" width="8.28515625" customWidth="1"/>
    <col min="5903" max="5903" width="8.7109375" customWidth="1"/>
    <col min="6145" max="6145" width="18.28515625" customWidth="1"/>
    <col min="6146" max="6146" width="15.5703125" customWidth="1"/>
    <col min="6147" max="6147" width="28.140625" customWidth="1"/>
    <col min="6148" max="6148" width="15.7109375" bestFit="1" customWidth="1"/>
    <col min="6149" max="6149" width="28.140625" customWidth="1"/>
    <col min="6150" max="6150" width="7.85546875" customWidth="1"/>
    <col min="6151" max="6151" width="12" bestFit="1" customWidth="1"/>
    <col min="6152" max="6152" width="10.140625" customWidth="1"/>
    <col min="6153" max="6153" width="15" customWidth="1"/>
    <col min="6154" max="6154" width="11.140625" customWidth="1"/>
    <col min="6155" max="6155" width="11.85546875" customWidth="1"/>
    <col min="6156" max="6156" width="9.28515625" customWidth="1"/>
    <col min="6157" max="6157" width="9.140625" customWidth="1"/>
    <col min="6158" max="6158" width="8.28515625" customWidth="1"/>
    <col min="6159" max="6159" width="8.7109375" customWidth="1"/>
    <col min="6401" max="6401" width="18.28515625" customWidth="1"/>
    <col min="6402" max="6402" width="15.5703125" customWidth="1"/>
    <col min="6403" max="6403" width="28.140625" customWidth="1"/>
    <col min="6404" max="6404" width="15.7109375" bestFit="1" customWidth="1"/>
    <col min="6405" max="6405" width="28.140625" customWidth="1"/>
    <col min="6406" max="6406" width="7.85546875" customWidth="1"/>
    <col min="6407" max="6407" width="12" bestFit="1" customWidth="1"/>
    <col min="6408" max="6408" width="10.140625" customWidth="1"/>
    <col min="6409" max="6409" width="15" customWidth="1"/>
    <col min="6410" max="6410" width="11.140625" customWidth="1"/>
    <col min="6411" max="6411" width="11.85546875" customWidth="1"/>
    <col min="6412" max="6412" width="9.28515625" customWidth="1"/>
    <col min="6413" max="6413" width="9.140625" customWidth="1"/>
    <col min="6414" max="6414" width="8.28515625" customWidth="1"/>
    <col min="6415" max="6415" width="8.7109375" customWidth="1"/>
    <col min="6657" max="6657" width="18.28515625" customWidth="1"/>
    <col min="6658" max="6658" width="15.5703125" customWidth="1"/>
    <col min="6659" max="6659" width="28.140625" customWidth="1"/>
    <col min="6660" max="6660" width="15.7109375" bestFit="1" customWidth="1"/>
    <col min="6661" max="6661" width="28.140625" customWidth="1"/>
    <col min="6662" max="6662" width="7.85546875" customWidth="1"/>
    <col min="6663" max="6663" width="12" bestFit="1" customWidth="1"/>
    <col min="6664" max="6664" width="10.140625" customWidth="1"/>
    <col min="6665" max="6665" width="15" customWidth="1"/>
    <col min="6666" max="6666" width="11.140625" customWidth="1"/>
    <col min="6667" max="6667" width="11.85546875" customWidth="1"/>
    <col min="6668" max="6668" width="9.28515625" customWidth="1"/>
    <col min="6669" max="6669" width="9.140625" customWidth="1"/>
    <col min="6670" max="6670" width="8.28515625" customWidth="1"/>
    <col min="6671" max="6671" width="8.7109375" customWidth="1"/>
    <col min="6913" max="6913" width="18.28515625" customWidth="1"/>
    <col min="6914" max="6914" width="15.5703125" customWidth="1"/>
    <col min="6915" max="6915" width="28.140625" customWidth="1"/>
    <col min="6916" max="6916" width="15.7109375" bestFit="1" customWidth="1"/>
    <col min="6917" max="6917" width="28.140625" customWidth="1"/>
    <col min="6918" max="6918" width="7.85546875" customWidth="1"/>
    <col min="6919" max="6919" width="12" bestFit="1" customWidth="1"/>
    <col min="6920" max="6920" width="10.140625" customWidth="1"/>
    <col min="6921" max="6921" width="15" customWidth="1"/>
    <col min="6922" max="6922" width="11.140625" customWidth="1"/>
    <col min="6923" max="6923" width="11.85546875" customWidth="1"/>
    <col min="6924" max="6924" width="9.28515625" customWidth="1"/>
    <col min="6925" max="6925" width="9.140625" customWidth="1"/>
    <col min="6926" max="6926" width="8.28515625" customWidth="1"/>
    <col min="6927" max="6927" width="8.7109375" customWidth="1"/>
    <col min="7169" max="7169" width="18.28515625" customWidth="1"/>
    <col min="7170" max="7170" width="15.5703125" customWidth="1"/>
    <col min="7171" max="7171" width="28.140625" customWidth="1"/>
    <col min="7172" max="7172" width="15.7109375" bestFit="1" customWidth="1"/>
    <col min="7173" max="7173" width="28.140625" customWidth="1"/>
    <col min="7174" max="7174" width="7.85546875" customWidth="1"/>
    <col min="7175" max="7175" width="12" bestFit="1" customWidth="1"/>
    <col min="7176" max="7176" width="10.140625" customWidth="1"/>
    <col min="7177" max="7177" width="15" customWidth="1"/>
    <col min="7178" max="7178" width="11.140625" customWidth="1"/>
    <col min="7179" max="7179" width="11.85546875" customWidth="1"/>
    <col min="7180" max="7180" width="9.28515625" customWidth="1"/>
    <col min="7181" max="7181" width="9.140625" customWidth="1"/>
    <col min="7182" max="7182" width="8.28515625" customWidth="1"/>
    <col min="7183" max="7183" width="8.7109375" customWidth="1"/>
    <col min="7425" max="7425" width="18.28515625" customWidth="1"/>
    <col min="7426" max="7426" width="15.5703125" customWidth="1"/>
    <col min="7427" max="7427" width="28.140625" customWidth="1"/>
    <col min="7428" max="7428" width="15.7109375" bestFit="1" customWidth="1"/>
    <col min="7429" max="7429" width="28.140625" customWidth="1"/>
    <col min="7430" max="7430" width="7.85546875" customWidth="1"/>
    <col min="7431" max="7431" width="12" bestFit="1" customWidth="1"/>
    <col min="7432" max="7432" width="10.140625" customWidth="1"/>
    <col min="7433" max="7433" width="15" customWidth="1"/>
    <col min="7434" max="7434" width="11.140625" customWidth="1"/>
    <col min="7435" max="7435" width="11.85546875" customWidth="1"/>
    <col min="7436" max="7436" width="9.28515625" customWidth="1"/>
    <col min="7437" max="7437" width="9.140625" customWidth="1"/>
    <col min="7438" max="7438" width="8.28515625" customWidth="1"/>
    <col min="7439" max="7439" width="8.7109375" customWidth="1"/>
    <col min="7681" max="7681" width="18.28515625" customWidth="1"/>
    <col min="7682" max="7682" width="15.5703125" customWidth="1"/>
    <col min="7683" max="7683" width="28.140625" customWidth="1"/>
    <col min="7684" max="7684" width="15.7109375" bestFit="1" customWidth="1"/>
    <col min="7685" max="7685" width="28.140625" customWidth="1"/>
    <col min="7686" max="7686" width="7.85546875" customWidth="1"/>
    <col min="7687" max="7687" width="12" bestFit="1" customWidth="1"/>
    <col min="7688" max="7688" width="10.140625" customWidth="1"/>
    <col min="7689" max="7689" width="15" customWidth="1"/>
    <col min="7690" max="7690" width="11.140625" customWidth="1"/>
    <col min="7691" max="7691" width="11.85546875" customWidth="1"/>
    <col min="7692" max="7692" width="9.28515625" customWidth="1"/>
    <col min="7693" max="7693" width="9.140625" customWidth="1"/>
    <col min="7694" max="7694" width="8.28515625" customWidth="1"/>
    <col min="7695" max="7695" width="8.7109375" customWidth="1"/>
    <col min="7937" max="7937" width="18.28515625" customWidth="1"/>
    <col min="7938" max="7938" width="15.5703125" customWidth="1"/>
    <col min="7939" max="7939" width="28.140625" customWidth="1"/>
    <col min="7940" max="7940" width="15.7109375" bestFit="1" customWidth="1"/>
    <col min="7941" max="7941" width="28.140625" customWidth="1"/>
    <col min="7942" max="7942" width="7.85546875" customWidth="1"/>
    <col min="7943" max="7943" width="12" bestFit="1" customWidth="1"/>
    <col min="7944" max="7944" width="10.140625" customWidth="1"/>
    <col min="7945" max="7945" width="15" customWidth="1"/>
    <col min="7946" max="7946" width="11.140625" customWidth="1"/>
    <col min="7947" max="7947" width="11.85546875" customWidth="1"/>
    <col min="7948" max="7948" width="9.28515625" customWidth="1"/>
    <col min="7949" max="7949" width="9.140625" customWidth="1"/>
    <col min="7950" max="7950" width="8.28515625" customWidth="1"/>
    <col min="7951" max="7951" width="8.7109375" customWidth="1"/>
    <col min="8193" max="8193" width="18.28515625" customWidth="1"/>
    <col min="8194" max="8194" width="15.5703125" customWidth="1"/>
    <col min="8195" max="8195" width="28.140625" customWidth="1"/>
    <col min="8196" max="8196" width="15.7109375" bestFit="1" customWidth="1"/>
    <col min="8197" max="8197" width="28.140625" customWidth="1"/>
    <col min="8198" max="8198" width="7.85546875" customWidth="1"/>
    <col min="8199" max="8199" width="12" bestFit="1" customWidth="1"/>
    <col min="8200" max="8200" width="10.140625" customWidth="1"/>
    <col min="8201" max="8201" width="15" customWidth="1"/>
    <col min="8202" max="8202" width="11.140625" customWidth="1"/>
    <col min="8203" max="8203" width="11.85546875" customWidth="1"/>
    <col min="8204" max="8204" width="9.28515625" customWidth="1"/>
    <col min="8205" max="8205" width="9.140625" customWidth="1"/>
    <col min="8206" max="8206" width="8.28515625" customWidth="1"/>
    <col min="8207" max="8207" width="8.7109375" customWidth="1"/>
    <col min="8449" max="8449" width="18.28515625" customWidth="1"/>
    <col min="8450" max="8450" width="15.5703125" customWidth="1"/>
    <col min="8451" max="8451" width="28.140625" customWidth="1"/>
    <col min="8452" max="8452" width="15.7109375" bestFit="1" customWidth="1"/>
    <col min="8453" max="8453" width="28.140625" customWidth="1"/>
    <col min="8454" max="8454" width="7.85546875" customWidth="1"/>
    <col min="8455" max="8455" width="12" bestFit="1" customWidth="1"/>
    <col min="8456" max="8456" width="10.140625" customWidth="1"/>
    <col min="8457" max="8457" width="15" customWidth="1"/>
    <col min="8458" max="8458" width="11.140625" customWidth="1"/>
    <col min="8459" max="8459" width="11.85546875" customWidth="1"/>
    <col min="8460" max="8460" width="9.28515625" customWidth="1"/>
    <col min="8461" max="8461" width="9.140625" customWidth="1"/>
    <col min="8462" max="8462" width="8.28515625" customWidth="1"/>
    <col min="8463" max="8463" width="8.7109375" customWidth="1"/>
    <col min="8705" max="8705" width="18.28515625" customWidth="1"/>
    <col min="8706" max="8706" width="15.5703125" customWidth="1"/>
    <col min="8707" max="8707" width="28.140625" customWidth="1"/>
    <col min="8708" max="8708" width="15.7109375" bestFit="1" customWidth="1"/>
    <col min="8709" max="8709" width="28.140625" customWidth="1"/>
    <col min="8710" max="8710" width="7.85546875" customWidth="1"/>
    <col min="8711" max="8711" width="12" bestFit="1" customWidth="1"/>
    <col min="8712" max="8712" width="10.140625" customWidth="1"/>
    <col min="8713" max="8713" width="15" customWidth="1"/>
    <col min="8714" max="8714" width="11.140625" customWidth="1"/>
    <col min="8715" max="8715" width="11.85546875" customWidth="1"/>
    <col min="8716" max="8716" width="9.28515625" customWidth="1"/>
    <col min="8717" max="8717" width="9.140625" customWidth="1"/>
    <col min="8718" max="8718" width="8.28515625" customWidth="1"/>
    <col min="8719" max="8719" width="8.7109375" customWidth="1"/>
    <col min="8961" max="8961" width="18.28515625" customWidth="1"/>
    <col min="8962" max="8962" width="15.5703125" customWidth="1"/>
    <col min="8963" max="8963" width="28.140625" customWidth="1"/>
    <col min="8964" max="8964" width="15.7109375" bestFit="1" customWidth="1"/>
    <col min="8965" max="8965" width="28.140625" customWidth="1"/>
    <col min="8966" max="8966" width="7.85546875" customWidth="1"/>
    <col min="8967" max="8967" width="12" bestFit="1" customWidth="1"/>
    <col min="8968" max="8968" width="10.140625" customWidth="1"/>
    <col min="8969" max="8969" width="15" customWidth="1"/>
    <col min="8970" max="8970" width="11.140625" customWidth="1"/>
    <col min="8971" max="8971" width="11.85546875" customWidth="1"/>
    <col min="8972" max="8972" width="9.28515625" customWidth="1"/>
    <col min="8973" max="8973" width="9.140625" customWidth="1"/>
    <col min="8974" max="8974" width="8.28515625" customWidth="1"/>
    <col min="8975" max="8975" width="8.7109375" customWidth="1"/>
    <col min="9217" max="9217" width="18.28515625" customWidth="1"/>
    <col min="9218" max="9218" width="15.5703125" customWidth="1"/>
    <col min="9219" max="9219" width="28.140625" customWidth="1"/>
    <col min="9220" max="9220" width="15.7109375" bestFit="1" customWidth="1"/>
    <col min="9221" max="9221" width="28.140625" customWidth="1"/>
    <col min="9222" max="9222" width="7.85546875" customWidth="1"/>
    <col min="9223" max="9223" width="12" bestFit="1" customWidth="1"/>
    <col min="9224" max="9224" width="10.140625" customWidth="1"/>
    <col min="9225" max="9225" width="15" customWidth="1"/>
    <col min="9226" max="9226" width="11.140625" customWidth="1"/>
    <col min="9227" max="9227" width="11.85546875" customWidth="1"/>
    <col min="9228" max="9228" width="9.28515625" customWidth="1"/>
    <col min="9229" max="9229" width="9.140625" customWidth="1"/>
    <col min="9230" max="9230" width="8.28515625" customWidth="1"/>
    <col min="9231" max="9231" width="8.7109375" customWidth="1"/>
    <col min="9473" max="9473" width="18.28515625" customWidth="1"/>
    <col min="9474" max="9474" width="15.5703125" customWidth="1"/>
    <col min="9475" max="9475" width="28.140625" customWidth="1"/>
    <col min="9476" max="9476" width="15.7109375" bestFit="1" customWidth="1"/>
    <col min="9477" max="9477" width="28.140625" customWidth="1"/>
    <col min="9478" max="9478" width="7.85546875" customWidth="1"/>
    <col min="9479" max="9479" width="12" bestFit="1" customWidth="1"/>
    <col min="9480" max="9480" width="10.140625" customWidth="1"/>
    <col min="9481" max="9481" width="15" customWidth="1"/>
    <col min="9482" max="9482" width="11.140625" customWidth="1"/>
    <col min="9483" max="9483" width="11.85546875" customWidth="1"/>
    <col min="9484" max="9484" width="9.28515625" customWidth="1"/>
    <col min="9485" max="9485" width="9.140625" customWidth="1"/>
    <col min="9486" max="9486" width="8.28515625" customWidth="1"/>
    <col min="9487" max="9487" width="8.7109375" customWidth="1"/>
    <col min="9729" max="9729" width="18.28515625" customWidth="1"/>
    <col min="9730" max="9730" width="15.5703125" customWidth="1"/>
    <col min="9731" max="9731" width="28.140625" customWidth="1"/>
    <col min="9732" max="9732" width="15.7109375" bestFit="1" customWidth="1"/>
    <col min="9733" max="9733" width="28.140625" customWidth="1"/>
    <col min="9734" max="9734" width="7.85546875" customWidth="1"/>
    <col min="9735" max="9735" width="12" bestFit="1" customWidth="1"/>
    <col min="9736" max="9736" width="10.140625" customWidth="1"/>
    <col min="9737" max="9737" width="15" customWidth="1"/>
    <col min="9738" max="9738" width="11.140625" customWidth="1"/>
    <col min="9739" max="9739" width="11.85546875" customWidth="1"/>
    <col min="9740" max="9740" width="9.28515625" customWidth="1"/>
    <col min="9741" max="9741" width="9.140625" customWidth="1"/>
    <col min="9742" max="9742" width="8.28515625" customWidth="1"/>
    <col min="9743" max="9743" width="8.7109375" customWidth="1"/>
    <col min="9985" max="9985" width="18.28515625" customWidth="1"/>
    <col min="9986" max="9986" width="15.5703125" customWidth="1"/>
    <col min="9987" max="9987" width="28.140625" customWidth="1"/>
    <col min="9988" max="9988" width="15.7109375" bestFit="1" customWidth="1"/>
    <col min="9989" max="9989" width="28.140625" customWidth="1"/>
    <col min="9990" max="9990" width="7.85546875" customWidth="1"/>
    <col min="9991" max="9991" width="12" bestFit="1" customWidth="1"/>
    <col min="9992" max="9992" width="10.140625" customWidth="1"/>
    <col min="9993" max="9993" width="15" customWidth="1"/>
    <col min="9994" max="9994" width="11.140625" customWidth="1"/>
    <col min="9995" max="9995" width="11.85546875" customWidth="1"/>
    <col min="9996" max="9996" width="9.28515625" customWidth="1"/>
    <col min="9997" max="9997" width="9.140625" customWidth="1"/>
    <col min="9998" max="9998" width="8.28515625" customWidth="1"/>
    <col min="9999" max="9999" width="8.7109375" customWidth="1"/>
    <col min="10241" max="10241" width="18.28515625" customWidth="1"/>
    <col min="10242" max="10242" width="15.5703125" customWidth="1"/>
    <col min="10243" max="10243" width="28.140625" customWidth="1"/>
    <col min="10244" max="10244" width="15.7109375" bestFit="1" customWidth="1"/>
    <col min="10245" max="10245" width="28.140625" customWidth="1"/>
    <col min="10246" max="10246" width="7.85546875" customWidth="1"/>
    <col min="10247" max="10247" width="12" bestFit="1" customWidth="1"/>
    <col min="10248" max="10248" width="10.140625" customWidth="1"/>
    <col min="10249" max="10249" width="15" customWidth="1"/>
    <col min="10250" max="10250" width="11.140625" customWidth="1"/>
    <col min="10251" max="10251" width="11.85546875" customWidth="1"/>
    <col min="10252" max="10252" width="9.28515625" customWidth="1"/>
    <col min="10253" max="10253" width="9.140625" customWidth="1"/>
    <col min="10254" max="10254" width="8.28515625" customWidth="1"/>
    <col min="10255" max="10255" width="8.7109375" customWidth="1"/>
    <col min="10497" max="10497" width="18.28515625" customWidth="1"/>
    <col min="10498" max="10498" width="15.5703125" customWidth="1"/>
    <col min="10499" max="10499" width="28.140625" customWidth="1"/>
    <col min="10500" max="10500" width="15.7109375" bestFit="1" customWidth="1"/>
    <col min="10501" max="10501" width="28.140625" customWidth="1"/>
    <col min="10502" max="10502" width="7.85546875" customWidth="1"/>
    <col min="10503" max="10503" width="12" bestFit="1" customWidth="1"/>
    <col min="10504" max="10504" width="10.140625" customWidth="1"/>
    <col min="10505" max="10505" width="15" customWidth="1"/>
    <col min="10506" max="10506" width="11.140625" customWidth="1"/>
    <col min="10507" max="10507" width="11.85546875" customWidth="1"/>
    <col min="10508" max="10508" width="9.28515625" customWidth="1"/>
    <col min="10509" max="10509" width="9.140625" customWidth="1"/>
    <col min="10510" max="10510" width="8.28515625" customWidth="1"/>
    <col min="10511" max="10511" width="8.7109375" customWidth="1"/>
    <col min="10753" max="10753" width="18.28515625" customWidth="1"/>
    <col min="10754" max="10754" width="15.5703125" customWidth="1"/>
    <col min="10755" max="10755" width="28.140625" customWidth="1"/>
    <col min="10756" max="10756" width="15.7109375" bestFit="1" customWidth="1"/>
    <col min="10757" max="10757" width="28.140625" customWidth="1"/>
    <col min="10758" max="10758" width="7.85546875" customWidth="1"/>
    <col min="10759" max="10759" width="12" bestFit="1" customWidth="1"/>
    <col min="10760" max="10760" width="10.140625" customWidth="1"/>
    <col min="10761" max="10761" width="15" customWidth="1"/>
    <col min="10762" max="10762" width="11.140625" customWidth="1"/>
    <col min="10763" max="10763" width="11.85546875" customWidth="1"/>
    <col min="10764" max="10764" width="9.28515625" customWidth="1"/>
    <col min="10765" max="10765" width="9.140625" customWidth="1"/>
    <col min="10766" max="10766" width="8.28515625" customWidth="1"/>
    <col min="10767" max="10767" width="8.7109375" customWidth="1"/>
    <col min="11009" max="11009" width="18.28515625" customWidth="1"/>
    <col min="11010" max="11010" width="15.5703125" customWidth="1"/>
    <col min="11011" max="11011" width="28.140625" customWidth="1"/>
    <col min="11012" max="11012" width="15.7109375" bestFit="1" customWidth="1"/>
    <col min="11013" max="11013" width="28.140625" customWidth="1"/>
    <col min="11014" max="11014" width="7.85546875" customWidth="1"/>
    <col min="11015" max="11015" width="12" bestFit="1" customWidth="1"/>
    <col min="11016" max="11016" width="10.140625" customWidth="1"/>
    <col min="11017" max="11017" width="15" customWidth="1"/>
    <col min="11018" max="11018" width="11.140625" customWidth="1"/>
    <col min="11019" max="11019" width="11.85546875" customWidth="1"/>
    <col min="11020" max="11020" width="9.28515625" customWidth="1"/>
    <col min="11021" max="11021" width="9.140625" customWidth="1"/>
    <col min="11022" max="11022" width="8.28515625" customWidth="1"/>
    <col min="11023" max="11023" width="8.7109375" customWidth="1"/>
    <col min="11265" max="11265" width="18.28515625" customWidth="1"/>
    <col min="11266" max="11266" width="15.5703125" customWidth="1"/>
    <col min="11267" max="11267" width="28.140625" customWidth="1"/>
    <col min="11268" max="11268" width="15.7109375" bestFit="1" customWidth="1"/>
    <col min="11269" max="11269" width="28.140625" customWidth="1"/>
    <col min="11270" max="11270" width="7.85546875" customWidth="1"/>
    <col min="11271" max="11271" width="12" bestFit="1" customWidth="1"/>
    <col min="11272" max="11272" width="10.140625" customWidth="1"/>
    <col min="11273" max="11273" width="15" customWidth="1"/>
    <col min="11274" max="11274" width="11.140625" customWidth="1"/>
    <col min="11275" max="11275" width="11.85546875" customWidth="1"/>
    <col min="11276" max="11276" width="9.28515625" customWidth="1"/>
    <col min="11277" max="11277" width="9.140625" customWidth="1"/>
    <col min="11278" max="11278" width="8.28515625" customWidth="1"/>
    <col min="11279" max="11279" width="8.7109375" customWidth="1"/>
    <col min="11521" max="11521" width="18.28515625" customWidth="1"/>
    <col min="11522" max="11522" width="15.5703125" customWidth="1"/>
    <col min="11523" max="11523" width="28.140625" customWidth="1"/>
    <col min="11524" max="11524" width="15.7109375" bestFit="1" customWidth="1"/>
    <col min="11525" max="11525" width="28.140625" customWidth="1"/>
    <col min="11526" max="11526" width="7.85546875" customWidth="1"/>
    <col min="11527" max="11527" width="12" bestFit="1" customWidth="1"/>
    <col min="11528" max="11528" width="10.140625" customWidth="1"/>
    <col min="11529" max="11529" width="15" customWidth="1"/>
    <col min="11530" max="11530" width="11.140625" customWidth="1"/>
    <col min="11531" max="11531" width="11.85546875" customWidth="1"/>
    <col min="11532" max="11532" width="9.28515625" customWidth="1"/>
    <col min="11533" max="11533" width="9.140625" customWidth="1"/>
    <col min="11534" max="11534" width="8.28515625" customWidth="1"/>
    <col min="11535" max="11535" width="8.7109375" customWidth="1"/>
    <col min="11777" max="11777" width="18.28515625" customWidth="1"/>
    <col min="11778" max="11778" width="15.5703125" customWidth="1"/>
    <col min="11779" max="11779" width="28.140625" customWidth="1"/>
    <col min="11780" max="11780" width="15.7109375" bestFit="1" customWidth="1"/>
    <col min="11781" max="11781" width="28.140625" customWidth="1"/>
    <col min="11782" max="11782" width="7.85546875" customWidth="1"/>
    <col min="11783" max="11783" width="12" bestFit="1" customWidth="1"/>
    <col min="11784" max="11784" width="10.140625" customWidth="1"/>
    <col min="11785" max="11785" width="15" customWidth="1"/>
    <col min="11786" max="11786" width="11.140625" customWidth="1"/>
    <col min="11787" max="11787" width="11.85546875" customWidth="1"/>
    <col min="11788" max="11788" width="9.28515625" customWidth="1"/>
    <col min="11789" max="11789" width="9.140625" customWidth="1"/>
    <col min="11790" max="11790" width="8.28515625" customWidth="1"/>
    <col min="11791" max="11791" width="8.7109375" customWidth="1"/>
    <col min="12033" max="12033" width="18.28515625" customWidth="1"/>
    <col min="12034" max="12034" width="15.5703125" customWidth="1"/>
    <col min="12035" max="12035" width="28.140625" customWidth="1"/>
    <col min="12036" max="12036" width="15.7109375" bestFit="1" customWidth="1"/>
    <col min="12037" max="12037" width="28.140625" customWidth="1"/>
    <col min="12038" max="12038" width="7.85546875" customWidth="1"/>
    <col min="12039" max="12039" width="12" bestFit="1" customWidth="1"/>
    <col min="12040" max="12040" width="10.140625" customWidth="1"/>
    <col min="12041" max="12041" width="15" customWidth="1"/>
    <col min="12042" max="12042" width="11.140625" customWidth="1"/>
    <col min="12043" max="12043" width="11.85546875" customWidth="1"/>
    <col min="12044" max="12044" width="9.28515625" customWidth="1"/>
    <col min="12045" max="12045" width="9.140625" customWidth="1"/>
    <col min="12046" max="12046" width="8.28515625" customWidth="1"/>
    <col min="12047" max="12047" width="8.7109375" customWidth="1"/>
    <col min="12289" max="12289" width="18.28515625" customWidth="1"/>
    <col min="12290" max="12290" width="15.5703125" customWidth="1"/>
    <col min="12291" max="12291" width="28.140625" customWidth="1"/>
    <col min="12292" max="12292" width="15.7109375" bestFit="1" customWidth="1"/>
    <col min="12293" max="12293" width="28.140625" customWidth="1"/>
    <col min="12294" max="12294" width="7.85546875" customWidth="1"/>
    <col min="12295" max="12295" width="12" bestFit="1" customWidth="1"/>
    <col min="12296" max="12296" width="10.140625" customWidth="1"/>
    <col min="12297" max="12297" width="15" customWidth="1"/>
    <col min="12298" max="12298" width="11.140625" customWidth="1"/>
    <col min="12299" max="12299" width="11.85546875" customWidth="1"/>
    <col min="12300" max="12300" width="9.28515625" customWidth="1"/>
    <col min="12301" max="12301" width="9.140625" customWidth="1"/>
    <col min="12302" max="12302" width="8.28515625" customWidth="1"/>
    <col min="12303" max="12303" width="8.7109375" customWidth="1"/>
    <col min="12545" max="12545" width="18.28515625" customWidth="1"/>
    <col min="12546" max="12546" width="15.5703125" customWidth="1"/>
    <col min="12547" max="12547" width="28.140625" customWidth="1"/>
    <col min="12548" max="12548" width="15.7109375" bestFit="1" customWidth="1"/>
    <col min="12549" max="12549" width="28.140625" customWidth="1"/>
    <col min="12550" max="12550" width="7.85546875" customWidth="1"/>
    <col min="12551" max="12551" width="12" bestFit="1" customWidth="1"/>
    <col min="12552" max="12552" width="10.140625" customWidth="1"/>
    <col min="12553" max="12553" width="15" customWidth="1"/>
    <col min="12554" max="12554" width="11.140625" customWidth="1"/>
    <col min="12555" max="12555" width="11.85546875" customWidth="1"/>
    <col min="12556" max="12556" width="9.28515625" customWidth="1"/>
    <col min="12557" max="12557" width="9.140625" customWidth="1"/>
    <col min="12558" max="12558" width="8.28515625" customWidth="1"/>
    <col min="12559" max="12559" width="8.7109375" customWidth="1"/>
    <col min="12801" max="12801" width="18.28515625" customWidth="1"/>
    <col min="12802" max="12802" width="15.5703125" customWidth="1"/>
    <col min="12803" max="12803" width="28.140625" customWidth="1"/>
    <col min="12804" max="12804" width="15.7109375" bestFit="1" customWidth="1"/>
    <col min="12805" max="12805" width="28.140625" customWidth="1"/>
    <col min="12806" max="12806" width="7.85546875" customWidth="1"/>
    <col min="12807" max="12807" width="12" bestFit="1" customWidth="1"/>
    <col min="12808" max="12808" width="10.140625" customWidth="1"/>
    <col min="12809" max="12809" width="15" customWidth="1"/>
    <col min="12810" max="12810" width="11.140625" customWidth="1"/>
    <col min="12811" max="12811" width="11.85546875" customWidth="1"/>
    <col min="12812" max="12812" width="9.28515625" customWidth="1"/>
    <col min="12813" max="12813" width="9.140625" customWidth="1"/>
    <col min="12814" max="12814" width="8.28515625" customWidth="1"/>
    <col min="12815" max="12815" width="8.7109375" customWidth="1"/>
    <col min="13057" max="13057" width="18.28515625" customWidth="1"/>
    <col min="13058" max="13058" width="15.5703125" customWidth="1"/>
    <col min="13059" max="13059" width="28.140625" customWidth="1"/>
    <col min="13060" max="13060" width="15.7109375" bestFit="1" customWidth="1"/>
    <col min="13061" max="13061" width="28.140625" customWidth="1"/>
    <col min="13062" max="13062" width="7.85546875" customWidth="1"/>
    <col min="13063" max="13063" width="12" bestFit="1" customWidth="1"/>
    <col min="13064" max="13064" width="10.140625" customWidth="1"/>
    <col min="13065" max="13065" width="15" customWidth="1"/>
    <col min="13066" max="13066" width="11.140625" customWidth="1"/>
    <col min="13067" max="13067" width="11.85546875" customWidth="1"/>
    <col min="13068" max="13068" width="9.28515625" customWidth="1"/>
    <col min="13069" max="13069" width="9.140625" customWidth="1"/>
    <col min="13070" max="13070" width="8.28515625" customWidth="1"/>
    <col min="13071" max="13071" width="8.7109375" customWidth="1"/>
    <col min="13313" max="13313" width="18.28515625" customWidth="1"/>
    <col min="13314" max="13314" width="15.5703125" customWidth="1"/>
    <col min="13315" max="13315" width="28.140625" customWidth="1"/>
    <col min="13316" max="13316" width="15.7109375" bestFit="1" customWidth="1"/>
    <col min="13317" max="13317" width="28.140625" customWidth="1"/>
    <col min="13318" max="13318" width="7.85546875" customWidth="1"/>
    <col min="13319" max="13319" width="12" bestFit="1" customWidth="1"/>
    <col min="13320" max="13320" width="10.140625" customWidth="1"/>
    <col min="13321" max="13321" width="15" customWidth="1"/>
    <col min="13322" max="13322" width="11.140625" customWidth="1"/>
    <col min="13323" max="13323" width="11.85546875" customWidth="1"/>
    <col min="13324" max="13324" width="9.28515625" customWidth="1"/>
    <col min="13325" max="13325" width="9.140625" customWidth="1"/>
    <col min="13326" max="13326" width="8.28515625" customWidth="1"/>
    <col min="13327" max="13327" width="8.7109375" customWidth="1"/>
    <col min="13569" max="13569" width="18.28515625" customWidth="1"/>
    <col min="13570" max="13570" width="15.5703125" customWidth="1"/>
    <col min="13571" max="13571" width="28.140625" customWidth="1"/>
    <col min="13572" max="13572" width="15.7109375" bestFit="1" customWidth="1"/>
    <col min="13573" max="13573" width="28.140625" customWidth="1"/>
    <col min="13574" max="13574" width="7.85546875" customWidth="1"/>
    <col min="13575" max="13575" width="12" bestFit="1" customWidth="1"/>
    <col min="13576" max="13576" width="10.140625" customWidth="1"/>
    <col min="13577" max="13577" width="15" customWidth="1"/>
    <col min="13578" max="13578" width="11.140625" customWidth="1"/>
    <col min="13579" max="13579" width="11.85546875" customWidth="1"/>
    <col min="13580" max="13580" width="9.28515625" customWidth="1"/>
    <col min="13581" max="13581" width="9.140625" customWidth="1"/>
    <col min="13582" max="13582" width="8.28515625" customWidth="1"/>
    <col min="13583" max="13583" width="8.7109375" customWidth="1"/>
    <col min="13825" max="13825" width="18.28515625" customWidth="1"/>
    <col min="13826" max="13826" width="15.5703125" customWidth="1"/>
    <col min="13827" max="13827" width="28.140625" customWidth="1"/>
    <col min="13828" max="13828" width="15.7109375" bestFit="1" customWidth="1"/>
    <col min="13829" max="13829" width="28.140625" customWidth="1"/>
    <col min="13830" max="13830" width="7.85546875" customWidth="1"/>
    <col min="13831" max="13831" width="12" bestFit="1" customWidth="1"/>
    <col min="13832" max="13832" width="10.140625" customWidth="1"/>
    <col min="13833" max="13833" width="15" customWidth="1"/>
    <col min="13834" max="13834" width="11.140625" customWidth="1"/>
    <col min="13835" max="13835" width="11.85546875" customWidth="1"/>
    <col min="13836" max="13836" width="9.28515625" customWidth="1"/>
    <col min="13837" max="13837" width="9.140625" customWidth="1"/>
    <col min="13838" max="13838" width="8.28515625" customWidth="1"/>
    <col min="13839" max="13839" width="8.7109375" customWidth="1"/>
    <col min="14081" max="14081" width="18.28515625" customWidth="1"/>
    <col min="14082" max="14082" width="15.5703125" customWidth="1"/>
    <col min="14083" max="14083" width="28.140625" customWidth="1"/>
    <col min="14084" max="14084" width="15.7109375" bestFit="1" customWidth="1"/>
    <col min="14085" max="14085" width="28.140625" customWidth="1"/>
    <col min="14086" max="14086" width="7.85546875" customWidth="1"/>
    <col min="14087" max="14087" width="12" bestFit="1" customWidth="1"/>
    <col min="14088" max="14088" width="10.140625" customWidth="1"/>
    <col min="14089" max="14089" width="15" customWidth="1"/>
    <col min="14090" max="14090" width="11.140625" customWidth="1"/>
    <col min="14091" max="14091" width="11.85546875" customWidth="1"/>
    <col min="14092" max="14092" width="9.28515625" customWidth="1"/>
    <col min="14093" max="14093" width="9.140625" customWidth="1"/>
    <col min="14094" max="14094" width="8.28515625" customWidth="1"/>
    <col min="14095" max="14095" width="8.7109375" customWidth="1"/>
    <col min="14337" max="14337" width="18.28515625" customWidth="1"/>
    <col min="14338" max="14338" width="15.5703125" customWidth="1"/>
    <col min="14339" max="14339" width="28.140625" customWidth="1"/>
    <col min="14340" max="14340" width="15.7109375" bestFit="1" customWidth="1"/>
    <col min="14341" max="14341" width="28.140625" customWidth="1"/>
    <col min="14342" max="14342" width="7.85546875" customWidth="1"/>
    <col min="14343" max="14343" width="12" bestFit="1" customWidth="1"/>
    <col min="14344" max="14344" width="10.140625" customWidth="1"/>
    <col min="14345" max="14345" width="15" customWidth="1"/>
    <col min="14346" max="14346" width="11.140625" customWidth="1"/>
    <col min="14347" max="14347" width="11.85546875" customWidth="1"/>
    <col min="14348" max="14348" width="9.28515625" customWidth="1"/>
    <col min="14349" max="14349" width="9.140625" customWidth="1"/>
    <col min="14350" max="14350" width="8.28515625" customWidth="1"/>
    <col min="14351" max="14351" width="8.7109375" customWidth="1"/>
    <col min="14593" max="14593" width="18.28515625" customWidth="1"/>
    <col min="14594" max="14594" width="15.5703125" customWidth="1"/>
    <col min="14595" max="14595" width="28.140625" customWidth="1"/>
    <col min="14596" max="14596" width="15.7109375" bestFit="1" customWidth="1"/>
    <col min="14597" max="14597" width="28.140625" customWidth="1"/>
    <col min="14598" max="14598" width="7.85546875" customWidth="1"/>
    <col min="14599" max="14599" width="12" bestFit="1" customWidth="1"/>
    <col min="14600" max="14600" width="10.140625" customWidth="1"/>
    <col min="14601" max="14601" width="15" customWidth="1"/>
    <col min="14602" max="14602" width="11.140625" customWidth="1"/>
    <col min="14603" max="14603" width="11.85546875" customWidth="1"/>
    <col min="14604" max="14604" width="9.28515625" customWidth="1"/>
    <col min="14605" max="14605" width="9.140625" customWidth="1"/>
    <col min="14606" max="14606" width="8.28515625" customWidth="1"/>
    <col min="14607" max="14607" width="8.7109375" customWidth="1"/>
    <col min="14849" max="14849" width="18.28515625" customWidth="1"/>
    <col min="14850" max="14850" width="15.5703125" customWidth="1"/>
    <col min="14851" max="14851" width="28.140625" customWidth="1"/>
    <col min="14852" max="14852" width="15.7109375" bestFit="1" customWidth="1"/>
    <col min="14853" max="14853" width="28.140625" customWidth="1"/>
    <col min="14854" max="14854" width="7.85546875" customWidth="1"/>
    <col min="14855" max="14855" width="12" bestFit="1" customWidth="1"/>
    <col min="14856" max="14856" width="10.140625" customWidth="1"/>
    <col min="14857" max="14857" width="15" customWidth="1"/>
    <col min="14858" max="14858" width="11.140625" customWidth="1"/>
    <col min="14859" max="14859" width="11.85546875" customWidth="1"/>
    <col min="14860" max="14860" width="9.28515625" customWidth="1"/>
    <col min="14861" max="14861" width="9.140625" customWidth="1"/>
    <col min="14862" max="14862" width="8.28515625" customWidth="1"/>
    <col min="14863" max="14863" width="8.7109375" customWidth="1"/>
    <col min="15105" max="15105" width="18.28515625" customWidth="1"/>
    <col min="15106" max="15106" width="15.5703125" customWidth="1"/>
    <col min="15107" max="15107" width="28.140625" customWidth="1"/>
    <col min="15108" max="15108" width="15.7109375" bestFit="1" customWidth="1"/>
    <col min="15109" max="15109" width="28.140625" customWidth="1"/>
    <col min="15110" max="15110" width="7.85546875" customWidth="1"/>
    <col min="15111" max="15111" width="12" bestFit="1" customWidth="1"/>
    <col min="15112" max="15112" width="10.140625" customWidth="1"/>
    <col min="15113" max="15113" width="15" customWidth="1"/>
    <col min="15114" max="15114" width="11.140625" customWidth="1"/>
    <col min="15115" max="15115" width="11.85546875" customWidth="1"/>
    <col min="15116" max="15116" width="9.28515625" customWidth="1"/>
    <col min="15117" max="15117" width="9.140625" customWidth="1"/>
    <col min="15118" max="15118" width="8.28515625" customWidth="1"/>
    <col min="15119" max="15119" width="8.7109375" customWidth="1"/>
    <col min="15361" max="15361" width="18.28515625" customWidth="1"/>
    <col min="15362" max="15362" width="15.5703125" customWidth="1"/>
    <col min="15363" max="15363" width="28.140625" customWidth="1"/>
    <col min="15364" max="15364" width="15.7109375" bestFit="1" customWidth="1"/>
    <col min="15365" max="15365" width="28.140625" customWidth="1"/>
    <col min="15366" max="15366" width="7.85546875" customWidth="1"/>
    <col min="15367" max="15367" width="12" bestFit="1" customWidth="1"/>
    <col min="15368" max="15368" width="10.140625" customWidth="1"/>
    <col min="15369" max="15369" width="15" customWidth="1"/>
    <col min="15370" max="15370" width="11.140625" customWidth="1"/>
    <col min="15371" max="15371" width="11.85546875" customWidth="1"/>
    <col min="15372" max="15372" width="9.28515625" customWidth="1"/>
    <col min="15373" max="15373" width="9.140625" customWidth="1"/>
    <col min="15374" max="15374" width="8.28515625" customWidth="1"/>
    <col min="15375" max="15375" width="8.7109375" customWidth="1"/>
    <col min="15617" max="15617" width="18.28515625" customWidth="1"/>
    <col min="15618" max="15618" width="15.5703125" customWidth="1"/>
    <col min="15619" max="15619" width="28.140625" customWidth="1"/>
    <col min="15620" max="15620" width="15.7109375" bestFit="1" customWidth="1"/>
    <col min="15621" max="15621" width="28.140625" customWidth="1"/>
    <col min="15622" max="15622" width="7.85546875" customWidth="1"/>
    <col min="15623" max="15623" width="12" bestFit="1" customWidth="1"/>
    <col min="15624" max="15624" width="10.140625" customWidth="1"/>
    <col min="15625" max="15625" width="15" customWidth="1"/>
    <col min="15626" max="15626" width="11.140625" customWidth="1"/>
    <col min="15627" max="15627" width="11.85546875" customWidth="1"/>
    <col min="15628" max="15628" width="9.28515625" customWidth="1"/>
    <col min="15629" max="15629" width="9.140625" customWidth="1"/>
    <col min="15630" max="15630" width="8.28515625" customWidth="1"/>
    <col min="15631" max="15631" width="8.7109375" customWidth="1"/>
    <col min="15873" max="15873" width="18.28515625" customWidth="1"/>
    <col min="15874" max="15874" width="15.5703125" customWidth="1"/>
    <col min="15875" max="15875" width="28.140625" customWidth="1"/>
    <col min="15876" max="15876" width="15.7109375" bestFit="1" customWidth="1"/>
    <col min="15877" max="15877" width="28.140625" customWidth="1"/>
    <col min="15878" max="15878" width="7.85546875" customWidth="1"/>
    <col min="15879" max="15879" width="12" bestFit="1" customWidth="1"/>
    <col min="15880" max="15880" width="10.140625" customWidth="1"/>
    <col min="15881" max="15881" width="15" customWidth="1"/>
    <col min="15882" max="15882" width="11.140625" customWidth="1"/>
    <col min="15883" max="15883" width="11.85546875" customWidth="1"/>
    <col min="15884" max="15884" width="9.28515625" customWidth="1"/>
    <col min="15885" max="15885" width="9.140625" customWidth="1"/>
    <col min="15886" max="15886" width="8.28515625" customWidth="1"/>
    <col min="15887" max="15887" width="8.7109375" customWidth="1"/>
    <col min="16129" max="16129" width="18.28515625" customWidth="1"/>
    <col min="16130" max="16130" width="15.5703125" customWidth="1"/>
    <col min="16131" max="16131" width="28.140625" customWidth="1"/>
    <col min="16132" max="16132" width="15.7109375" bestFit="1" customWidth="1"/>
    <col min="16133" max="16133" width="28.140625" customWidth="1"/>
    <col min="16134" max="16134" width="7.85546875" customWidth="1"/>
    <col min="16135" max="16135" width="12" bestFit="1" customWidth="1"/>
    <col min="16136" max="16136" width="10.140625" customWidth="1"/>
    <col min="16137" max="16137" width="15" customWidth="1"/>
    <col min="16138" max="16138" width="11.140625" customWidth="1"/>
    <col min="16139" max="16139" width="11.85546875" customWidth="1"/>
    <col min="16140" max="16140" width="9.28515625" customWidth="1"/>
    <col min="16141" max="16141" width="9.140625" customWidth="1"/>
    <col min="16142" max="16142" width="8.28515625" customWidth="1"/>
    <col min="16143" max="16143" width="8.7109375" customWidth="1"/>
  </cols>
  <sheetData>
    <row r="1" spans="1:15" s="1" customFormat="1" ht="27.75" customHeight="1">
      <c r="A1" s="783" t="s">
        <v>167</v>
      </c>
      <c r="B1" s="783"/>
      <c r="C1" s="776" t="s">
        <v>146</v>
      </c>
      <c r="D1" s="776"/>
      <c r="E1" s="776"/>
      <c r="F1" s="776"/>
      <c r="G1" s="776"/>
      <c r="H1" s="776"/>
      <c r="I1" s="776"/>
      <c r="J1" s="776"/>
      <c r="K1" s="776"/>
      <c r="L1" s="24"/>
      <c r="M1" s="777" t="s">
        <v>147</v>
      </c>
      <c r="N1" s="777"/>
      <c r="O1" s="28"/>
    </row>
    <row r="2" spans="1:15" s="1" customFormat="1" ht="12.75"/>
    <row r="3" spans="1:15" s="1" customFormat="1" ht="12.75"/>
    <row r="4" spans="1:15" s="1" customFormat="1" ht="15.75">
      <c r="A4" s="778" t="s">
        <v>102</v>
      </c>
      <c r="B4" s="778"/>
      <c r="C4" s="779" t="s">
        <v>103</v>
      </c>
      <c r="D4" s="779"/>
      <c r="E4" s="779"/>
      <c r="F4" s="779"/>
      <c r="G4" s="779"/>
      <c r="H4" s="29"/>
      <c r="I4" s="29"/>
      <c r="J4" s="29"/>
      <c r="K4" s="29"/>
      <c r="L4" s="29"/>
      <c r="M4" s="29"/>
      <c r="N4" s="16"/>
      <c r="O4" s="16"/>
    </row>
    <row r="5" spans="1:15" s="1" customFormat="1">
      <c r="A5" s="778" t="s">
        <v>104</v>
      </c>
      <c r="B5" s="778"/>
      <c r="C5" s="780">
        <f ca="1">'FR PD 001 V1'!B70</f>
        <v>44777</v>
      </c>
      <c r="D5" s="780"/>
      <c r="E5" s="780"/>
      <c r="F5" s="780"/>
      <c r="G5" s="780"/>
      <c r="H5" s="30"/>
      <c r="I5" s="16"/>
      <c r="J5" s="17"/>
      <c r="K5" s="17"/>
      <c r="L5" s="17"/>
    </row>
    <row r="6" spans="1:15" s="1" customFormat="1" ht="17.25" customHeight="1">
      <c r="A6" s="778" t="s">
        <v>105</v>
      </c>
      <c r="B6" s="778"/>
      <c r="C6" s="780"/>
      <c r="D6" s="780"/>
      <c r="E6" s="780"/>
      <c r="F6" s="780"/>
      <c r="G6" s="780"/>
      <c r="H6" s="31"/>
      <c r="I6" s="30"/>
      <c r="L6" s="30"/>
      <c r="M6" s="30"/>
      <c r="N6" s="30"/>
      <c r="O6" s="30"/>
    </row>
    <row r="7" spans="1:15" s="1" customFormat="1" ht="12.75">
      <c r="A7" s="32"/>
      <c r="C7" s="32"/>
      <c r="D7" s="16"/>
      <c r="E7" s="16"/>
      <c r="F7" s="16"/>
      <c r="G7" s="25"/>
      <c r="H7" s="25"/>
      <c r="I7" s="26"/>
      <c r="J7" s="33"/>
      <c r="K7" s="33"/>
      <c r="L7" s="33"/>
      <c r="M7" s="33"/>
      <c r="N7" s="33"/>
      <c r="O7" s="33"/>
    </row>
    <row r="8" spans="1:15" ht="27.75" customHeight="1">
      <c r="A8" s="34" t="s">
        <v>1</v>
      </c>
      <c r="B8" s="35" t="s">
        <v>109</v>
      </c>
      <c r="C8" s="36" t="s">
        <v>148</v>
      </c>
      <c r="D8" s="34" t="s">
        <v>0</v>
      </c>
      <c r="E8" s="34" t="s">
        <v>149</v>
      </c>
      <c r="F8" s="37" t="s">
        <v>150</v>
      </c>
      <c r="G8" s="34" t="s">
        <v>151</v>
      </c>
      <c r="H8" s="34" t="s">
        <v>152</v>
      </c>
      <c r="I8" s="34" t="s">
        <v>153</v>
      </c>
      <c r="J8" s="781" t="s">
        <v>154</v>
      </c>
      <c r="K8" s="782"/>
      <c r="L8" s="781" t="s">
        <v>155</v>
      </c>
      <c r="M8" s="782"/>
      <c r="N8" s="781" t="s">
        <v>156</v>
      </c>
      <c r="O8" s="782"/>
    </row>
    <row r="9" spans="1:15">
      <c r="A9" s="61">
        <f>'FR PD 001 V1'!A6</f>
        <v>0</v>
      </c>
      <c r="B9" s="6">
        <f>'FR PD 001 V1'!G6</f>
        <v>0</v>
      </c>
      <c r="C9" s="7">
        <f>'FR PD 001 V1'!H6</f>
        <v>0</v>
      </c>
      <c r="D9" s="7" t="e">
        <f>VLOOKUP(C9,ESTANDAR!$B$3:$D$98,2,0)</f>
        <v>#N/A</v>
      </c>
      <c r="E9" s="5">
        <f>'FR PD 001 V1'!K6</f>
        <v>0</v>
      </c>
      <c r="F9" s="7"/>
      <c r="G9" s="39"/>
      <c r="H9" s="40"/>
      <c r="I9" s="5"/>
      <c r="J9" s="14">
        <f>+E9</f>
        <v>0</v>
      </c>
      <c r="K9" s="41"/>
      <c r="L9" s="41"/>
      <c r="M9" s="38"/>
      <c r="N9" s="38"/>
      <c r="O9" s="41"/>
    </row>
    <row r="10" spans="1:15">
      <c r="A10" s="61" t="str">
        <f>'FR PD 001 V1'!A7</f>
        <v/>
      </c>
      <c r="B10" s="6">
        <f>'FR PD 001 V1'!G7</f>
        <v>0</v>
      </c>
      <c r="C10" s="7" t="e">
        <f>'FR PD 001 V1'!#REF!</f>
        <v>#REF!</v>
      </c>
      <c r="D10" s="7" t="e">
        <f>VLOOKUP(C10,ESTANDAR!$B$3:$D$98,2,0)</f>
        <v>#REF!</v>
      </c>
      <c r="E10" s="5">
        <f>'FR PD 001 V1'!K7</f>
        <v>0</v>
      </c>
      <c r="F10" s="7"/>
      <c r="G10" s="39"/>
      <c r="H10" s="40"/>
      <c r="I10" s="5"/>
      <c r="J10" s="14">
        <f t="shared" ref="J10:J57" si="0">+E10</f>
        <v>0</v>
      </c>
      <c r="K10" s="41"/>
      <c r="L10" s="41"/>
      <c r="M10" s="38"/>
      <c r="N10" s="38"/>
      <c r="O10" s="41"/>
    </row>
    <row r="11" spans="1:15">
      <c r="A11" s="61" t="str">
        <f>'FR PD 001 V1'!A8</f>
        <v/>
      </c>
      <c r="B11" s="6">
        <f>'FR PD 001 V1'!G8</f>
        <v>0</v>
      </c>
      <c r="C11" s="7">
        <f>'FR PD 001 V1'!H7</f>
        <v>0</v>
      </c>
      <c r="D11" s="7" t="e">
        <f>VLOOKUP(C11,ESTANDAR!$B$3:$D$98,2,0)</f>
        <v>#N/A</v>
      </c>
      <c r="E11" s="5">
        <f>'FR PD 001 V1'!K8</f>
        <v>0</v>
      </c>
      <c r="F11" s="7"/>
      <c r="G11" s="39"/>
      <c r="H11" s="40"/>
      <c r="I11" s="5"/>
      <c r="J11" s="14">
        <f t="shared" si="0"/>
        <v>0</v>
      </c>
      <c r="K11" s="41"/>
      <c r="L11" s="41"/>
      <c r="M11" s="38"/>
      <c r="N11" s="38"/>
      <c r="O11" s="41"/>
    </row>
    <row r="12" spans="1:15">
      <c r="A12" s="61" t="e">
        <f>'FR PD 001 V1'!#REF!</f>
        <v>#REF!</v>
      </c>
      <c r="B12" s="6" t="e">
        <f>'FR PD 001 V1'!#REF!</f>
        <v>#REF!</v>
      </c>
      <c r="C12" s="7" t="e">
        <f>'FR PD 001 V1'!#REF!</f>
        <v>#REF!</v>
      </c>
      <c r="D12" s="7" t="e">
        <f>VLOOKUP(C12,ESTANDAR!$B$3:$D$98,2,0)</f>
        <v>#REF!</v>
      </c>
      <c r="E12" s="5" t="e">
        <f>'FR PD 001 V1'!#REF!</f>
        <v>#REF!</v>
      </c>
      <c r="F12" s="7"/>
      <c r="G12" s="39"/>
      <c r="H12" s="40"/>
      <c r="I12" s="5"/>
      <c r="J12" s="14" t="e">
        <f t="shared" si="0"/>
        <v>#REF!</v>
      </c>
      <c r="K12" s="41"/>
      <c r="L12" s="41"/>
      <c r="M12" s="38"/>
      <c r="N12" s="38"/>
      <c r="O12" s="41"/>
    </row>
    <row r="13" spans="1:15">
      <c r="A13" s="61" t="e">
        <f>'FR PD 001 V1'!#REF!</f>
        <v>#REF!</v>
      </c>
      <c r="B13" s="6" t="e">
        <f>'FR PD 001 V1'!#REF!</f>
        <v>#REF!</v>
      </c>
      <c r="C13" s="7" t="e">
        <f>'FR PD 001 V1'!#REF!</f>
        <v>#REF!</v>
      </c>
      <c r="D13" s="7" t="e">
        <f>VLOOKUP(C13,ESTANDAR!$B$3:$D$98,2,0)</f>
        <v>#REF!</v>
      </c>
      <c r="E13" s="5" t="e">
        <f>'FR PD 001 V1'!#REF!</f>
        <v>#REF!</v>
      </c>
      <c r="F13" s="7"/>
      <c r="G13" s="39"/>
      <c r="H13" s="40"/>
      <c r="I13" s="5"/>
      <c r="J13" s="14" t="e">
        <f t="shared" si="0"/>
        <v>#REF!</v>
      </c>
      <c r="K13" s="41"/>
      <c r="L13" s="41"/>
      <c r="M13" s="38"/>
      <c r="N13" s="38"/>
      <c r="O13" s="41"/>
    </row>
    <row r="14" spans="1:15">
      <c r="A14" s="61" t="e">
        <f>'FR PD 001 V1'!#REF!</f>
        <v>#REF!</v>
      </c>
      <c r="B14" s="6" t="e">
        <f>'FR PD 001 V1'!#REF!</f>
        <v>#REF!</v>
      </c>
      <c r="C14" s="7" t="e">
        <f>'FR PD 001 V1'!#REF!</f>
        <v>#REF!</v>
      </c>
      <c r="D14" s="7" t="e">
        <f>VLOOKUP(C14,ESTANDAR!$B$3:$D$98,2,0)</f>
        <v>#REF!</v>
      </c>
      <c r="E14" s="5" t="e">
        <f>'FR PD 001 V1'!#REF!</f>
        <v>#REF!</v>
      </c>
      <c r="F14" s="7"/>
      <c r="G14" s="39"/>
      <c r="H14" s="40"/>
      <c r="I14" s="5"/>
      <c r="J14" s="14" t="e">
        <f t="shared" si="0"/>
        <v>#REF!</v>
      </c>
      <c r="K14" s="41"/>
      <c r="L14" s="41"/>
      <c r="M14" s="38"/>
      <c r="N14" s="38"/>
      <c r="O14" s="41"/>
    </row>
    <row r="15" spans="1:15">
      <c r="A15" s="61" t="e">
        <f>'FR PD 001 V1'!#REF!</f>
        <v>#REF!</v>
      </c>
      <c r="B15" s="6" t="e">
        <f>'FR PD 001 V1'!#REF!</f>
        <v>#REF!</v>
      </c>
      <c r="C15" s="7" t="e">
        <f>'FR PD 001 V1'!#REF!</f>
        <v>#REF!</v>
      </c>
      <c r="D15" s="7" t="e">
        <f>VLOOKUP(C15,ESTANDAR!$B$3:$D$98,2,0)</f>
        <v>#REF!</v>
      </c>
      <c r="E15" s="5" t="e">
        <f>'FR PD 001 V1'!#REF!</f>
        <v>#REF!</v>
      </c>
      <c r="F15" s="7"/>
      <c r="G15" s="39"/>
      <c r="H15" s="40"/>
      <c r="I15" s="5"/>
      <c r="J15" s="14" t="e">
        <f t="shared" si="0"/>
        <v>#REF!</v>
      </c>
      <c r="K15" s="41"/>
      <c r="L15" s="41"/>
      <c r="M15" s="38"/>
      <c r="N15" s="38"/>
      <c r="O15" s="41"/>
    </row>
    <row r="16" spans="1:15">
      <c r="A16" s="61" t="e">
        <f>'FR PD 001 V1'!#REF!</f>
        <v>#REF!</v>
      </c>
      <c r="B16" s="6" t="e">
        <f>'FR PD 001 V1'!#REF!</f>
        <v>#REF!</v>
      </c>
      <c r="C16" s="7" t="e">
        <f>'FR PD 001 V1'!#REF!</f>
        <v>#REF!</v>
      </c>
      <c r="D16" s="7" t="e">
        <f>VLOOKUP(C16,ESTANDAR!$B$3:$D$98,2,0)</f>
        <v>#REF!</v>
      </c>
      <c r="E16" s="5" t="e">
        <f>'FR PD 001 V1'!#REF!</f>
        <v>#REF!</v>
      </c>
      <c r="F16" s="7"/>
      <c r="G16" s="39"/>
      <c r="H16" s="40"/>
      <c r="I16" s="5"/>
      <c r="J16" s="14" t="e">
        <f t="shared" si="0"/>
        <v>#REF!</v>
      </c>
      <c r="K16" s="41"/>
      <c r="L16" s="41"/>
      <c r="M16" s="38"/>
      <c r="N16" s="38"/>
      <c r="O16" s="41"/>
    </row>
    <row r="17" spans="1:15">
      <c r="A17" s="61" t="e">
        <f>'FR PD 001 V1'!#REF!</f>
        <v>#REF!</v>
      </c>
      <c r="B17" s="6">
        <f>'FR PD 001 V1'!G9</f>
        <v>0</v>
      </c>
      <c r="C17" s="7">
        <f>'FR PD 001 V1'!H9</f>
        <v>0</v>
      </c>
      <c r="D17" s="7" t="e">
        <f>VLOOKUP(C17,ESTANDAR!$B$3:$D$98,2,0)</f>
        <v>#N/A</v>
      </c>
      <c r="E17" s="5">
        <f>'FR PD 001 V1'!K9</f>
        <v>0</v>
      </c>
      <c r="F17" s="7"/>
      <c r="G17" s="39"/>
      <c r="H17" s="40"/>
      <c r="I17" s="5"/>
      <c r="J17" s="14">
        <f t="shared" si="0"/>
        <v>0</v>
      </c>
      <c r="K17" s="41"/>
      <c r="L17" s="41"/>
      <c r="M17" s="38"/>
      <c r="N17" s="38"/>
      <c r="O17" s="41"/>
    </row>
    <row r="18" spans="1:15">
      <c r="A18" s="61" t="e">
        <f>'FR PD 001 V1'!#REF!</f>
        <v>#REF!</v>
      </c>
      <c r="B18" s="6">
        <f>'FR PD 001 V1'!G10</f>
        <v>0</v>
      </c>
      <c r="C18" s="7">
        <f>'FR PD 001 V1'!H10</f>
        <v>0</v>
      </c>
      <c r="D18" s="7" t="e">
        <f>VLOOKUP(C18,ESTANDAR!$B$3:$D$98,2,0)</f>
        <v>#N/A</v>
      </c>
      <c r="E18" s="5">
        <f>'FR PD 001 V1'!K10</f>
        <v>0</v>
      </c>
      <c r="F18" s="7"/>
      <c r="G18" s="39"/>
      <c r="H18" s="40"/>
      <c r="I18" s="5"/>
      <c r="J18" s="14">
        <f t="shared" si="0"/>
        <v>0</v>
      </c>
      <c r="K18" s="41"/>
      <c r="L18" s="41"/>
      <c r="M18" s="38"/>
      <c r="N18" s="38"/>
      <c r="O18" s="41"/>
    </row>
    <row r="19" spans="1:15">
      <c r="A19" s="61" t="e">
        <f>'FR PD 001 V1'!#REF!</f>
        <v>#REF!</v>
      </c>
      <c r="B19" s="6">
        <f>'FR PD 001 V1'!G11</f>
        <v>0</v>
      </c>
      <c r="C19" s="7">
        <f>'FR PD 001 V1'!H11</f>
        <v>0</v>
      </c>
      <c r="D19" s="7" t="e">
        <f>VLOOKUP(C19,ESTANDAR!$B$3:$D$98,2,0)</f>
        <v>#N/A</v>
      </c>
      <c r="E19" s="5">
        <f>'FR PD 001 V1'!K11</f>
        <v>0</v>
      </c>
      <c r="F19" s="7"/>
      <c r="G19" s="39"/>
      <c r="H19" s="40"/>
      <c r="I19" s="5"/>
      <c r="J19" s="14">
        <f t="shared" si="0"/>
        <v>0</v>
      </c>
      <c r="K19" s="41"/>
      <c r="L19" s="41"/>
      <c r="M19" s="38"/>
      <c r="N19" s="38"/>
      <c r="O19" s="41"/>
    </row>
    <row r="20" spans="1:15">
      <c r="A20" s="61" t="e">
        <f>'FR PD 001 V1'!#REF!</f>
        <v>#REF!</v>
      </c>
      <c r="B20" s="6">
        <f>'FR PD 001 V1'!G12</f>
        <v>0</v>
      </c>
      <c r="C20" s="7">
        <f>'FR PD 001 V1'!H12</f>
        <v>0</v>
      </c>
      <c r="D20" s="7" t="e">
        <f>VLOOKUP(C20,ESTANDAR!$B$3:$D$98,2,0)</f>
        <v>#N/A</v>
      </c>
      <c r="E20" s="5">
        <f>'FR PD 001 V1'!K12</f>
        <v>0</v>
      </c>
      <c r="F20" s="7"/>
      <c r="G20" s="39"/>
      <c r="H20" s="40"/>
      <c r="I20" s="5"/>
      <c r="J20" s="14">
        <f t="shared" si="0"/>
        <v>0</v>
      </c>
      <c r="K20" s="41"/>
      <c r="L20" s="41"/>
      <c r="M20" s="38"/>
      <c r="N20" s="38"/>
      <c r="O20" s="41"/>
    </row>
    <row r="21" spans="1:15">
      <c r="A21" s="61" t="e">
        <f>'FR PD 001 V1'!#REF!</f>
        <v>#REF!</v>
      </c>
      <c r="B21" s="6">
        <f>'FR PD 001 V1'!G13</f>
        <v>0</v>
      </c>
      <c r="C21" s="7">
        <f>'FR PD 001 V1'!H13</f>
        <v>0</v>
      </c>
      <c r="D21" s="7" t="e">
        <f>VLOOKUP(C21,ESTANDAR!$B$3:$D$98,2,0)</f>
        <v>#N/A</v>
      </c>
      <c r="E21" s="5">
        <f>'FR PD 001 V1'!K13</f>
        <v>0</v>
      </c>
      <c r="F21" s="7"/>
      <c r="G21" s="39"/>
      <c r="H21" s="40"/>
      <c r="I21" s="5"/>
      <c r="J21" s="14">
        <f t="shared" si="0"/>
        <v>0</v>
      </c>
      <c r="K21" s="41"/>
      <c r="L21" s="41"/>
      <c r="M21" s="38"/>
      <c r="N21" s="38"/>
      <c r="O21" s="41"/>
    </row>
    <row r="22" spans="1:15">
      <c r="A22" s="61" t="e">
        <f>'FR PD 001 V1'!#REF!</f>
        <v>#REF!</v>
      </c>
      <c r="B22" s="6">
        <f>'FR PD 001 V1'!G14</f>
        <v>0</v>
      </c>
      <c r="C22" s="7">
        <f>'FR PD 001 V1'!H14</f>
        <v>0</v>
      </c>
      <c r="D22" s="7" t="e">
        <f>VLOOKUP(C22,ESTANDAR!$B$3:$D$98,2,0)</f>
        <v>#N/A</v>
      </c>
      <c r="E22" s="5">
        <f>'FR PD 001 V1'!K14</f>
        <v>0</v>
      </c>
      <c r="F22" s="7"/>
      <c r="G22" s="39"/>
      <c r="H22" s="40"/>
      <c r="I22" s="5"/>
      <c r="J22" s="14">
        <f t="shared" si="0"/>
        <v>0</v>
      </c>
      <c r="K22" s="41"/>
      <c r="L22" s="41"/>
      <c r="M22" s="38"/>
      <c r="N22" s="38"/>
      <c r="O22" s="41"/>
    </row>
    <row r="23" spans="1:15">
      <c r="A23" s="61" t="e">
        <f>'FR PD 001 V1'!#REF!</f>
        <v>#REF!</v>
      </c>
      <c r="B23" s="6">
        <f>'FR PD 001 V1'!G15</f>
        <v>0</v>
      </c>
      <c r="C23" s="7">
        <f>'FR PD 001 V1'!H15</f>
        <v>0</v>
      </c>
      <c r="D23" s="7" t="e">
        <f>VLOOKUP(C23,ESTANDAR!$B$3:$D$98,2,0)</f>
        <v>#N/A</v>
      </c>
      <c r="E23" s="5">
        <f>'FR PD 001 V1'!K15</f>
        <v>0</v>
      </c>
      <c r="F23" s="7"/>
      <c r="G23" s="39"/>
      <c r="H23" s="40"/>
      <c r="I23" s="5"/>
      <c r="J23" s="14">
        <f t="shared" si="0"/>
        <v>0</v>
      </c>
      <c r="K23" s="41"/>
      <c r="L23" s="41"/>
      <c r="M23" s="38"/>
      <c r="N23" s="38"/>
      <c r="O23" s="41"/>
    </row>
    <row r="24" spans="1:15">
      <c r="A24" s="61" t="str">
        <f>'FR PD 001 V1'!A16</f>
        <v/>
      </c>
      <c r="B24" s="6">
        <f>'FR PD 001 V1'!G16</f>
        <v>0</v>
      </c>
      <c r="C24" s="7">
        <f>'FR PD 001 V1'!H16</f>
        <v>0</v>
      </c>
      <c r="D24" s="7" t="e">
        <f>VLOOKUP(C24,ESTANDAR!$B$3:$D$98,2,0)</f>
        <v>#N/A</v>
      </c>
      <c r="E24" s="5">
        <f>'FR PD 001 V1'!K16</f>
        <v>0</v>
      </c>
      <c r="F24" s="7"/>
      <c r="G24" s="39"/>
      <c r="H24" s="40"/>
      <c r="I24" s="5"/>
      <c r="J24" s="14">
        <f t="shared" si="0"/>
        <v>0</v>
      </c>
      <c r="K24" s="41"/>
      <c r="L24" s="41"/>
      <c r="M24" s="38"/>
      <c r="N24" s="38"/>
      <c r="O24" s="41"/>
    </row>
    <row r="25" spans="1:15">
      <c r="A25" s="61" t="str">
        <f>'FR PD 001 V1'!A17</f>
        <v/>
      </c>
      <c r="B25" s="6">
        <f>'FR PD 001 V1'!G17</f>
        <v>0</v>
      </c>
      <c r="C25" s="7">
        <f>'FR PD 001 V1'!H17</f>
        <v>0</v>
      </c>
      <c r="D25" s="7" t="e">
        <f>VLOOKUP(C25,ESTANDAR!$B$3:$D$98,2,0)</f>
        <v>#N/A</v>
      </c>
      <c r="E25" s="5">
        <f>'FR PD 001 V1'!K17</f>
        <v>0</v>
      </c>
      <c r="F25" s="18"/>
      <c r="G25" s="42"/>
      <c r="H25" s="43"/>
      <c r="I25" s="20"/>
      <c r="J25" s="14">
        <f t="shared" si="0"/>
        <v>0</v>
      </c>
      <c r="K25" s="41"/>
      <c r="L25" s="41"/>
      <c r="M25" s="38"/>
      <c r="N25" s="38"/>
      <c r="O25" s="41"/>
    </row>
    <row r="26" spans="1:15">
      <c r="A26" s="61" t="str">
        <f>'FR PD 001 V1'!A18</f>
        <v/>
      </c>
      <c r="B26" s="6">
        <f>'FR PD 001 V1'!G18</f>
        <v>0</v>
      </c>
      <c r="C26" s="7">
        <f>'FR PD 001 V1'!H18</f>
        <v>0</v>
      </c>
      <c r="D26" s="7" t="e">
        <f>VLOOKUP(C26,ESTANDAR!$B$3:$D$98,2,0)</f>
        <v>#N/A</v>
      </c>
      <c r="E26" s="5">
        <f>'FR PD 001 V1'!K18</f>
        <v>0</v>
      </c>
      <c r="F26" s="18"/>
      <c r="G26" s="42"/>
      <c r="H26" s="43"/>
      <c r="I26" s="20"/>
      <c r="J26" s="14">
        <f t="shared" si="0"/>
        <v>0</v>
      </c>
      <c r="K26" s="41"/>
      <c r="L26" s="41"/>
      <c r="M26" s="38"/>
      <c r="N26" s="38"/>
      <c r="O26" s="41"/>
    </row>
    <row r="27" spans="1:15">
      <c r="A27" s="61" t="str">
        <f>'FR PD 001 V1'!A19</f>
        <v/>
      </c>
      <c r="B27" s="6">
        <f>'FR PD 001 V1'!G19</f>
        <v>0</v>
      </c>
      <c r="C27" s="7">
        <f>'FR PD 001 V1'!H19</f>
        <v>0</v>
      </c>
      <c r="D27" s="7" t="e">
        <f>VLOOKUP(C27,ESTANDAR!$B$3:$D$98,2,0)</f>
        <v>#N/A</v>
      </c>
      <c r="E27" s="5">
        <f>'FR PD 001 V1'!K19</f>
        <v>0</v>
      </c>
      <c r="F27" s="18"/>
      <c r="G27" s="42"/>
      <c r="H27" s="43"/>
      <c r="I27" s="20"/>
      <c r="J27" s="14">
        <f t="shared" si="0"/>
        <v>0</v>
      </c>
      <c r="K27" s="41"/>
      <c r="L27" s="41"/>
      <c r="M27" s="38"/>
      <c r="N27" s="38"/>
      <c r="O27" s="41"/>
    </row>
    <row r="28" spans="1:15">
      <c r="A28" s="61" t="str">
        <f>'FR PD 001 V1'!A20</f>
        <v/>
      </c>
      <c r="B28" s="6">
        <f>'FR PD 001 V1'!G20</f>
        <v>0</v>
      </c>
      <c r="C28" s="7">
        <f>'FR PD 001 V1'!H20</f>
        <v>0</v>
      </c>
      <c r="D28" s="7" t="e">
        <f>VLOOKUP(C28,ESTANDAR!$B$3:$D$98,2,0)</f>
        <v>#N/A</v>
      </c>
      <c r="E28" s="5">
        <f>'FR PD 001 V1'!K20</f>
        <v>0</v>
      </c>
      <c r="F28" s="18"/>
      <c r="G28" s="42"/>
      <c r="H28" s="43"/>
      <c r="I28" s="20"/>
      <c r="J28" s="14">
        <f t="shared" si="0"/>
        <v>0</v>
      </c>
      <c r="K28" s="41"/>
      <c r="L28" s="41"/>
      <c r="M28" s="38"/>
      <c r="N28" s="38"/>
      <c r="O28" s="41"/>
    </row>
    <row r="29" spans="1:15">
      <c r="A29" s="61" t="str">
        <f>'FR PD 001 V1'!A21</f>
        <v/>
      </c>
      <c r="B29" s="6">
        <f>'FR PD 001 V1'!G21</f>
        <v>0</v>
      </c>
      <c r="C29" s="7">
        <f>'FR PD 001 V1'!H21</f>
        <v>0</v>
      </c>
      <c r="D29" s="7" t="e">
        <f>VLOOKUP(C29,ESTANDAR!$B$3:$D$98,2,0)</f>
        <v>#N/A</v>
      </c>
      <c r="E29" s="5">
        <f>'FR PD 001 V1'!K21</f>
        <v>0</v>
      </c>
      <c r="F29" s="18"/>
      <c r="G29" s="42"/>
      <c r="H29" s="43"/>
      <c r="I29" s="20"/>
      <c r="J29" s="14">
        <f t="shared" si="0"/>
        <v>0</v>
      </c>
      <c r="K29" s="41"/>
      <c r="L29" s="41"/>
      <c r="M29" s="38"/>
      <c r="N29" s="38"/>
      <c r="O29" s="41"/>
    </row>
    <row r="30" spans="1:15">
      <c r="A30" s="61" t="str">
        <f>'FR PD 001 V1'!A22</f>
        <v/>
      </c>
      <c r="B30" s="6">
        <f>'FR PD 001 V1'!G22</f>
        <v>0</v>
      </c>
      <c r="C30" s="7">
        <f>'FR PD 001 V1'!H22</f>
        <v>0</v>
      </c>
      <c r="D30" s="7" t="e">
        <f>VLOOKUP(C30,ESTANDAR!$B$3:$D$98,2,0)</f>
        <v>#N/A</v>
      </c>
      <c r="E30" s="5">
        <f>'FR PD 001 V1'!K22</f>
        <v>0</v>
      </c>
      <c r="F30" s="18"/>
      <c r="G30" s="42"/>
      <c r="H30" s="43"/>
      <c r="I30" s="20"/>
      <c r="J30" s="14">
        <f t="shared" si="0"/>
        <v>0</v>
      </c>
      <c r="K30" s="41"/>
      <c r="L30" s="41"/>
      <c r="M30" s="38"/>
      <c r="N30" s="38"/>
      <c r="O30" s="41"/>
    </row>
    <row r="31" spans="1:15">
      <c r="A31" s="61" t="str">
        <f>'FR PD 001 V1'!A23</f>
        <v/>
      </c>
      <c r="B31" s="6">
        <f>'FR PD 001 V1'!G23</f>
        <v>0</v>
      </c>
      <c r="C31" s="7">
        <f>'FR PD 001 V1'!H23</f>
        <v>0</v>
      </c>
      <c r="D31" s="7" t="e">
        <f>VLOOKUP(C31,ESTANDAR!$B$3:$D$98,2,0)</f>
        <v>#N/A</v>
      </c>
      <c r="E31" s="5">
        <f>'FR PD 001 V1'!K23</f>
        <v>0</v>
      </c>
      <c r="F31" s="18"/>
      <c r="G31" s="42"/>
      <c r="H31" s="43"/>
      <c r="I31" s="20"/>
      <c r="J31" s="14">
        <f t="shared" si="0"/>
        <v>0</v>
      </c>
      <c r="K31" s="41"/>
      <c r="L31" s="41"/>
      <c r="M31" s="38"/>
      <c r="N31" s="38"/>
      <c r="O31" s="41"/>
    </row>
    <row r="32" spans="1:15">
      <c r="A32" s="61" t="str">
        <f>'FR PD 001 V1'!A24</f>
        <v/>
      </c>
      <c r="B32" s="6">
        <f>'FR PD 001 V1'!G24</f>
        <v>0</v>
      </c>
      <c r="C32" s="7">
        <f>'FR PD 001 V1'!H24</f>
        <v>0</v>
      </c>
      <c r="D32" s="7" t="e">
        <f>VLOOKUP(C32,ESTANDAR!$B$3:$D$98,2,0)</f>
        <v>#N/A</v>
      </c>
      <c r="E32" s="5">
        <f>'FR PD 001 V1'!K24</f>
        <v>0</v>
      </c>
      <c r="F32" s="18"/>
      <c r="G32" s="42"/>
      <c r="H32" s="43"/>
      <c r="I32" s="20"/>
      <c r="J32" s="14">
        <f t="shared" si="0"/>
        <v>0</v>
      </c>
      <c r="K32" s="41"/>
      <c r="L32" s="41"/>
      <c r="M32" s="38"/>
      <c r="N32" s="38"/>
      <c r="O32" s="41"/>
    </row>
    <row r="33" spans="1:15" ht="17.25" customHeight="1">
      <c r="A33" s="61" t="str">
        <f>'FR PD 001 V1'!A25</f>
        <v/>
      </c>
      <c r="B33" s="6">
        <f>'FR PD 001 V1'!G25</f>
        <v>0</v>
      </c>
      <c r="C33" s="7">
        <f>'FR PD 001 V1'!H25</f>
        <v>0</v>
      </c>
      <c r="D33" s="7" t="e">
        <f>VLOOKUP(C33,ESTANDAR!$B$3:$D$98,2,0)</f>
        <v>#N/A</v>
      </c>
      <c r="E33" s="5">
        <f>'FR PD 001 V1'!K25</f>
        <v>0</v>
      </c>
      <c r="F33" s="18"/>
      <c r="G33" s="42"/>
      <c r="H33" s="43"/>
      <c r="I33" s="20"/>
      <c r="J33" s="14">
        <f t="shared" si="0"/>
        <v>0</v>
      </c>
      <c r="K33" s="41"/>
      <c r="L33" s="41"/>
      <c r="M33" s="38"/>
      <c r="N33" s="38"/>
      <c r="O33" s="41"/>
    </row>
    <row r="34" spans="1:15">
      <c r="A34" s="61" t="str">
        <f>'FR PD 001 V1'!A26</f>
        <v/>
      </c>
      <c r="B34" s="6">
        <f>'FR PD 001 V1'!G26</f>
        <v>0</v>
      </c>
      <c r="C34" s="7">
        <f>'FR PD 001 V1'!H26</f>
        <v>0</v>
      </c>
      <c r="D34" s="7" t="e">
        <f>VLOOKUP(C34,ESTANDAR!$B$3:$D$98,2,0)</f>
        <v>#N/A</v>
      </c>
      <c r="E34" s="5">
        <f>'FR PD 001 V1'!K26</f>
        <v>0</v>
      </c>
      <c r="F34" s="18"/>
      <c r="G34" s="42"/>
      <c r="H34" s="43"/>
      <c r="I34" s="20"/>
      <c r="J34" s="14">
        <f t="shared" si="0"/>
        <v>0</v>
      </c>
      <c r="K34" s="41"/>
      <c r="L34" s="41"/>
      <c r="M34" s="38"/>
      <c r="N34" s="38"/>
      <c r="O34" s="41"/>
    </row>
    <row r="35" spans="1:15">
      <c r="A35" s="61" t="str">
        <f>'FR PD 001 V1'!A27</f>
        <v/>
      </c>
      <c r="B35" s="6">
        <f>'FR PD 001 V1'!G27</f>
        <v>0</v>
      </c>
      <c r="C35" s="7">
        <f>'FR PD 001 V1'!H27</f>
        <v>0</v>
      </c>
      <c r="D35" s="7" t="e">
        <f>VLOOKUP(C35,ESTANDAR!$B$3:$D$98,2,0)</f>
        <v>#N/A</v>
      </c>
      <c r="E35" s="5">
        <f>'FR PD 001 V1'!K27</f>
        <v>0</v>
      </c>
      <c r="F35" s="18"/>
      <c r="G35" s="42"/>
      <c r="H35" s="43"/>
      <c r="I35" s="20"/>
      <c r="J35" s="14">
        <f t="shared" si="0"/>
        <v>0</v>
      </c>
      <c r="K35" s="41"/>
      <c r="L35" s="41"/>
      <c r="M35" s="38"/>
      <c r="N35" s="38"/>
      <c r="O35" s="41"/>
    </row>
    <row r="36" spans="1:15">
      <c r="A36" s="61" t="str">
        <f>'FR PD 001 V1'!A28</f>
        <v/>
      </c>
      <c r="B36" s="6">
        <f>'FR PD 001 V1'!G28</f>
        <v>0</v>
      </c>
      <c r="C36" s="7">
        <f>'FR PD 001 V1'!H28</f>
        <v>0</v>
      </c>
      <c r="D36" s="7" t="e">
        <f>VLOOKUP(C36,ESTANDAR!$B$3:$D$98,2,0)</f>
        <v>#N/A</v>
      </c>
      <c r="E36" s="5">
        <f>'FR PD 001 V1'!K28</f>
        <v>0</v>
      </c>
      <c r="F36" s="18"/>
      <c r="G36" s="42"/>
      <c r="H36" s="43"/>
      <c r="I36" s="20"/>
      <c r="J36" s="14">
        <f t="shared" si="0"/>
        <v>0</v>
      </c>
      <c r="K36" s="41"/>
      <c r="L36" s="41"/>
      <c r="M36" s="38"/>
      <c r="N36" s="38"/>
      <c r="O36" s="41"/>
    </row>
    <row r="37" spans="1:15">
      <c r="A37" s="61" t="str">
        <f>'FR PD 001 V1'!A29</f>
        <v/>
      </c>
      <c r="B37" s="6">
        <f>'FR PD 001 V1'!G29</f>
        <v>0</v>
      </c>
      <c r="C37" s="7">
        <f>'FR PD 001 V1'!H29</f>
        <v>0</v>
      </c>
      <c r="D37" s="7" t="e">
        <f>VLOOKUP(C37,ESTANDAR!$B$3:$D$98,2,0)</f>
        <v>#N/A</v>
      </c>
      <c r="E37" s="5">
        <f>'FR PD 001 V1'!K29</f>
        <v>0</v>
      </c>
      <c r="F37" s="18"/>
      <c r="G37" s="42"/>
      <c r="H37" s="43"/>
      <c r="I37" s="20"/>
      <c r="J37" s="14">
        <f t="shared" si="0"/>
        <v>0</v>
      </c>
      <c r="K37" s="41"/>
      <c r="L37" s="41"/>
      <c r="M37" s="38"/>
      <c r="N37" s="38"/>
      <c r="O37" s="41"/>
    </row>
    <row r="38" spans="1:15">
      <c r="A38" s="61" t="str">
        <f>'FR PD 001 V1'!A30</f>
        <v/>
      </c>
      <c r="B38" s="6">
        <f>'FR PD 001 V1'!G30</f>
        <v>0</v>
      </c>
      <c r="C38" s="7">
        <f>'FR PD 001 V1'!H30</f>
        <v>0</v>
      </c>
      <c r="D38" s="7" t="e">
        <f>VLOOKUP(C38,ESTANDAR!$B$3:$D$98,2,0)</f>
        <v>#N/A</v>
      </c>
      <c r="E38" s="5">
        <f>'FR PD 001 V1'!K30</f>
        <v>0</v>
      </c>
      <c r="F38" s="18"/>
      <c r="G38" s="42"/>
      <c r="H38" s="43"/>
      <c r="I38" s="20"/>
      <c r="J38" s="14">
        <f t="shared" si="0"/>
        <v>0</v>
      </c>
      <c r="K38" s="41"/>
      <c r="L38" s="41"/>
      <c r="M38" s="38"/>
      <c r="N38" s="38"/>
      <c r="O38" s="41"/>
    </row>
    <row r="39" spans="1:15">
      <c r="A39" s="61" t="str">
        <f>'FR PD 001 V1'!A31</f>
        <v/>
      </c>
      <c r="B39" s="6">
        <f>'FR PD 001 V1'!G31</f>
        <v>0</v>
      </c>
      <c r="C39" s="7">
        <f>'FR PD 001 V1'!H31</f>
        <v>0</v>
      </c>
      <c r="D39" s="7" t="e">
        <f>VLOOKUP(C39,ESTANDAR!$B$3:$D$98,2,0)</f>
        <v>#N/A</v>
      </c>
      <c r="E39" s="5">
        <f>'FR PD 001 V1'!K31</f>
        <v>0</v>
      </c>
      <c r="F39" s="18"/>
      <c r="G39" s="42"/>
      <c r="H39" s="43"/>
      <c r="I39" s="20"/>
      <c r="J39" s="14">
        <f t="shared" si="0"/>
        <v>0</v>
      </c>
      <c r="K39" s="41"/>
      <c r="L39" s="41"/>
      <c r="M39" s="38"/>
      <c r="N39" s="38"/>
      <c r="O39" s="41"/>
    </row>
    <row r="40" spans="1:15">
      <c r="A40" s="61" t="str">
        <f>'FR PD 001 V1'!A32</f>
        <v/>
      </c>
      <c r="B40" s="6">
        <f>'FR PD 001 V1'!G32</f>
        <v>0</v>
      </c>
      <c r="C40" s="7">
        <f>'FR PD 001 V1'!H32</f>
        <v>0</v>
      </c>
      <c r="D40" s="7" t="e">
        <f>VLOOKUP(C40,ESTANDAR!$B$3:$D$98,2,0)</f>
        <v>#N/A</v>
      </c>
      <c r="E40" s="5">
        <f>'FR PD 001 V1'!K32</f>
        <v>0</v>
      </c>
      <c r="F40" s="18"/>
      <c r="G40" s="42"/>
      <c r="H40" s="43"/>
      <c r="I40" s="20"/>
      <c r="J40" s="14">
        <f t="shared" si="0"/>
        <v>0</v>
      </c>
      <c r="K40" s="41"/>
      <c r="L40" s="41"/>
      <c r="M40" s="38"/>
      <c r="N40" s="38"/>
      <c r="O40" s="41"/>
    </row>
    <row r="41" spans="1:15">
      <c r="A41" s="61" t="str">
        <f>'FR PD 001 V1'!A33</f>
        <v/>
      </c>
      <c r="B41" s="6">
        <f>'FR PD 001 V1'!G33</f>
        <v>0</v>
      </c>
      <c r="C41" s="7">
        <f>'FR PD 001 V1'!H33</f>
        <v>0</v>
      </c>
      <c r="D41" s="7" t="e">
        <f>VLOOKUP(C41,ESTANDAR!$B$3:$D$98,2,0)</f>
        <v>#N/A</v>
      </c>
      <c r="E41" s="5">
        <f>'FR PD 001 V1'!K33</f>
        <v>0</v>
      </c>
      <c r="F41" s="18"/>
      <c r="G41" s="42"/>
      <c r="H41" s="43"/>
      <c r="I41" s="20"/>
      <c r="J41" s="14">
        <f t="shared" si="0"/>
        <v>0</v>
      </c>
      <c r="K41" s="41"/>
      <c r="L41" s="41"/>
      <c r="M41" s="38"/>
      <c r="N41" s="38"/>
      <c r="O41" s="41"/>
    </row>
    <row r="42" spans="1:15">
      <c r="A42" s="61" t="str">
        <f>'FR PD 001 V1'!A34</f>
        <v/>
      </c>
      <c r="B42" s="6">
        <f>'FR PD 001 V1'!G34</f>
        <v>0</v>
      </c>
      <c r="C42" s="7">
        <f>'FR PD 001 V1'!H34</f>
        <v>0</v>
      </c>
      <c r="D42" s="7" t="e">
        <f>VLOOKUP(C42,ESTANDAR!$B$3:$D$98,2,0)</f>
        <v>#N/A</v>
      </c>
      <c r="E42" s="5">
        <f>'FR PD 001 V1'!K34</f>
        <v>0</v>
      </c>
      <c r="F42" s="18"/>
      <c r="G42" s="42"/>
      <c r="H42" s="43"/>
      <c r="I42" s="20"/>
      <c r="J42" s="14">
        <f t="shared" si="0"/>
        <v>0</v>
      </c>
      <c r="K42" s="41"/>
      <c r="L42" s="41"/>
      <c r="M42" s="38"/>
      <c r="N42" s="38"/>
      <c r="O42" s="41"/>
    </row>
    <row r="43" spans="1:15">
      <c r="A43" s="61" t="str">
        <f>'FR PD 001 V1'!A35</f>
        <v/>
      </c>
      <c r="B43" s="6">
        <f>'FR PD 001 V1'!G35</f>
        <v>0</v>
      </c>
      <c r="C43" s="7">
        <f>'FR PD 001 V1'!H35</f>
        <v>0</v>
      </c>
      <c r="D43" s="7" t="e">
        <f>VLOOKUP(C43,ESTANDAR!$B$3:$D$98,2,0)</f>
        <v>#N/A</v>
      </c>
      <c r="E43" s="5">
        <f>'FR PD 001 V1'!K35</f>
        <v>0</v>
      </c>
      <c r="F43" s="18"/>
      <c r="G43" s="42"/>
      <c r="H43" s="43"/>
      <c r="I43" s="20"/>
      <c r="J43" s="14">
        <f t="shared" si="0"/>
        <v>0</v>
      </c>
      <c r="K43" s="41"/>
      <c r="L43" s="41"/>
      <c r="M43" s="38"/>
      <c r="N43" s="38"/>
      <c r="O43" s="41"/>
    </row>
    <row r="44" spans="1:15">
      <c r="A44" s="61" t="str">
        <f>'FR PD 001 V1'!A36</f>
        <v/>
      </c>
      <c r="B44" s="6">
        <f>'FR PD 001 V1'!G36</f>
        <v>0</v>
      </c>
      <c r="C44" s="7">
        <f>'FR PD 001 V1'!H36</f>
        <v>0</v>
      </c>
      <c r="D44" s="7" t="e">
        <f>VLOOKUP(C44,ESTANDAR!$B$3:$D$98,2,0)</f>
        <v>#N/A</v>
      </c>
      <c r="E44" s="5">
        <f>'FR PD 001 V1'!K36</f>
        <v>0</v>
      </c>
      <c r="F44" s="18"/>
      <c r="G44" s="42"/>
      <c r="H44" s="43"/>
      <c r="I44" s="20"/>
      <c r="J44" s="14">
        <f t="shared" si="0"/>
        <v>0</v>
      </c>
      <c r="K44" s="41"/>
      <c r="L44" s="41"/>
      <c r="M44" s="38"/>
      <c r="N44" s="38"/>
      <c r="O44" s="41"/>
    </row>
    <row r="45" spans="1:15">
      <c r="A45" s="61" t="str">
        <f>'FR PD 001 V1'!A37</f>
        <v/>
      </c>
      <c r="B45" s="6">
        <f>'FR PD 001 V1'!G37</f>
        <v>0</v>
      </c>
      <c r="C45" s="7">
        <f>'FR PD 001 V1'!H37</f>
        <v>0</v>
      </c>
      <c r="D45" s="7" t="e">
        <f>VLOOKUP(C45,ESTANDAR!$B$3:$D$98,2,0)</f>
        <v>#N/A</v>
      </c>
      <c r="E45" s="5">
        <f>'FR PD 001 V1'!K37</f>
        <v>0</v>
      </c>
      <c r="F45" s="18"/>
      <c r="G45" s="42"/>
      <c r="H45" s="43"/>
      <c r="I45" s="20"/>
      <c r="J45" s="14">
        <f t="shared" si="0"/>
        <v>0</v>
      </c>
      <c r="K45" s="41"/>
      <c r="L45" s="41"/>
      <c r="M45" s="38"/>
      <c r="N45" s="38"/>
      <c r="O45" s="41"/>
    </row>
    <row r="46" spans="1:15">
      <c r="A46" s="61" t="str">
        <f>'FR PD 001 V1'!A38</f>
        <v/>
      </c>
      <c r="B46" s="6">
        <f>'FR PD 001 V1'!G38</f>
        <v>0</v>
      </c>
      <c r="C46" s="7">
        <f>'FR PD 001 V1'!H38</f>
        <v>0</v>
      </c>
      <c r="D46" s="7" t="e">
        <f>VLOOKUP(C46,ESTANDAR!$B$3:$D$98,2,0)</f>
        <v>#N/A</v>
      </c>
      <c r="E46" s="5">
        <f>'FR PD 001 V1'!K38</f>
        <v>0</v>
      </c>
      <c r="F46" s="18"/>
      <c r="G46" s="42"/>
      <c r="H46" s="43"/>
      <c r="I46" s="20"/>
      <c r="J46" s="14">
        <f t="shared" si="0"/>
        <v>0</v>
      </c>
      <c r="K46" s="41"/>
      <c r="L46" s="41"/>
      <c r="M46" s="38"/>
      <c r="N46" s="38"/>
      <c r="O46" s="41"/>
    </row>
    <row r="47" spans="1:15">
      <c r="A47" s="61" t="str">
        <f>'FR PD 001 V1'!A39</f>
        <v/>
      </c>
      <c r="B47" s="6">
        <f>'FR PD 001 V1'!G39</f>
        <v>0</v>
      </c>
      <c r="C47" s="7">
        <f>'FR PD 001 V1'!H39</f>
        <v>0</v>
      </c>
      <c r="D47" s="7" t="e">
        <f>VLOOKUP(C47,ESTANDAR!$B$3:$D$98,2,0)</f>
        <v>#N/A</v>
      </c>
      <c r="E47" s="5">
        <f>'FR PD 001 V1'!K39</f>
        <v>0</v>
      </c>
      <c r="F47" s="18"/>
      <c r="G47" s="42"/>
      <c r="H47" s="43"/>
      <c r="I47" s="20"/>
      <c r="J47" s="14">
        <f t="shared" si="0"/>
        <v>0</v>
      </c>
      <c r="K47" s="41"/>
      <c r="L47" s="41"/>
      <c r="M47" s="38"/>
      <c r="N47" s="38"/>
      <c r="O47" s="41"/>
    </row>
    <row r="48" spans="1:15">
      <c r="A48" s="61" t="str">
        <f>'FR PD 001 V1'!A40</f>
        <v/>
      </c>
      <c r="B48" s="6">
        <f>'FR PD 001 V1'!G40</f>
        <v>0</v>
      </c>
      <c r="C48" s="7">
        <f>'FR PD 001 V1'!H40</f>
        <v>0</v>
      </c>
      <c r="D48" s="7" t="e">
        <f>VLOOKUP(C48,ESTANDAR!$B$3:$D$98,2,0)</f>
        <v>#N/A</v>
      </c>
      <c r="E48" s="5">
        <f>'FR PD 001 V1'!K40</f>
        <v>0</v>
      </c>
      <c r="F48" s="18"/>
      <c r="G48" s="42"/>
      <c r="H48" s="43"/>
      <c r="I48" s="20"/>
      <c r="J48" s="14">
        <f t="shared" si="0"/>
        <v>0</v>
      </c>
      <c r="K48" s="41"/>
      <c r="L48" s="41"/>
      <c r="M48" s="38"/>
      <c r="N48" s="38"/>
      <c r="O48" s="41"/>
    </row>
    <row r="49" spans="1:15">
      <c r="A49" s="61" t="str">
        <f>'FR PD 001 V1'!A41</f>
        <v/>
      </c>
      <c r="B49" s="6">
        <f>'FR PD 001 V1'!G41</f>
        <v>0</v>
      </c>
      <c r="C49" s="7">
        <f>'FR PD 001 V1'!H41</f>
        <v>0</v>
      </c>
      <c r="D49" s="7" t="e">
        <f>VLOOKUP(C49,ESTANDAR!$B$3:$D$98,2,0)</f>
        <v>#N/A</v>
      </c>
      <c r="E49" s="5">
        <f>'FR PD 001 V1'!K41</f>
        <v>0</v>
      </c>
      <c r="F49" s="18"/>
      <c r="G49" s="42"/>
      <c r="H49" s="43"/>
      <c r="I49" s="20"/>
      <c r="J49" s="14">
        <f t="shared" si="0"/>
        <v>0</v>
      </c>
      <c r="K49" s="41"/>
      <c r="L49" s="41"/>
      <c r="M49" s="38"/>
      <c r="N49" s="38"/>
      <c r="O49" s="41"/>
    </row>
    <row r="50" spans="1:15">
      <c r="A50" s="61" t="str">
        <f>'FR PD 001 V1'!A42</f>
        <v/>
      </c>
      <c r="B50" s="6">
        <f>'FR PD 001 V1'!G42</f>
        <v>0</v>
      </c>
      <c r="C50" s="7">
        <f>'FR PD 001 V1'!H42</f>
        <v>0</v>
      </c>
      <c r="D50" s="7" t="e">
        <f>VLOOKUP(C50,ESTANDAR!$B$3:$D$98,2,0)</f>
        <v>#N/A</v>
      </c>
      <c r="E50" s="5">
        <f>'FR PD 001 V1'!K42</f>
        <v>0</v>
      </c>
      <c r="F50" s="18"/>
      <c r="G50" s="42"/>
      <c r="H50" s="43"/>
      <c r="I50" s="20"/>
      <c r="J50" s="14">
        <f t="shared" si="0"/>
        <v>0</v>
      </c>
      <c r="K50" s="41"/>
      <c r="L50" s="41"/>
      <c r="M50" s="38"/>
      <c r="N50" s="38"/>
      <c r="O50" s="41"/>
    </row>
    <row r="51" spans="1:15">
      <c r="A51" s="61" t="str">
        <f>'FR PD 001 V1'!A43</f>
        <v/>
      </c>
      <c r="B51" s="6">
        <f>'FR PD 001 V1'!G43</f>
        <v>0</v>
      </c>
      <c r="C51" s="7">
        <f>'FR PD 001 V1'!H43</f>
        <v>0</v>
      </c>
      <c r="D51" s="7" t="e">
        <f>VLOOKUP(C51,ESTANDAR!$B$3:$D$98,2,0)</f>
        <v>#N/A</v>
      </c>
      <c r="E51" s="5">
        <f>'FR PD 001 V1'!K43</f>
        <v>0</v>
      </c>
      <c r="F51" s="18"/>
      <c r="G51" s="42"/>
      <c r="H51" s="43"/>
      <c r="I51" s="20"/>
      <c r="J51" s="14">
        <f t="shared" si="0"/>
        <v>0</v>
      </c>
      <c r="K51" s="41"/>
      <c r="L51" s="41"/>
      <c r="M51" s="38"/>
      <c r="N51" s="38"/>
      <c r="O51" s="41"/>
    </row>
    <row r="52" spans="1:15">
      <c r="A52" s="61" t="str">
        <f>'FR PD 001 V1'!A44</f>
        <v/>
      </c>
      <c r="B52" s="6">
        <f>'FR PD 001 V1'!G44</f>
        <v>0</v>
      </c>
      <c r="C52" s="7">
        <f>'FR PD 001 V1'!H44</f>
        <v>0</v>
      </c>
      <c r="D52" s="7" t="e">
        <f>VLOOKUP(C52,ESTANDAR!$B$3:$D$98,2,0)</f>
        <v>#N/A</v>
      </c>
      <c r="E52" s="5">
        <f>'FR PD 001 V1'!K44</f>
        <v>0</v>
      </c>
      <c r="F52" s="18"/>
      <c r="G52" s="42"/>
      <c r="H52" s="43"/>
      <c r="I52" s="20"/>
      <c r="J52" s="14">
        <f t="shared" si="0"/>
        <v>0</v>
      </c>
      <c r="K52" s="41"/>
      <c r="L52" s="41"/>
      <c r="M52" s="38"/>
      <c r="N52" s="38"/>
      <c r="O52" s="41"/>
    </row>
    <row r="53" spans="1:15">
      <c r="A53" s="61" t="str">
        <f>'FR PD 001 V1'!A45</f>
        <v/>
      </c>
      <c r="B53" s="6">
        <f>'FR PD 001 V1'!G45</f>
        <v>0</v>
      </c>
      <c r="C53" s="7">
        <f>'FR PD 001 V1'!H45</f>
        <v>0</v>
      </c>
      <c r="D53" s="7" t="e">
        <f>VLOOKUP(C53,ESTANDAR!$B$3:$D$98,2,0)</f>
        <v>#N/A</v>
      </c>
      <c r="E53" s="5">
        <f>'FR PD 001 V1'!K45</f>
        <v>0</v>
      </c>
      <c r="F53" s="18"/>
      <c r="G53" s="42"/>
      <c r="H53" s="43"/>
      <c r="I53" s="20"/>
      <c r="J53" s="14">
        <f t="shared" si="0"/>
        <v>0</v>
      </c>
      <c r="K53" s="41"/>
      <c r="L53" s="41"/>
      <c r="M53" s="38"/>
      <c r="N53" s="38"/>
      <c r="O53" s="41"/>
    </row>
    <row r="54" spans="1:15">
      <c r="A54" s="61" t="str">
        <f>'FR PD 001 V1'!A46</f>
        <v/>
      </c>
      <c r="B54" s="6">
        <f>'FR PD 001 V1'!G46</f>
        <v>0</v>
      </c>
      <c r="C54" s="7">
        <f>'FR PD 001 V1'!H46</f>
        <v>0</v>
      </c>
      <c r="D54" s="7" t="e">
        <f>VLOOKUP(C54,ESTANDAR!$B$3:$D$98,2,0)</f>
        <v>#N/A</v>
      </c>
      <c r="E54" s="5">
        <f>'FR PD 001 V1'!K46</f>
        <v>0</v>
      </c>
      <c r="F54" s="18"/>
      <c r="G54" s="42"/>
      <c r="H54" s="43"/>
      <c r="I54" s="20"/>
      <c r="J54" s="14">
        <f t="shared" si="0"/>
        <v>0</v>
      </c>
      <c r="K54" s="41"/>
      <c r="L54" s="41"/>
      <c r="M54" s="38"/>
      <c r="N54" s="38"/>
      <c r="O54" s="41"/>
    </row>
    <row r="55" spans="1:15">
      <c r="A55" s="61" t="str">
        <f>'FR PD 001 V1'!A47</f>
        <v/>
      </c>
      <c r="B55" s="6">
        <f>'FR PD 001 V1'!G47</f>
        <v>0</v>
      </c>
      <c r="C55" s="7">
        <f>'FR PD 001 V1'!H47</f>
        <v>0</v>
      </c>
      <c r="D55" s="7" t="e">
        <f>VLOOKUP(C55,ESTANDAR!$B$3:$D$98,2,0)</f>
        <v>#N/A</v>
      </c>
      <c r="E55" s="5">
        <f>'FR PD 001 V1'!K47</f>
        <v>0</v>
      </c>
      <c r="F55" s="18"/>
      <c r="G55" s="42"/>
      <c r="H55" s="43"/>
      <c r="I55" s="20"/>
      <c r="J55" s="14">
        <f t="shared" si="0"/>
        <v>0</v>
      </c>
      <c r="K55" s="41"/>
      <c r="L55" s="41"/>
      <c r="M55" s="38"/>
      <c r="N55" s="38"/>
      <c r="O55" s="41"/>
    </row>
    <row r="56" spans="1:15">
      <c r="A56" s="61" t="str">
        <f>'FR PD 001 V1'!A48</f>
        <v/>
      </c>
      <c r="B56" s="6">
        <f>'FR PD 001 V1'!G48</f>
        <v>0</v>
      </c>
      <c r="C56" s="7">
        <f>'FR PD 001 V1'!H48</f>
        <v>0</v>
      </c>
      <c r="D56" s="7" t="e">
        <f>VLOOKUP(C56,ESTANDAR!$B$3:$D$98,2,0)</f>
        <v>#N/A</v>
      </c>
      <c r="E56" s="5">
        <f>'FR PD 001 V1'!K48</f>
        <v>0</v>
      </c>
      <c r="F56" s="18"/>
      <c r="G56" s="42"/>
      <c r="H56" s="43"/>
      <c r="I56" s="20"/>
      <c r="J56" s="14">
        <f t="shared" si="0"/>
        <v>0</v>
      </c>
      <c r="K56" s="41"/>
      <c r="L56" s="41"/>
      <c r="M56" s="38"/>
      <c r="N56" s="38"/>
      <c r="O56" s="41"/>
    </row>
    <row r="57" spans="1:15">
      <c r="A57" s="61" t="str">
        <f>'FR PD 001 V1'!A49</f>
        <v/>
      </c>
      <c r="B57" s="6">
        <f>'FR PD 001 V1'!G49</f>
        <v>0</v>
      </c>
      <c r="C57" s="7">
        <f>'FR PD 001 V1'!H49</f>
        <v>0</v>
      </c>
      <c r="D57" s="7" t="e">
        <f>VLOOKUP(C57,ESTANDAR!$B$3:$D$98,2,0)</f>
        <v>#N/A</v>
      </c>
      <c r="E57" s="5">
        <f>'FR PD 001 V1'!K49</f>
        <v>0</v>
      </c>
      <c r="F57" s="18"/>
      <c r="G57" s="42"/>
      <c r="H57" s="43"/>
      <c r="I57" s="20"/>
      <c r="J57" s="14">
        <f t="shared" si="0"/>
        <v>0</v>
      </c>
      <c r="K57" s="41"/>
      <c r="L57" s="41"/>
      <c r="M57" s="38"/>
      <c r="N57" s="38"/>
      <c r="O57" s="41"/>
    </row>
    <row r="58" spans="1:15">
      <c r="A58" s="60" t="s">
        <v>111</v>
      </c>
      <c r="B58" s="6">
        <v>738</v>
      </c>
      <c r="C58" s="7" t="s">
        <v>112</v>
      </c>
      <c r="D58" s="7" t="s">
        <v>113</v>
      </c>
      <c r="E58" s="5"/>
      <c r="F58" s="18"/>
      <c r="G58" s="42"/>
      <c r="H58" s="43"/>
      <c r="I58" s="20"/>
      <c r="J58" s="14"/>
      <c r="K58" s="41"/>
      <c r="L58" s="41"/>
      <c r="M58" s="38"/>
      <c r="N58" s="38"/>
      <c r="O58" s="41"/>
    </row>
    <row r="59" spans="1:15">
      <c r="A59" s="60" t="s">
        <v>111</v>
      </c>
      <c r="B59" s="6">
        <v>744</v>
      </c>
      <c r="C59" s="7" t="s">
        <v>112</v>
      </c>
      <c r="D59" s="7" t="s">
        <v>114</v>
      </c>
      <c r="E59" s="5"/>
      <c r="F59" s="18"/>
      <c r="G59" s="42"/>
      <c r="H59" s="43"/>
      <c r="I59" s="20"/>
      <c r="J59" s="14"/>
      <c r="K59" s="41"/>
      <c r="L59" s="41"/>
      <c r="M59" s="38"/>
      <c r="N59" s="38"/>
      <c r="O59" s="41"/>
    </row>
    <row r="60" spans="1:15">
      <c r="A60" s="60" t="s">
        <v>111</v>
      </c>
      <c r="B60" s="6">
        <v>33801</v>
      </c>
      <c r="C60" s="7" t="s">
        <v>112</v>
      </c>
      <c r="D60" s="7" t="s">
        <v>115</v>
      </c>
      <c r="E60" s="5"/>
      <c r="F60" s="18"/>
      <c r="G60" s="42"/>
      <c r="H60" s="43"/>
      <c r="I60" s="20"/>
      <c r="J60" s="14"/>
      <c r="K60" s="41"/>
      <c r="L60" s="41"/>
      <c r="M60" s="38"/>
      <c r="N60" s="38"/>
      <c r="O60" s="41"/>
    </row>
    <row r="61" spans="1:15">
      <c r="A61" s="60" t="s">
        <v>111</v>
      </c>
      <c r="B61" s="6">
        <v>33802</v>
      </c>
      <c r="C61" s="7" t="s">
        <v>112</v>
      </c>
      <c r="D61" s="7" t="s">
        <v>116</v>
      </c>
      <c r="E61" s="5"/>
      <c r="F61" s="18"/>
      <c r="G61" s="42"/>
      <c r="H61" s="43"/>
      <c r="I61" s="20"/>
      <c r="J61" s="14"/>
      <c r="K61" s="41"/>
      <c r="L61" s="41"/>
      <c r="M61" s="38"/>
      <c r="N61" s="38"/>
      <c r="O61" s="41"/>
    </row>
    <row r="62" spans="1:15">
      <c r="A62" s="60" t="s">
        <v>111</v>
      </c>
      <c r="B62" s="6">
        <v>33803</v>
      </c>
      <c r="C62" s="7" t="s">
        <v>112</v>
      </c>
      <c r="D62" s="7" t="s">
        <v>126</v>
      </c>
      <c r="E62" s="5"/>
      <c r="F62" s="18"/>
      <c r="G62" s="42"/>
      <c r="H62" s="43"/>
      <c r="I62" s="20"/>
      <c r="J62" s="14"/>
      <c r="K62" s="41"/>
      <c r="L62" s="41"/>
      <c r="M62" s="38"/>
      <c r="N62" s="38"/>
      <c r="O62" s="41"/>
    </row>
    <row r="63" spans="1:15">
      <c r="A63" s="60" t="s">
        <v>111</v>
      </c>
      <c r="B63" s="6">
        <v>752</v>
      </c>
      <c r="C63" s="7" t="s">
        <v>112</v>
      </c>
      <c r="D63" s="7" t="s">
        <v>127</v>
      </c>
      <c r="E63" s="5"/>
      <c r="F63" s="18"/>
      <c r="G63" s="42"/>
      <c r="H63" s="43"/>
      <c r="I63" s="20"/>
      <c r="J63" s="14"/>
      <c r="K63" s="41"/>
      <c r="L63" s="41"/>
      <c r="M63" s="38"/>
      <c r="N63" s="38"/>
      <c r="O63" s="41"/>
    </row>
    <row r="64" spans="1:15">
      <c r="A64" s="60" t="s">
        <v>111</v>
      </c>
      <c r="B64" s="6">
        <v>706</v>
      </c>
      <c r="C64" s="7" t="s">
        <v>128</v>
      </c>
      <c r="D64" s="7" t="s">
        <v>129</v>
      </c>
      <c r="E64" s="5"/>
      <c r="F64" s="18"/>
      <c r="G64" s="42"/>
      <c r="H64" s="43"/>
      <c r="I64" s="20"/>
      <c r="J64" s="14"/>
      <c r="K64" s="41"/>
      <c r="L64" s="41"/>
      <c r="M64" s="38"/>
      <c r="N64" s="38"/>
      <c r="O64" s="41"/>
    </row>
    <row r="65" spans="1:15">
      <c r="A65" s="60" t="s">
        <v>111</v>
      </c>
      <c r="B65" s="6" t="s">
        <v>171</v>
      </c>
      <c r="C65" s="7" t="s">
        <v>172</v>
      </c>
      <c r="D65" s="7" t="s">
        <v>129</v>
      </c>
      <c r="E65" s="5"/>
      <c r="F65" s="18"/>
      <c r="G65" s="42"/>
      <c r="H65" s="43"/>
      <c r="I65" s="20"/>
      <c r="J65" s="14"/>
      <c r="K65" s="41"/>
      <c r="L65" s="41"/>
      <c r="M65" s="38"/>
      <c r="N65" s="38"/>
      <c r="O65" s="41"/>
    </row>
    <row r="66" spans="1:15">
      <c r="A66" s="60" t="s">
        <v>111</v>
      </c>
      <c r="B66" s="6">
        <v>4143</v>
      </c>
      <c r="C66" s="7" t="s">
        <v>131</v>
      </c>
      <c r="D66" s="7" t="s">
        <v>132</v>
      </c>
      <c r="E66" s="5"/>
      <c r="F66" s="18"/>
      <c r="G66" s="42"/>
      <c r="H66" s="43"/>
      <c r="I66" s="20"/>
      <c r="J66" s="14"/>
      <c r="K66" s="41"/>
      <c r="L66" s="41"/>
      <c r="M66" s="38"/>
      <c r="N66" s="38"/>
      <c r="O66" s="41"/>
    </row>
    <row r="67" spans="1:15">
      <c r="A67" s="60" t="s">
        <v>111</v>
      </c>
      <c r="B67" s="6">
        <v>4142</v>
      </c>
      <c r="C67" s="7" t="s">
        <v>131</v>
      </c>
      <c r="D67" s="7" t="s">
        <v>133</v>
      </c>
      <c r="E67" s="5"/>
      <c r="F67" s="18"/>
      <c r="G67" s="42"/>
      <c r="H67" s="43"/>
      <c r="I67" s="20"/>
      <c r="J67" s="14"/>
      <c r="K67" s="41"/>
      <c r="L67" s="41"/>
      <c r="M67" s="38"/>
      <c r="N67" s="38"/>
      <c r="O67" s="41"/>
    </row>
    <row r="68" spans="1:15">
      <c r="A68" s="60" t="s">
        <v>111</v>
      </c>
      <c r="B68" s="13">
        <v>468</v>
      </c>
      <c r="C68" s="18" t="s">
        <v>117</v>
      </c>
      <c r="D68" s="18" t="s">
        <v>134</v>
      </c>
      <c r="E68" s="5"/>
      <c r="F68" s="18"/>
      <c r="G68" s="42"/>
      <c r="H68" s="43"/>
      <c r="I68" s="20"/>
      <c r="J68" s="14"/>
      <c r="K68" s="41"/>
      <c r="L68" s="41"/>
      <c r="M68" s="38"/>
      <c r="N68" s="38"/>
      <c r="O68" s="41"/>
    </row>
    <row r="69" spans="1:15">
      <c r="A69" s="60" t="s">
        <v>111</v>
      </c>
      <c r="B69" s="13">
        <v>1167</v>
      </c>
      <c r="C69" s="18" t="s">
        <v>118</v>
      </c>
      <c r="D69" s="18" t="s">
        <v>129</v>
      </c>
      <c r="E69" s="5"/>
      <c r="F69" s="18"/>
      <c r="G69" s="42"/>
      <c r="H69" s="43"/>
      <c r="I69" s="20"/>
      <c r="J69" s="14"/>
      <c r="K69" s="41"/>
      <c r="L69" s="41"/>
      <c r="M69" s="38"/>
      <c r="N69" s="38"/>
      <c r="O69" s="41"/>
    </row>
    <row r="70" spans="1:15">
      <c r="A70" s="60" t="s">
        <v>111</v>
      </c>
      <c r="B70" s="13">
        <v>4102</v>
      </c>
      <c r="C70" s="18" t="s">
        <v>119</v>
      </c>
      <c r="D70" s="18" t="s">
        <v>129</v>
      </c>
      <c r="E70" s="18"/>
      <c r="F70" s="18"/>
      <c r="G70" s="42"/>
      <c r="H70" s="43"/>
      <c r="I70" s="20"/>
      <c r="J70" s="14"/>
      <c r="K70" s="41"/>
      <c r="L70" s="41"/>
      <c r="M70" s="38"/>
      <c r="N70" s="38"/>
      <c r="O70" s="41"/>
    </row>
    <row r="71" spans="1:15">
      <c r="A71" s="38"/>
      <c r="B71" s="6"/>
      <c r="C71" s="7"/>
      <c r="D71" s="7"/>
      <c r="E71" s="7"/>
      <c r="F71" s="7"/>
      <c r="G71" s="7"/>
      <c r="H71" s="40"/>
      <c r="I71" s="5"/>
      <c r="J71" s="44"/>
      <c r="K71" s="45"/>
      <c r="L71" s="45"/>
      <c r="M71" s="46"/>
      <c r="N71" s="46"/>
      <c r="O71" s="47"/>
    </row>
    <row r="72" spans="1:15">
      <c r="A72" s="48"/>
      <c r="B72" s="49"/>
      <c r="C72" s="50"/>
      <c r="D72" s="50"/>
      <c r="E72" s="50"/>
      <c r="F72" s="51"/>
      <c r="G72" s="50"/>
      <c r="H72" s="52"/>
      <c r="I72" s="51"/>
      <c r="J72" s="53"/>
      <c r="K72" s="54"/>
      <c r="L72" s="55"/>
      <c r="M72" s="55"/>
      <c r="N72" s="54"/>
      <c r="O72" s="56"/>
    </row>
    <row r="73" spans="1:15">
      <c r="A73" s="767" t="s">
        <v>120</v>
      </c>
      <c r="B73" s="768"/>
      <c r="C73" s="773"/>
      <c r="D73" s="774"/>
      <c r="E73" s="774"/>
      <c r="F73" s="774"/>
      <c r="G73" s="774"/>
      <c r="H73" s="774"/>
      <c r="I73" s="774"/>
      <c r="J73" s="774"/>
      <c r="K73" s="774"/>
      <c r="L73" s="774"/>
      <c r="M73" s="774"/>
      <c r="N73" s="774"/>
      <c r="O73" s="775"/>
    </row>
    <row r="74" spans="1:15">
      <c r="A74" s="767" t="s">
        <v>121</v>
      </c>
      <c r="B74" s="768"/>
      <c r="C74" s="769"/>
      <c r="D74" s="770"/>
      <c r="E74" s="770"/>
      <c r="F74" s="770"/>
      <c r="G74" s="770"/>
      <c r="H74" s="770"/>
      <c r="I74" s="770"/>
      <c r="J74" s="770"/>
      <c r="K74" s="770"/>
      <c r="L74" s="770"/>
      <c r="M74" s="770"/>
      <c r="N74" s="770"/>
      <c r="O74" s="771"/>
    </row>
    <row r="75" spans="1:15">
      <c r="A75" s="767" t="s">
        <v>122</v>
      </c>
      <c r="B75" s="768"/>
      <c r="C75" s="769"/>
      <c r="D75" s="770"/>
      <c r="E75" s="770"/>
      <c r="F75" s="770"/>
      <c r="G75" s="770"/>
      <c r="H75" s="770"/>
      <c r="I75" s="770"/>
      <c r="J75" s="770"/>
      <c r="K75" s="770"/>
      <c r="L75" s="770"/>
      <c r="M75" s="770"/>
      <c r="N75" s="770"/>
      <c r="O75" s="771"/>
    </row>
    <row r="76" spans="1:1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1:15">
      <c r="A77" s="772" t="s">
        <v>150</v>
      </c>
      <c r="B77" s="772"/>
      <c r="F77" s="772" t="s">
        <v>26</v>
      </c>
      <c r="G77" s="772"/>
      <c r="H77" s="27" t="s">
        <v>157</v>
      </c>
    </row>
    <row r="78" spans="1:15">
      <c r="A78" s="6" t="s">
        <v>28</v>
      </c>
      <c r="B78" s="7" t="s">
        <v>158</v>
      </c>
      <c r="F78" s="57" t="s">
        <v>159</v>
      </c>
      <c r="G78" s="3" t="s">
        <v>160</v>
      </c>
      <c r="H78" s="4" t="s">
        <v>161</v>
      </c>
    </row>
    <row r="79" spans="1:15">
      <c r="A79" s="5" t="s">
        <v>145</v>
      </c>
      <c r="B79" s="7" t="s">
        <v>151</v>
      </c>
      <c r="F79" s="57" t="s">
        <v>162</v>
      </c>
      <c r="G79" s="3" t="s">
        <v>158</v>
      </c>
      <c r="H79" s="4" t="s">
        <v>163</v>
      </c>
    </row>
    <row r="80" spans="1:15">
      <c r="A80" s="58" t="s">
        <v>164</v>
      </c>
      <c r="B80" s="59" t="s">
        <v>165</v>
      </c>
    </row>
    <row r="81" spans="1:2">
      <c r="A81" s="5" t="s">
        <v>27</v>
      </c>
      <c r="B81" s="7" t="s">
        <v>166</v>
      </c>
    </row>
  </sheetData>
  <mergeCells count="20">
    <mergeCell ref="A73:B73"/>
    <mergeCell ref="C73:O73"/>
    <mergeCell ref="C1:K1"/>
    <mergeCell ref="M1:N1"/>
    <mergeCell ref="A4:B4"/>
    <mergeCell ref="C4:G4"/>
    <mergeCell ref="A5:B5"/>
    <mergeCell ref="C5:G5"/>
    <mergeCell ref="A6:B6"/>
    <mergeCell ref="C6:G6"/>
    <mergeCell ref="J8:K8"/>
    <mergeCell ref="L8:M8"/>
    <mergeCell ref="N8:O8"/>
    <mergeCell ref="A1:B1"/>
    <mergeCell ref="A74:B74"/>
    <mergeCell ref="C74:O74"/>
    <mergeCell ref="A75:B75"/>
    <mergeCell ref="C75:O75"/>
    <mergeCell ref="A77:B77"/>
    <mergeCell ref="F77:G77"/>
  </mergeCells>
  <pageMargins left="0.7" right="0.7" top="0.75" bottom="0.75" header="0.3" footer="0.3"/>
  <pageSetup scale="5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/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A1:G59"/>
  <sheetViews>
    <sheetView view="pageBreakPreview" zoomScale="85" zoomScaleSheetLayoutView="85" workbookViewId="0">
      <selection activeCell="D8" sqref="D8"/>
    </sheetView>
  </sheetViews>
  <sheetFormatPr defaultColWidth="11.42578125" defaultRowHeight="15"/>
  <cols>
    <col min="1" max="1" width="12.7109375" customWidth="1"/>
    <col min="2" max="2" width="27.85546875" customWidth="1"/>
    <col min="3" max="3" width="4.7109375" customWidth="1"/>
    <col min="4" max="4" width="18.7109375" customWidth="1"/>
    <col min="5" max="7" width="14.7109375" customWidth="1"/>
  </cols>
  <sheetData>
    <row r="1" spans="1:7" s="1" customFormat="1" ht="25.5">
      <c r="A1" s="790" t="s">
        <v>167</v>
      </c>
      <c r="B1" s="790"/>
      <c r="C1" s="11"/>
      <c r="D1" s="777" t="s">
        <v>100</v>
      </c>
      <c r="E1" s="777"/>
      <c r="F1" s="777"/>
      <c r="G1" s="12" t="s">
        <v>101</v>
      </c>
    </row>
    <row r="2" spans="1:7" s="1" customFormat="1" ht="12.75"/>
    <row r="3" spans="1:7" s="1" customFormat="1" ht="12.75"/>
    <row r="4" spans="1:7" s="1" customFormat="1" ht="12.75">
      <c r="A4" s="791" t="s">
        <v>102</v>
      </c>
      <c r="B4" s="791"/>
      <c r="C4" s="15"/>
      <c r="D4" s="792" t="s">
        <v>103</v>
      </c>
      <c r="E4" s="792"/>
      <c r="F4" s="792"/>
      <c r="G4" s="792"/>
    </row>
    <row r="5" spans="1:7" s="1" customFormat="1" ht="12.75">
      <c r="A5" s="16" t="s">
        <v>104</v>
      </c>
      <c r="B5" s="793">
        <f ca="1">'FR PD 001 V1'!B70</f>
        <v>44777</v>
      </c>
      <c r="C5" s="793"/>
      <c r="D5" s="793"/>
      <c r="E5" s="16"/>
      <c r="F5" s="17"/>
      <c r="G5" s="17"/>
    </row>
    <row r="6" spans="1:7" s="1" customFormat="1" ht="12.75">
      <c r="A6" s="791" t="s">
        <v>105</v>
      </c>
      <c r="B6" s="791"/>
      <c r="C6" s="15"/>
      <c r="D6" s="793" t="s">
        <v>168</v>
      </c>
      <c r="E6" s="793"/>
      <c r="F6" s="793"/>
      <c r="G6" s="793"/>
    </row>
    <row r="7" spans="1:7" ht="39">
      <c r="A7" s="8" t="s">
        <v>106</v>
      </c>
      <c r="B7" s="794" t="s">
        <v>107</v>
      </c>
      <c r="C7" s="795"/>
      <c r="D7" s="8" t="s">
        <v>0</v>
      </c>
      <c r="E7" s="9" t="s">
        <v>108</v>
      </c>
      <c r="F7" s="10" t="s">
        <v>109</v>
      </c>
      <c r="G7" s="8" t="s">
        <v>110</v>
      </c>
    </row>
    <row r="8" spans="1:7">
      <c r="A8" s="6">
        <f>'FR PD 001 V1'!A6</f>
        <v>0</v>
      </c>
      <c r="B8" s="7">
        <f>'FR PD 001 V1'!H6</f>
        <v>0</v>
      </c>
      <c r="C8" s="7"/>
      <c r="D8" s="5" t="e">
        <f>VLOOKUP(B8,ESTANDAR!$B$3:$D$95,2,0)</f>
        <v>#N/A</v>
      </c>
      <c r="E8" s="5">
        <f>'FR PD 001 V1'!K6</f>
        <v>0</v>
      </c>
      <c r="F8" s="18"/>
      <c r="G8" s="14"/>
    </row>
    <row r="9" spans="1:7">
      <c r="A9" s="6" t="str">
        <f>'FR PD 001 V1'!A7</f>
        <v/>
      </c>
      <c r="B9" s="7" t="e">
        <f>'FR PD 001 V1'!#REF!</f>
        <v>#REF!</v>
      </c>
      <c r="C9" s="7"/>
      <c r="D9" s="5" t="e">
        <f>VLOOKUP(B9,ESTANDAR!$B$3:$D$95,2,0)</f>
        <v>#REF!</v>
      </c>
      <c r="E9" s="5">
        <f>'FR PD 001 V1'!K7</f>
        <v>0</v>
      </c>
      <c r="F9" s="18"/>
      <c r="G9" s="14"/>
    </row>
    <row r="10" spans="1:7">
      <c r="A10" s="6" t="str">
        <f>'FR PD 001 V1'!A8</f>
        <v/>
      </c>
      <c r="B10" s="7">
        <f>'FR PD 001 V1'!H7</f>
        <v>0</v>
      </c>
      <c r="C10" s="7"/>
      <c r="D10" s="5" t="e">
        <f>VLOOKUP(B10,ESTANDAR!$B$3:$D$95,2,0)</f>
        <v>#N/A</v>
      </c>
      <c r="E10" s="5">
        <f>'FR PD 001 V1'!K8</f>
        <v>0</v>
      </c>
      <c r="F10" s="18"/>
      <c r="G10" s="14"/>
    </row>
    <row r="11" spans="1:7">
      <c r="A11" s="6" t="e">
        <f>'FR PD 001 V1'!#REF!</f>
        <v>#REF!</v>
      </c>
      <c r="B11" s="7" t="e">
        <f>'FR PD 001 V1'!#REF!</f>
        <v>#REF!</v>
      </c>
      <c r="C11" s="7"/>
      <c r="D11" s="5" t="e">
        <f>VLOOKUP(B11,ESTANDAR!$B$3:$D$95,2,0)</f>
        <v>#REF!</v>
      </c>
      <c r="E11" s="5" t="e">
        <f>'FR PD 001 V1'!#REF!</f>
        <v>#REF!</v>
      </c>
      <c r="F11" s="18"/>
      <c r="G11" s="14"/>
    </row>
    <row r="12" spans="1:7">
      <c r="A12" s="6" t="e">
        <f>'FR PD 001 V1'!#REF!</f>
        <v>#REF!</v>
      </c>
      <c r="B12" s="7" t="e">
        <f>'FR PD 001 V1'!#REF!</f>
        <v>#REF!</v>
      </c>
      <c r="C12" s="7"/>
      <c r="D12" s="5" t="e">
        <f>VLOOKUP(B12,ESTANDAR!$B$3:$D$95,2,0)</f>
        <v>#REF!</v>
      </c>
      <c r="E12" s="5" t="e">
        <f>'FR PD 001 V1'!#REF!</f>
        <v>#REF!</v>
      </c>
      <c r="F12" s="18"/>
      <c r="G12" s="14"/>
    </row>
    <row r="13" spans="1:7">
      <c r="A13" s="6" t="e">
        <f>'FR PD 001 V1'!#REF!</f>
        <v>#REF!</v>
      </c>
      <c r="B13" s="7" t="e">
        <f>'FR PD 001 V1'!#REF!</f>
        <v>#REF!</v>
      </c>
      <c r="C13" s="7"/>
      <c r="D13" s="5" t="e">
        <f>VLOOKUP(B13,ESTANDAR!$B$3:$D$95,2,0)</f>
        <v>#REF!</v>
      </c>
      <c r="E13" s="5" t="e">
        <f>'FR PD 001 V1'!#REF!</f>
        <v>#REF!</v>
      </c>
      <c r="F13" s="18"/>
      <c r="G13" s="14"/>
    </row>
    <row r="14" spans="1:7">
      <c r="A14" s="6" t="e">
        <f>'FR PD 001 V1'!#REF!</f>
        <v>#REF!</v>
      </c>
      <c r="B14" s="7" t="e">
        <f>'FR PD 001 V1'!#REF!</f>
        <v>#REF!</v>
      </c>
      <c r="C14" s="7"/>
      <c r="D14" s="5" t="e">
        <f>VLOOKUP(B14,ESTANDAR!$B$3:$D$95,2,0)</f>
        <v>#REF!</v>
      </c>
      <c r="E14" s="5" t="e">
        <f>'FR PD 001 V1'!#REF!</f>
        <v>#REF!</v>
      </c>
      <c r="F14" s="18"/>
      <c r="G14" s="14"/>
    </row>
    <row r="15" spans="1:7">
      <c r="A15" s="6" t="e">
        <f>'FR PD 001 V1'!#REF!</f>
        <v>#REF!</v>
      </c>
      <c r="B15" s="7" t="e">
        <f>'FR PD 001 V1'!#REF!</f>
        <v>#REF!</v>
      </c>
      <c r="C15" s="7"/>
      <c r="D15" s="5" t="e">
        <f>VLOOKUP(B15,ESTANDAR!$B$3:$D$95,2,0)</f>
        <v>#REF!</v>
      </c>
      <c r="E15" s="5" t="e">
        <f>'FR PD 001 V1'!#REF!</f>
        <v>#REF!</v>
      </c>
      <c r="F15" s="18"/>
      <c r="G15" s="14"/>
    </row>
    <row r="16" spans="1:7">
      <c r="A16" s="6" t="e">
        <f>'FR PD 001 V1'!#REF!</f>
        <v>#REF!</v>
      </c>
      <c r="B16" s="7">
        <f>'FR PD 001 V1'!H9</f>
        <v>0</v>
      </c>
      <c r="C16" s="7"/>
      <c r="D16" s="5" t="e">
        <f>VLOOKUP(B16,ESTANDAR!$B$3:$D$95,2,0)</f>
        <v>#N/A</v>
      </c>
      <c r="E16" s="5">
        <f>'FR PD 001 V1'!K9</f>
        <v>0</v>
      </c>
      <c r="F16" s="18"/>
      <c r="G16" s="14"/>
    </row>
    <row r="17" spans="1:7">
      <c r="A17" s="6" t="e">
        <f>'FR PD 001 V1'!#REF!</f>
        <v>#REF!</v>
      </c>
      <c r="B17" s="7">
        <f>'FR PD 001 V1'!H10</f>
        <v>0</v>
      </c>
      <c r="C17" s="7"/>
      <c r="D17" s="5" t="e">
        <f>VLOOKUP(B17,ESTANDAR!$B$3:$D$95,2,0)</f>
        <v>#N/A</v>
      </c>
      <c r="E17" s="5">
        <f>'FR PD 001 V1'!K10</f>
        <v>0</v>
      </c>
      <c r="F17" s="18"/>
      <c r="G17" s="14"/>
    </row>
    <row r="18" spans="1:7">
      <c r="A18" s="6" t="e">
        <f>'FR PD 001 V1'!#REF!</f>
        <v>#REF!</v>
      </c>
      <c r="B18" s="7">
        <f>'FR PD 001 V1'!H11</f>
        <v>0</v>
      </c>
      <c r="C18" s="7"/>
      <c r="D18" s="5" t="e">
        <f>VLOOKUP(B18,ESTANDAR!$B$3:$D$95,2,0)</f>
        <v>#N/A</v>
      </c>
      <c r="E18" s="5">
        <f>'FR PD 001 V1'!K11</f>
        <v>0</v>
      </c>
      <c r="F18" s="18"/>
      <c r="G18" s="14"/>
    </row>
    <row r="19" spans="1:7">
      <c r="A19" s="6" t="e">
        <f>'FR PD 001 V1'!#REF!</f>
        <v>#REF!</v>
      </c>
      <c r="B19" s="7">
        <f>'FR PD 001 V1'!H12</f>
        <v>0</v>
      </c>
      <c r="C19" s="7"/>
      <c r="D19" s="5" t="e">
        <f>VLOOKUP(B19,ESTANDAR!$B$3:$D$95,2,0)</f>
        <v>#N/A</v>
      </c>
      <c r="E19" s="5">
        <f>'FR PD 001 V1'!K12</f>
        <v>0</v>
      </c>
      <c r="F19" s="18"/>
      <c r="G19" s="14"/>
    </row>
    <row r="20" spans="1:7">
      <c r="A20" s="6" t="e">
        <f>'FR PD 001 V1'!#REF!</f>
        <v>#REF!</v>
      </c>
      <c r="B20" s="7">
        <f>'FR PD 001 V1'!H13</f>
        <v>0</v>
      </c>
      <c r="C20" s="7"/>
      <c r="D20" s="5" t="e">
        <f>VLOOKUP(B20,ESTANDAR!$B$3:$D$95,2,0)</f>
        <v>#N/A</v>
      </c>
      <c r="E20" s="5">
        <f>'FR PD 001 V1'!K13</f>
        <v>0</v>
      </c>
      <c r="F20" s="18"/>
      <c r="G20" s="14"/>
    </row>
    <row r="21" spans="1:7">
      <c r="A21" s="6" t="e">
        <f>'FR PD 001 V1'!#REF!</f>
        <v>#REF!</v>
      </c>
      <c r="B21" s="7">
        <f>'FR PD 001 V1'!H14</f>
        <v>0</v>
      </c>
      <c r="C21" s="7"/>
      <c r="D21" s="5" t="e">
        <f>VLOOKUP(B21,ESTANDAR!$B$3:$D$95,2,0)</f>
        <v>#N/A</v>
      </c>
      <c r="E21" s="5">
        <f>'FR PD 001 V1'!K14</f>
        <v>0</v>
      </c>
      <c r="F21" s="18"/>
      <c r="G21" s="14"/>
    </row>
    <row r="22" spans="1:7">
      <c r="A22" s="6" t="e">
        <f>'FR PD 001 V1'!#REF!</f>
        <v>#REF!</v>
      </c>
      <c r="B22" s="7">
        <f>'FR PD 001 V1'!H15</f>
        <v>0</v>
      </c>
      <c r="C22" s="7"/>
      <c r="D22" s="5" t="e">
        <f>VLOOKUP(B22,ESTANDAR!$B$3:$D$95,2,0)</f>
        <v>#N/A</v>
      </c>
      <c r="E22" s="5">
        <f>'FR PD 001 V1'!K15</f>
        <v>0</v>
      </c>
      <c r="F22" s="22" t="s">
        <v>137</v>
      </c>
      <c r="G22" s="22">
        <v>17058084</v>
      </c>
    </row>
    <row r="23" spans="1:7">
      <c r="A23" s="6" t="str">
        <f>'FR PD 001 V1'!A16</f>
        <v/>
      </c>
      <c r="B23" s="7">
        <f>'FR PD 001 V1'!H16</f>
        <v>0</v>
      </c>
      <c r="C23" s="7"/>
      <c r="D23" s="5" t="e">
        <f>VLOOKUP(B23,ESTANDAR!$B$3:$D$95,2,0)</f>
        <v>#N/A</v>
      </c>
      <c r="E23" s="5">
        <f>'FR PD 001 V1'!K16</f>
        <v>0</v>
      </c>
      <c r="F23" s="22" t="s">
        <v>137</v>
      </c>
      <c r="G23" s="22">
        <v>17058084</v>
      </c>
    </row>
    <row r="24" spans="1:7">
      <c r="A24" s="6" t="str">
        <f>'FR PD 001 V1'!A17</f>
        <v/>
      </c>
      <c r="B24" s="7">
        <f>'FR PD 001 V1'!H17</f>
        <v>0</v>
      </c>
      <c r="C24" s="7"/>
      <c r="D24" s="5" t="e">
        <f>VLOOKUP(B24,ESTANDAR!$B$3:$D$95,2,0)</f>
        <v>#N/A</v>
      </c>
      <c r="E24" s="5">
        <f>'FR PD 001 V1'!K17</f>
        <v>0</v>
      </c>
      <c r="F24" s="22" t="s">
        <v>137</v>
      </c>
      <c r="G24" s="22">
        <v>17058084</v>
      </c>
    </row>
    <row r="25" spans="1:7">
      <c r="A25" s="6" t="str">
        <f>'FR PD 001 V1'!A18</f>
        <v/>
      </c>
      <c r="B25" s="7">
        <f>'FR PD 001 V1'!H18</f>
        <v>0</v>
      </c>
      <c r="C25" s="7"/>
      <c r="D25" s="5" t="e">
        <f>VLOOKUP(B25,ESTANDAR!$B$3:$D$95,2,0)</f>
        <v>#N/A</v>
      </c>
      <c r="E25" s="5">
        <f>'FR PD 001 V1'!K18</f>
        <v>0</v>
      </c>
      <c r="F25" s="22" t="s">
        <v>141</v>
      </c>
      <c r="G25" s="2">
        <v>20128419</v>
      </c>
    </row>
    <row r="26" spans="1:7">
      <c r="A26" s="6" t="str">
        <f>'FR PD 001 V1'!A19</f>
        <v/>
      </c>
      <c r="B26" s="7">
        <f>'FR PD 001 V1'!H19</f>
        <v>0</v>
      </c>
      <c r="C26" s="7"/>
      <c r="D26" s="5" t="e">
        <f>VLOOKUP(B26,ESTANDAR!$B$3:$D$95,2,0)</f>
        <v>#N/A</v>
      </c>
      <c r="E26" s="5">
        <f>'FR PD 001 V1'!K19</f>
        <v>0</v>
      </c>
      <c r="F26" s="22" t="s">
        <v>141</v>
      </c>
      <c r="G26" s="2">
        <v>20128419</v>
      </c>
    </row>
    <row r="27" spans="1:7">
      <c r="A27" s="6" t="str">
        <f>'FR PD 001 V1'!A20</f>
        <v/>
      </c>
      <c r="B27" s="7">
        <f>'FR PD 001 V1'!H20</f>
        <v>0</v>
      </c>
      <c r="C27" s="7"/>
      <c r="D27" s="5" t="e">
        <f>VLOOKUP(B27,ESTANDAR!$B$3:$D$95,2,0)</f>
        <v>#N/A</v>
      </c>
      <c r="E27" s="5">
        <f>'FR PD 001 V1'!K20</f>
        <v>0</v>
      </c>
      <c r="F27" s="22" t="s">
        <v>142</v>
      </c>
      <c r="G27" s="22">
        <v>20357313</v>
      </c>
    </row>
    <row r="28" spans="1:7">
      <c r="A28" s="6" t="str">
        <f>'FR PD 001 V1'!A21</f>
        <v/>
      </c>
      <c r="B28" s="7">
        <f>'FR PD 001 V1'!H21</f>
        <v>0</v>
      </c>
      <c r="C28" s="7"/>
      <c r="D28" s="5" t="e">
        <f>VLOOKUP(B28,ESTANDAR!$B$3:$D$95,2,0)</f>
        <v>#N/A</v>
      </c>
      <c r="E28" s="5">
        <f>'FR PD 001 V1'!K21</f>
        <v>0</v>
      </c>
      <c r="F28" s="22" t="s">
        <v>142</v>
      </c>
      <c r="G28" s="22">
        <v>20357313</v>
      </c>
    </row>
    <row r="29" spans="1:7">
      <c r="A29" s="6" t="str">
        <f>'FR PD 001 V1'!A22</f>
        <v/>
      </c>
      <c r="B29" s="7">
        <f>'FR PD 001 V1'!H22</f>
        <v>0</v>
      </c>
      <c r="C29" s="7"/>
      <c r="D29" s="5" t="e">
        <f>VLOOKUP(B29,ESTANDAR!$B$3:$D$95,2,0)</f>
        <v>#N/A</v>
      </c>
      <c r="E29" s="5">
        <f>'FR PD 001 V1'!K22</f>
        <v>0</v>
      </c>
      <c r="F29" s="22" t="s">
        <v>142</v>
      </c>
      <c r="G29" s="22">
        <v>20357313</v>
      </c>
    </row>
    <row r="30" spans="1:7">
      <c r="A30" s="6" t="str">
        <f>'FR PD 001 V1'!A23</f>
        <v/>
      </c>
      <c r="B30" s="7">
        <f>'FR PD 001 V1'!H23</f>
        <v>0</v>
      </c>
      <c r="C30" s="7"/>
      <c r="D30" s="5" t="e">
        <f>VLOOKUP(B30,ESTANDAR!$B$3:$D$95,2,0)</f>
        <v>#N/A</v>
      </c>
      <c r="E30" s="5">
        <f>'FR PD 001 V1'!K23</f>
        <v>0</v>
      </c>
      <c r="F30" s="21" t="s">
        <v>143</v>
      </c>
      <c r="G30" s="22">
        <v>41445693</v>
      </c>
    </row>
    <row r="31" spans="1:7">
      <c r="A31" s="6" t="str">
        <f>'FR PD 001 V1'!A24</f>
        <v/>
      </c>
      <c r="B31" s="7">
        <f>'FR PD 001 V1'!H24</f>
        <v>0</v>
      </c>
      <c r="C31" s="7"/>
      <c r="D31" s="5" t="e">
        <f>VLOOKUP(B31,ESTANDAR!$B$3:$D$95,2,0)</f>
        <v>#N/A</v>
      </c>
      <c r="E31" s="5">
        <f>'FR PD 001 V1'!K24</f>
        <v>0</v>
      </c>
      <c r="F31" s="21" t="s">
        <v>143</v>
      </c>
      <c r="G31" s="22">
        <v>41445693</v>
      </c>
    </row>
    <row r="32" spans="1:7">
      <c r="A32" s="6" t="str">
        <f>'FR PD 001 V1'!A25</f>
        <v/>
      </c>
      <c r="B32" s="7">
        <f>'FR PD 001 V1'!H25</f>
        <v>0</v>
      </c>
      <c r="C32" s="7"/>
      <c r="D32" s="5" t="e">
        <f>VLOOKUP(B32,ESTANDAR!$B$3:$D$95,2,0)</f>
        <v>#N/A</v>
      </c>
      <c r="E32" s="5">
        <f>'FR PD 001 V1'!K25</f>
        <v>0</v>
      </c>
      <c r="F32" s="21" t="s">
        <v>144</v>
      </c>
      <c r="G32" s="22">
        <v>1014192685</v>
      </c>
    </row>
    <row r="33" spans="1:7">
      <c r="A33" s="6" t="str">
        <f>'FR PD 001 V1'!A26</f>
        <v/>
      </c>
      <c r="B33" s="7">
        <f>'FR PD 001 V1'!H26</f>
        <v>0</v>
      </c>
      <c r="C33" s="7"/>
      <c r="D33" s="5" t="e">
        <f>VLOOKUP(B33,ESTANDAR!$B$3:$D$95,2,0)</f>
        <v>#N/A</v>
      </c>
      <c r="E33" s="5">
        <f>'FR PD 001 V1'!K26</f>
        <v>0</v>
      </c>
      <c r="F33" s="22" t="s">
        <v>136</v>
      </c>
      <c r="G33" s="22">
        <v>41444917</v>
      </c>
    </row>
    <row r="34" spans="1:7">
      <c r="A34" s="6" t="str">
        <f>'FR PD 001 V1'!A27</f>
        <v/>
      </c>
      <c r="B34" s="7">
        <f>'FR PD 001 V1'!H27</f>
        <v>0</v>
      </c>
      <c r="C34" s="7"/>
      <c r="D34" s="5" t="e">
        <f>VLOOKUP(B34,ESTANDAR!$B$3:$D$95,2,0)</f>
        <v>#N/A</v>
      </c>
      <c r="E34" s="5">
        <f>'FR PD 001 V1'!K27</f>
        <v>0</v>
      </c>
      <c r="F34" s="23" t="s">
        <v>138</v>
      </c>
      <c r="G34" s="23">
        <v>51811083</v>
      </c>
    </row>
    <row r="35" spans="1:7">
      <c r="A35" s="6" t="str">
        <f>'FR PD 001 V1'!A28</f>
        <v/>
      </c>
      <c r="B35" s="7">
        <f>'FR PD 001 V1'!H28</f>
        <v>0</v>
      </c>
      <c r="C35" s="7"/>
      <c r="D35" s="5" t="e">
        <f>VLOOKUP(B35,ESTANDAR!$B$3:$D$95,2,0)</f>
        <v>#N/A</v>
      </c>
      <c r="E35" s="5">
        <f>'FR PD 001 V1'!K28</f>
        <v>0</v>
      </c>
      <c r="F35" s="18"/>
      <c r="G35" s="14"/>
    </row>
    <row r="36" spans="1:7">
      <c r="A36" s="6" t="str">
        <f>'FR PD 001 V1'!A29</f>
        <v/>
      </c>
      <c r="B36" s="7">
        <f>'FR PD 001 V1'!H29</f>
        <v>0</v>
      </c>
      <c r="C36" s="7" t="s">
        <v>27</v>
      </c>
      <c r="D36" s="5" t="e">
        <f>VLOOKUP(B36,ESTANDAR!$B$3:$D$95,2,0)</f>
        <v>#N/A</v>
      </c>
      <c r="E36" s="5">
        <v>1</v>
      </c>
      <c r="F36" s="21" t="s">
        <v>139</v>
      </c>
      <c r="G36" s="21">
        <v>35462385</v>
      </c>
    </row>
    <row r="37" spans="1:7">
      <c r="A37" s="6" t="str">
        <f>'FR PD 001 V1'!A30</f>
        <v/>
      </c>
      <c r="B37" s="7">
        <f>'FR PD 001 V1'!H30</f>
        <v>0</v>
      </c>
      <c r="C37" s="7"/>
      <c r="D37" s="5" t="e">
        <f>VLOOKUP(B37,ESTANDAR!$B$3:$D$95,2,0)</f>
        <v>#N/A</v>
      </c>
      <c r="E37" s="5">
        <v>2</v>
      </c>
      <c r="F37" s="21" t="s">
        <v>139</v>
      </c>
      <c r="G37" s="21">
        <v>35462385</v>
      </c>
    </row>
    <row r="38" spans="1:7">
      <c r="A38" s="6" t="str">
        <f>'FR PD 001 V1'!A31</f>
        <v/>
      </c>
      <c r="B38" s="7">
        <f>'FR PD 001 V1'!H31</f>
        <v>0</v>
      </c>
      <c r="C38" s="7" t="s">
        <v>27</v>
      </c>
      <c r="D38" s="5" t="e">
        <f>VLOOKUP(B38,ESTANDAR!$B$3:$D$95,2,0)</f>
        <v>#N/A</v>
      </c>
      <c r="E38" s="5">
        <v>1</v>
      </c>
      <c r="F38" s="22" t="s">
        <v>140</v>
      </c>
      <c r="G38" s="22">
        <v>17062304</v>
      </c>
    </row>
    <row r="39" spans="1:7">
      <c r="A39" s="6" t="str">
        <f>'FR PD 001 V1'!A32</f>
        <v/>
      </c>
      <c r="B39" s="7">
        <f>'FR PD 001 V1'!H32</f>
        <v>0</v>
      </c>
      <c r="C39" s="7"/>
      <c r="D39" s="5" t="e">
        <f>VLOOKUP(B39,ESTANDAR!$B$3:$D$95,2,0)</f>
        <v>#N/A</v>
      </c>
      <c r="E39" s="5">
        <v>2</v>
      </c>
      <c r="F39" s="22" t="s">
        <v>144</v>
      </c>
      <c r="G39" s="22">
        <v>1014192685</v>
      </c>
    </row>
    <row r="40" spans="1:7">
      <c r="A40" s="6" t="str">
        <f>'FR PD 001 V1'!A33</f>
        <v/>
      </c>
      <c r="B40" s="7">
        <f>'FR PD 001 V1'!H33</f>
        <v>0</v>
      </c>
      <c r="C40" s="7"/>
      <c r="D40" s="5" t="e">
        <f>VLOOKUP(B40,ESTANDAR!$B$3:$D$95,2,0)</f>
        <v>#N/A</v>
      </c>
      <c r="E40" s="5">
        <f>'FR PD 001 V1'!K33</f>
        <v>0</v>
      </c>
      <c r="F40" s="18"/>
      <c r="G40" s="14"/>
    </row>
    <row r="41" spans="1:7">
      <c r="A41" s="13" t="s">
        <v>111</v>
      </c>
      <c r="B41" s="18" t="s">
        <v>112</v>
      </c>
      <c r="C41" s="18"/>
      <c r="D41" s="20" t="s">
        <v>113</v>
      </c>
      <c r="E41" s="20">
        <v>155</v>
      </c>
      <c r="F41" s="18"/>
      <c r="G41" s="14"/>
    </row>
    <row r="42" spans="1:7">
      <c r="A42" s="13" t="s">
        <v>111</v>
      </c>
      <c r="B42" s="18" t="s">
        <v>112</v>
      </c>
      <c r="C42" s="18"/>
      <c r="D42" s="20" t="s">
        <v>114</v>
      </c>
      <c r="E42" s="20">
        <v>96</v>
      </c>
      <c r="F42" s="18"/>
      <c r="G42" s="14"/>
    </row>
    <row r="43" spans="1:7">
      <c r="A43" s="13" t="s">
        <v>111</v>
      </c>
      <c r="B43" s="18" t="s">
        <v>112</v>
      </c>
      <c r="C43" s="18"/>
      <c r="D43" s="20" t="s">
        <v>115</v>
      </c>
      <c r="E43" s="20">
        <v>3</v>
      </c>
      <c r="F43" s="18"/>
      <c r="G43" s="14"/>
    </row>
    <row r="44" spans="1:7">
      <c r="A44" s="13" t="s">
        <v>111</v>
      </c>
      <c r="B44" s="18" t="s">
        <v>112</v>
      </c>
      <c r="C44" s="18"/>
      <c r="D44" s="20" t="s">
        <v>116</v>
      </c>
      <c r="E44" s="20">
        <v>8</v>
      </c>
      <c r="F44" s="18"/>
      <c r="G44" s="14"/>
    </row>
    <row r="45" spans="1:7">
      <c r="A45" s="13" t="s">
        <v>111</v>
      </c>
      <c r="B45" s="18" t="s">
        <v>112</v>
      </c>
      <c r="C45" s="18"/>
      <c r="D45" s="20" t="s">
        <v>126</v>
      </c>
      <c r="E45" s="20">
        <v>2</v>
      </c>
      <c r="F45" s="18"/>
      <c r="G45" s="14"/>
    </row>
    <row r="46" spans="1:7">
      <c r="A46" s="13" t="s">
        <v>111</v>
      </c>
      <c r="B46" s="18" t="s">
        <v>112</v>
      </c>
      <c r="C46" s="18"/>
      <c r="D46" s="20" t="s">
        <v>127</v>
      </c>
      <c r="E46" s="20">
        <v>1</v>
      </c>
      <c r="F46" s="18"/>
      <c r="G46" s="14"/>
    </row>
    <row r="47" spans="1:7">
      <c r="A47" s="13" t="s">
        <v>111</v>
      </c>
      <c r="B47" s="18" t="s">
        <v>128</v>
      </c>
      <c r="C47" s="18"/>
      <c r="D47" s="20" t="s">
        <v>129</v>
      </c>
      <c r="E47" s="20">
        <v>15</v>
      </c>
      <c r="F47" s="18"/>
      <c r="G47" s="14"/>
    </row>
    <row r="48" spans="1:7">
      <c r="A48" s="13" t="s">
        <v>111</v>
      </c>
      <c r="B48" s="18" t="s">
        <v>130</v>
      </c>
      <c r="C48" s="18"/>
      <c r="D48" s="20" t="s">
        <v>129</v>
      </c>
      <c r="E48" s="20">
        <v>5</v>
      </c>
      <c r="F48" s="18"/>
      <c r="G48" s="14"/>
    </row>
    <row r="49" spans="1:7">
      <c r="A49" s="13" t="s">
        <v>111</v>
      </c>
      <c r="B49" s="18" t="s">
        <v>131</v>
      </c>
      <c r="C49" s="18"/>
      <c r="D49" s="20" t="s">
        <v>132</v>
      </c>
      <c r="E49" s="20">
        <v>8</v>
      </c>
      <c r="F49" s="18"/>
      <c r="G49" s="14"/>
    </row>
    <row r="50" spans="1:7">
      <c r="A50" s="13" t="s">
        <v>111</v>
      </c>
      <c r="B50" s="18" t="s">
        <v>131</v>
      </c>
      <c r="C50" s="18"/>
      <c r="D50" s="20" t="s">
        <v>133</v>
      </c>
      <c r="E50" s="20"/>
      <c r="F50" s="18"/>
      <c r="G50" s="14"/>
    </row>
    <row r="51" spans="1:7">
      <c r="A51" s="13" t="s">
        <v>111</v>
      </c>
      <c r="B51" s="18" t="s">
        <v>117</v>
      </c>
      <c r="C51" s="18"/>
      <c r="D51" s="20" t="s">
        <v>134</v>
      </c>
      <c r="E51" s="20">
        <v>1</v>
      </c>
      <c r="F51" s="18"/>
      <c r="G51" s="14"/>
    </row>
    <row r="52" spans="1:7">
      <c r="A52" s="13" t="s">
        <v>111</v>
      </c>
      <c r="B52" s="18" t="s">
        <v>118</v>
      </c>
      <c r="C52" s="18"/>
      <c r="D52" s="20" t="s">
        <v>129</v>
      </c>
      <c r="E52" s="20">
        <v>1</v>
      </c>
      <c r="F52" s="18"/>
      <c r="G52" s="14"/>
    </row>
    <row r="53" spans="1:7">
      <c r="A53" s="13" t="s">
        <v>111</v>
      </c>
      <c r="B53" s="18" t="s">
        <v>119</v>
      </c>
      <c r="C53" s="18"/>
      <c r="D53" s="20" t="s">
        <v>129</v>
      </c>
      <c r="E53" s="20">
        <v>3</v>
      </c>
      <c r="F53" s="18"/>
      <c r="G53" s="14"/>
    </row>
    <row r="54" spans="1:7">
      <c r="A54" s="13"/>
      <c r="B54" s="18"/>
      <c r="C54" s="18"/>
      <c r="D54" s="20"/>
      <c r="E54" s="20"/>
      <c r="F54" s="18"/>
      <c r="G54" s="14"/>
    </row>
    <row r="55" spans="1:7">
      <c r="A55" s="13"/>
      <c r="B55" s="18"/>
      <c r="C55" s="18"/>
      <c r="D55" s="20"/>
      <c r="E55" s="20"/>
      <c r="F55" s="18"/>
      <c r="G55" s="14"/>
    </row>
    <row r="56" spans="1:7">
      <c r="A56" s="19"/>
      <c r="B56" s="19"/>
      <c r="C56" s="19"/>
      <c r="D56" s="19"/>
      <c r="E56" s="19"/>
      <c r="F56" s="19"/>
      <c r="G56" s="19"/>
    </row>
    <row r="57" spans="1:7">
      <c r="A57" s="767" t="s">
        <v>120</v>
      </c>
      <c r="B57" s="796"/>
      <c r="C57" s="768"/>
      <c r="D57" s="797" t="s">
        <v>135</v>
      </c>
      <c r="E57" s="798"/>
      <c r="F57" s="798"/>
      <c r="G57" s="799"/>
    </row>
    <row r="58" spans="1:7">
      <c r="A58" s="784" t="s">
        <v>121</v>
      </c>
      <c r="B58" s="785"/>
      <c r="C58" s="786"/>
      <c r="D58" s="787"/>
      <c r="E58" s="788"/>
      <c r="F58" s="788"/>
      <c r="G58" s="789"/>
    </row>
    <row r="59" spans="1:7">
      <c r="A59" s="784" t="s">
        <v>122</v>
      </c>
      <c r="B59" s="785"/>
      <c r="C59" s="786"/>
      <c r="D59" s="787"/>
      <c r="E59" s="788"/>
      <c r="F59" s="788"/>
      <c r="G59" s="789"/>
    </row>
  </sheetData>
  <mergeCells count="14">
    <mergeCell ref="A59:C59"/>
    <mergeCell ref="D59:G59"/>
    <mergeCell ref="A1:B1"/>
    <mergeCell ref="D1:F1"/>
    <mergeCell ref="A4:B4"/>
    <mergeCell ref="D4:G4"/>
    <mergeCell ref="B5:D5"/>
    <mergeCell ref="A6:B6"/>
    <mergeCell ref="D6:G6"/>
    <mergeCell ref="B7:C7"/>
    <mergeCell ref="A57:C57"/>
    <mergeCell ref="D57:G57"/>
    <mergeCell ref="A58:C58"/>
    <mergeCell ref="D58:G58"/>
  </mergeCells>
  <pageMargins left="0.70866141732283472" right="0.70866141732283472" top="0.74803149606299213" bottom="0.74803149606299213" header="0.31496062992125984" footer="0.31496062992125984"/>
  <pageSetup scale="8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6"/>
  <dimension ref="A1:S4066"/>
  <sheetViews>
    <sheetView view="pageBreakPreview" zoomScale="120" zoomScaleSheetLayoutView="120" workbookViewId="0">
      <pane ySplit="3" topLeftCell="A4" activePane="bottomLeft" state="frozen"/>
      <selection sqref="A1:XFD1048576"/>
      <selection pane="bottomLeft" activeCell="D17" sqref="D17"/>
    </sheetView>
  </sheetViews>
  <sheetFormatPr defaultColWidth="11.42578125" defaultRowHeight="11.1" customHeight="1"/>
  <cols>
    <col min="1" max="2" width="16.7109375" style="358" customWidth="1"/>
    <col min="3" max="3" width="2.28515625" style="355" customWidth="1"/>
    <col min="4" max="5" width="16.7109375" style="355" customWidth="1"/>
    <col min="6" max="11" width="11.42578125" style="64"/>
    <col min="12" max="13" width="2.140625" style="64" customWidth="1"/>
    <col min="14" max="16" width="5.28515625" style="64" customWidth="1"/>
    <col min="17" max="19" width="7.5703125" style="64" customWidth="1"/>
    <col min="20" max="16384" width="11.42578125" style="64"/>
  </cols>
  <sheetData>
    <row r="1" spans="1:19" ht="30.75" customHeight="1">
      <c r="A1" s="428" t="s">
        <v>849</v>
      </c>
      <c r="B1" s="426" t="str">
        <f>"ETIQ "&amp;'FORMATO DIL'!C4&amp;" "&amp;VLOOKUP('FORMATO DIL'!B2,LOTES!$N:$R,5,FALSE)</f>
        <v>ETIQ  JPC 6 NORTE</v>
      </c>
      <c r="C1" s="426"/>
      <c r="D1" s="426"/>
      <c r="E1" s="426"/>
      <c r="G1" s="802" t="s">
        <v>402</v>
      </c>
      <c r="H1" s="348"/>
      <c r="I1" s="348"/>
      <c r="J1" s="802" t="s">
        <v>401</v>
      </c>
      <c r="L1" s="410"/>
      <c r="M1" s="411"/>
      <c r="Q1" s="578"/>
    </row>
    <row r="2" spans="1:19" ht="30.75" customHeight="1">
      <c r="A2" s="427" t="s">
        <v>855</v>
      </c>
      <c r="B2" s="429" t="s">
        <v>1116</v>
      </c>
      <c r="C2" s="426"/>
      <c r="D2" s="426" t="s">
        <v>994</v>
      </c>
      <c r="E2" s="426"/>
      <c r="G2" s="803"/>
      <c r="H2" s="348"/>
      <c r="I2" s="348"/>
      <c r="J2" s="803"/>
      <c r="Q2" s="578"/>
    </row>
    <row r="3" spans="1:19" ht="30.75" customHeight="1" thickBot="1">
      <c r="A3" s="427" t="s">
        <v>852</v>
      </c>
      <c r="B3" s="426" t="str">
        <f ca="1">VLOOKUP('FORMATO DIL'!$B$2,LOTES!$N:$U,8,FALSE)</f>
        <v>Z:\PRODUCCION ESTERILES\IV SCOOP JPC-MATERNO-VERAGUAS-CPOLICARPA SCOOP\2022\08 AGOSTO\040822\JPC\PEDIATRIA\</v>
      </c>
      <c r="C3" s="426"/>
      <c r="D3" s="429" t="s">
        <v>1116</v>
      </c>
      <c r="E3" s="426"/>
      <c r="G3" s="804"/>
      <c r="H3" s="348"/>
      <c r="I3" s="348"/>
      <c r="J3" s="804"/>
    </row>
    <row r="4" spans="1:19" s="404" customFormat="1" ht="12" customHeight="1">
      <c r="A4" s="806" t="e">
        <f>'DATOS ETIQ'!Q2</f>
        <v>#N/A</v>
      </c>
      <c r="B4" s="806"/>
      <c r="C4" s="403"/>
      <c r="D4" s="806" t="e">
        <f t="shared" ref="D4:D15" si="0">A4</f>
        <v>#N/A</v>
      </c>
      <c r="E4" s="806"/>
      <c r="G4" s="405"/>
      <c r="H4" s="406"/>
      <c r="I4" s="406"/>
      <c r="J4" s="405"/>
      <c r="N4" s="580">
        <v>1</v>
      </c>
      <c r="O4" s="580" t="str">
        <f>IF(P4="","",N4)</f>
        <v/>
      </c>
      <c r="P4" s="580" t="str">
        <f>IF(OR(ISERROR('FR PD 001 V1'!T6),'FR PD 001 V1'!G6=4,'FR PD 001 V1'!G6=5),"",'FR PD 001 V1'!T6)</f>
        <v/>
      </c>
      <c r="Q4" s="579" t="str">
        <f>IF(AND(P4&lt;&gt;P3,P4&lt;&gt;P5),P4,IF(AND(P4&lt;&gt;P3,P4=P5),"",IF(AND(P4=P3,P4&lt;&gt;P5),P4,"")))</f>
        <v/>
      </c>
      <c r="R4" s="579">
        <f t="shared" ref="R4:R47" si="1">IF(AND(P4=P3,P4=P5),R3,IF(AND(P4=P3,P4&lt;&gt;P5),R3,IF(AND(P4&lt;&gt;P3,P4&lt;&gt;P5),O4,O4)))</f>
        <v>0</v>
      </c>
      <c r="S4" s="579">
        <f t="shared" ref="S4:S47" si="2">IF(AND(P4=P3,P4=P5),S3,IF(AND(P4=P3,P4&lt;&gt;P5),O4,IF(AND(P4&lt;&gt;P3,P4&lt;&gt;P5),O4,O4)))</f>
        <v>0</v>
      </c>
    </row>
    <row r="5" spans="1:19" ht="9.75" customHeight="1" thickBot="1">
      <c r="A5" s="805" t="e">
        <f>'DATOS ETIQ'!AD2</f>
        <v>#N/A</v>
      </c>
      <c r="B5" s="805"/>
      <c r="C5" s="349"/>
      <c r="D5" s="805" t="e">
        <f t="shared" si="0"/>
        <v>#N/A</v>
      </c>
      <c r="E5" s="805"/>
      <c r="G5" s="351"/>
      <c r="H5" s="352"/>
      <c r="I5" s="352"/>
      <c r="J5" s="351">
        <v>1</v>
      </c>
      <c r="N5" s="580">
        <v>2</v>
      </c>
      <c r="O5" s="580" t="str">
        <f t="shared" ref="O5:O47" si="3">IF(P5="","",N5)</f>
        <v/>
      </c>
      <c r="P5" s="580" t="str">
        <f>IF(OR(ISERROR('FR PD 001 V1'!T7),'FR PD 001 V1'!G7=4,'FR PD 001 V1'!G7=5),"",'FR PD 001 V1'!T7)</f>
        <v/>
      </c>
      <c r="Q5" s="579" t="str">
        <f t="shared" ref="Q5:Q47" si="4">IF(AND(P5&lt;&gt;P4,P5&lt;&gt;P6),P5,IF(AND(P5&lt;&gt;P4,P5=P6),"",IF(AND(P5=P4,P5&lt;&gt;P6),P5,"")))</f>
        <v/>
      </c>
      <c r="R5" s="579">
        <f t="shared" si="1"/>
        <v>0</v>
      </c>
      <c r="S5" s="579">
        <f t="shared" si="2"/>
        <v>0</v>
      </c>
    </row>
    <row r="6" spans="1:19" ht="9.75" customHeight="1">
      <c r="A6" s="353" t="e">
        <f ca="1">'DATOS ETIQ'!H$2</f>
        <v>#N/A</v>
      </c>
      <c r="B6" s="354" t="str">
        <f>"Lt: "&amp;'DATOS ETIQ'!I$2</f>
        <v>Lt: 0</v>
      </c>
      <c r="D6" s="353" t="e">
        <f t="shared" ca="1" si="0"/>
        <v>#N/A</v>
      </c>
      <c r="E6" s="354" t="str">
        <f>B6</f>
        <v>Lt: 0</v>
      </c>
      <c r="G6" s="800" t="e">
        <f>'FR PD 001 V1'!T6</f>
        <v>#N/A</v>
      </c>
      <c r="J6" s="800">
        <v>1</v>
      </c>
      <c r="L6" s="808"/>
      <c r="M6" s="808"/>
      <c r="N6" s="580">
        <v>3</v>
      </c>
      <c r="O6" s="580" t="str">
        <f t="shared" si="3"/>
        <v/>
      </c>
      <c r="P6" s="580" t="str">
        <f>IF(OR(ISERROR('FR PD 001 V1'!T8),'FR PD 001 V1'!G8=4,'FR PD 001 V1'!G8=5),"",'FR PD 001 V1'!T8)</f>
        <v/>
      </c>
      <c r="Q6" s="579" t="str">
        <f t="shared" si="4"/>
        <v/>
      </c>
      <c r="R6" s="579">
        <f t="shared" si="1"/>
        <v>0</v>
      </c>
      <c r="S6" s="579">
        <f t="shared" si="2"/>
        <v>0</v>
      </c>
    </row>
    <row r="7" spans="1:19" ht="9.75" customHeight="1" thickBot="1">
      <c r="A7" s="805" t="str">
        <f>'DATOS ETIQ'!J$2&amp;"  "&amp;'DATOS ETIQ'!K$2</f>
        <v xml:space="preserve">  0</v>
      </c>
      <c r="B7" s="805"/>
      <c r="C7" s="349"/>
      <c r="D7" s="805" t="str">
        <f t="shared" si="0"/>
        <v xml:space="preserve">  0</v>
      </c>
      <c r="E7" s="805"/>
      <c r="G7" s="801"/>
      <c r="J7" s="801"/>
      <c r="L7" s="808"/>
      <c r="M7" s="808"/>
      <c r="N7" s="580">
        <v>4</v>
      </c>
      <c r="O7" s="580" t="str">
        <f t="shared" si="3"/>
        <v/>
      </c>
      <c r="P7" s="580" t="str">
        <f>IF(OR(ISERROR('FR PD 001 V1'!T9),'FR PD 001 V1'!G9=4,'FR PD 001 V1'!G9=5),"",'FR PD 001 V1'!T9)</f>
        <v/>
      </c>
      <c r="Q7" s="579" t="str">
        <f t="shared" si="4"/>
        <v/>
      </c>
      <c r="R7" s="579">
        <f t="shared" si="1"/>
        <v>0</v>
      </c>
      <c r="S7" s="579">
        <f t="shared" si="2"/>
        <v>0</v>
      </c>
    </row>
    <row r="8" spans="1:19" ht="9.75" customHeight="1">
      <c r="A8" s="807" t="str">
        <f>"QFP: "&amp;'DATOS ETIQ'!L$2&amp;"   QFV: "&amp;'DATOS ETIQ'!M$2</f>
        <v>QFP: JGARCIA   QFV: ADELTORO</v>
      </c>
      <c r="B8" s="807"/>
      <c r="D8" s="807" t="str">
        <f t="shared" si="0"/>
        <v>QFP: JGARCIA   QFV: ADELTORO</v>
      </c>
      <c r="E8" s="807"/>
      <c r="J8" s="356"/>
      <c r="N8" s="580">
        <v>5</v>
      </c>
      <c r="O8" s="580" t="str">
        <f t="shared" si="3"/>
        <v/>
      </c>
      <c r="P8" s="580" t="str">
        <f>IF(OR(ISERROR('FR PD 001 V1'!T10),'FR PD 001 V1'!G10=4,'FR PD 001 V1'!G10=5),"",'FR PD 001 V1'!T10)</f>
        <v/>
      </c>
      <c r="Q8" s="579" t="str">
        <f t="shared" si="4"/>
        <v/>
      </c>
      <c r="R8" s="579">
        <f t="shared" si="1"/>
        <v>0</v>
      </c>
      <c r="S8" s="579">
        <f t="shared" si="2"/>
        <v>0</v>
      </c>
    </row>
    <row r="9" spans="1:19" ht="9.75" customHeight="1">
      <c r="A9" s="402" t="str">
        <f>'DATOS ETIQ'!N$2&amp;""</f>
        <v>C.JPC/SEXTO NTE/SCOOP</v>
      </c>
      <c r="B9" s="357" t="e">
        <f>"Via Adm.: "&amp;'DATOS ETIQ'!S$2</f>
        <v>#N/A</v>
      </c>
      <c r="D9" s="401" t="str">
        <f t="shared" si="0"/>
        <v>C.JPC/SEXTO NTE/SCOOP</v>
      </c>
      <c r="E9" s="357" t="e">
        <f>+B9</f>
        <v>#N/A</v>
      </c>
      <c r="J9" s="356"/>
      <c r="N9" s="580">
        <v>6</v>
      </c>
      <c r="O9" s="580" t="str">
        <f t="shared" si="3"/>
        <v/>
      </c>
      <c r="P9" s="580" t="str">
        <f>IF(OR(ISERROR('FR PD 001 V1'!T11),'FR PD 001 V1'!G11=4,'FR PD 001 V1'!G11=5),"",'FR PD 001 V1'!T11)</f>
        <v/>
      </c>
      <c r="Q9" s="579" t="str">
        <f t="shared" si="4"/>
        <v/>
      </c>
      <c r="R9" s="579">
        <f t="shared" si="1"/>
        <v>0</v>
      </c>
      <c r="S9" s="579">
        <f t="shared" si="2"/>
        <v>0</v>
      </c>
    </row>
    <row r="10" spans="1:19" ht="9.75" customHeight="1">
      <c r="A10" s="402" t="e">
        <f>"Conserv.: "&amp;'DATOS ETIQ'!AB$2</f>
        <v>#N/A</v>
      </c>
      <c r="B10" s="357" t="str">
        <f>"Cama: "&amp;'DATOS ETIQ'!O$2</f>
        <v>Cama: NA</v>
      </c>
      <c r="D10" s="401" t="e">
        <f t="shared" si="0"/>
        <v>#N/A</v>
      </c>
      <c r="E10" s="357" t="str">
        <f>+B10</f>
        <v>Cama: NA</v>
      </c>
      <c r="J10" s="356"/>
      <c r="N10" s="580">
        <v>7</v>
      </c>
      <c r="O10" s="580" t="str">
        <f t="shared" si="3"/>
        <v/>
      </c>
      <c r="P10" s="580" t="str">
        <f>IF(OR(ISERROR('FR PD 001 V1'!T12),'FR PD 001 V1'!G12=4,'FR PD 001 V1'!G12=5),"",'FR PD 001 V1'!T12)</f>
        <v/>
      </c>
      <c r="Q10" s="579" t="str">
        <f t="shared" si="4"/>
        <v/>
      </c>
      <c r="R10" s="579">
        <f t="shared" si="1"/>
        <v>0</v>
      </c>
      <c r="S10" s="579">
        <f t="shared" si="2"/>
        <v>0</v>
      </c>
    </row>
    <row r="11" spans="1:19" ht="9.75" customHeight="1">
      <c r="A11" s="357"/>
      <c r="B11" s="357"/>
      <c r="D11" s="357"/>
      <c r="E11" s="357"/>
      <c r="J11" s="356"/>
      <c r="N11" s="580">
        <v>8</v>
      </c>
      <c r="O11" s="580" t="str">
        <f t="shared" si="3"/>
        <v/>
      </c>
      <c r="P11" s="580" t="str">
        <f>IF(OR(ISERROR('FR PD 001 V1'!T13),'FR PD 001 V1'!G13=4,'FR PD 001 V1'!G13=5),"",'FR PD 001 V1'!T13)</f>
        <v/>
      </c>
      <c r="Q11" s="579" t="str">
        <f t="shared" si="4"/>
        <v/>
      </c>
      <c r="R11" s="579">
        <f t="shared" si="1"/>
        <v>0</v>
      </c>
      <c r="S11" s="579">
        <f t="shared" si="2"/>
        <v>0</v>
      </c>
    </row>
    <row r="12" spans="1:19" s="404" customFormat="1" ht="12" customHeight="1">
      <c r="A12" s="806" t="e">
        <f>'DATOS ETIQ'!Q3</f>
        <v>#N/A</v>
      </c>
      <c r="B12" s="806"/>
      <c r="C12" s="403"/>
      <c r="D12" s="806" t="e">
        <f t="shared" si="0"/>
        <v>#N/A</v>
      </c>
      <c r="E12" s="806"/>
      <c r="J12" s="407"/>
      <c r="N12" s="580">
        <v>9</v>
      </c>
      <c r="O12" s="580" t="str">
        <f t="shared" si="3"/>
        <v/>
      </c>
      <c r="P12" s="580" t="str">
        <f>IF(OR(ISERROR('FR PD 001 V1'!T14),'FR PD 001 V1'!G14=4,'FR PD 001 V1'!G14=5),"",'FR PD 001 V1'!T14)</f>
        <v/>
      </c>
      <c r="Q12" s="579" t="str">
        <f t="shared" si="4"/>
        <v/>
      </c>
      <c r="R12" s="579">
        <f t="shared" si="1"/>
        <v>0</v>
      </c>
      <c r="S12" s="579">
        <f t="shared" si="2"/>
        <v>0</v>
      </c>
    </row>
    <row r="13" spans="1:19" ht="9.75" customHeight="1" thickBot="1">
      <c r="A13" s="805" t="e">
        <f>'DATOS ETIQ'!AD3</f>
        <v>#N/A</v>
      </c>
      <c r="B13" s="805"/>
      <c r="C13" s="349"/>
      <c r="D13" s="805" t="e">
        <f t="shared" si="0"/>
        <v>#N/A</v>
      </c>
      <c r="E13" s="805"/>
      <c r="J13" s="356"/>
      <c r="N13" s="580">
        <v>10</v>
      </c>
      <c r="O13" s="580" t="str">
        <f t="shared" si="3"/>
        <v/>
      </c>
      <c r="P13" s="580" t="str">
        <f>IF(OR(ISERROR('FR PD 001 V1'!T15),'FR PD 001 V1'!G15=4,'FR PD 001 V1'!G15=5),"",'FR PD 001 V1'!T15)</f>
        <v/>
      </c>
      <c r="Q13" s="579" t="str">
        <f t="shared" si="4"/>
        <v/>
      </c>
      <c r="R13" s="579">
        <f t="shared" si="1"/>
        <v>0</v>
      </c>
      <c r="S13" s="579">
        <f t="shared" si="2"/>
        <v>0</v>
      </c>
    </row>
    <row r="14" spans="1:19" ht="9.75" customHeight="1">
      <c r="A14" s="353" t="e">
        <f ca="1">'DATOS ETIQ'!H$3</f>
        <v>#N/A</v>
      </c>
      <c r="B14" s="354" t="str">
        <f>"Lt: "&amp;'DATOS ETIQ'!I$3</f>
        <v xml:space="preserve">Lt: </v>
      </c>
      <c r="D14" s="353" t="e">
        <f t="shared" ca="1" si="0"/>
        <v>#N/A</v>
      </c>
      <c r="E14" s="354" t="str">
        <f>B14</f>
        <v xml:space="preserve">Lt: </v>
      </c>
      <c r="G14" s="800" t="e">
        <f>'FR PD 001 V1'!T7</f>
        <v>#N/A</v>
      </c>
      <c r="J14" s="800">
        <v>2</v>
      </c>
      <c r="N14" s="580">
        <v>11</v>
      </c>
      <c r="O14" s="580" t="str">
        <f t="shared" si="3"/>
        <v/>
      </c>
      <c r="P14" s="580" t="str">
        <f>IF(OR(ISERROR('FR PD 001 V1'!T16),'FR PD 001 V1'!G16=4,'FR PD 001 V1'!G16=5),"",'FR PD 001 V1'!T16)</f>
        <v/>
      </c>
      <c r="Q14" s="579" t="str">
        <f t="shared" si="4"/>
        <v/>
      </c>
      <c r="R14" s="579">
        <f t="shared" si="1"/>
        <v>0</v>
      </c>
      <c r="S14" s="579">
        <f t="shared" si="2"/>
        <v>0</v>
      </c>
    </row>
    <row r="15" spans="1:19" ht="9.75" customHeight="1" thickBot="1">
      <c r="A15" s="805" t="str">
        <f>'DATOS ETIQ'!J$3&amp;"  "&amp;'DATOS ETIQ'!K$3</f>
        <v xml:space="preserve">  0</v>
      </c>
      <c r="B15" s="805"/>
      <c r="C15" s="349"/>
      <c r="D15" s="805" t="str">
        <f t="shared" si="0"/>
        <v xml:space="preserve">  0</v>
      </c>
      <c r="E15" s="805"/>
      <c r="G15" s="801"/>
      <c r="J15" s="801"/>
      <c r="N15" s="580">
        <v>12</v>
      </c>
      <c r="O15" s="580" t="str">
        <f t="shared" si="3"/>
        <v/>
      </c>
      <c r="P15" s="580" t="str">
        <f>IF(OR(ISERROR('FR PD 001 V1'!T17),'FR PD 001 V1'!G17=4,'FR PD 001 V1'!G17=5),"",'FR PD 001 V1'!T17)</f>
        <v/>
      </c>
      <c r="Q15" s="579" t="str">
        <f t="shared" si="4"/>
        <v/>
      </c>
      <c r="R15" s="579">
        <f t="shared" si="1"/>
        <v>0</v>
      </c>
      <c r="S15" s="579">
        <f t="shared" si="2"/>
        <v>0</v>
      </c>
    </row>
    <row r="16" spans="1:19" ht="9.75" customHeight="1">
      <c r="A16" s="807" t="str">
        <f>"QFP: "&amp;'DATOS ETIQ'!L$2&amp;"   QFV: "&amp;'DATOS ETIQ'!M$2</f>
        <v>QFP: JGARCIA   QFV: ADELTORO</v>
      </c>
      <c r="B16" s="807"/>
      <c r="D16" s="807" t="str">
        <f>A16</f>
        <v>QFP: JGARCIA   QFV: ADELTORO</v>
      </c>
      <c r="E16" s="807"/>
      <c r="J16" s="356"/>
      <c r="N16" s="580">
        <v>13</v>
      </c>
      <c r="O16" s="580" t="str">
        <f t="shared" si="3"/>
        <v/>
      </c>
      <c r="P16" s="580" t="str">
        <f>IF(OR(ISERROR('FR PD 001 V1'!T18),'FR PD 001 V1'!G18=4,'FR PD 001 V1'!G18=5),"",'FR PD 001 V1'!T18)</f>
        <v/>
      </c>
      <c r="Q16" s="579" t="str">
        <f t="shared" si="4"/>
        <v/>
      </c>
      <c r="R16" s="579">
        <f t="shared" si="1"/>
        <v>0</v>
      </c>
      <c r="S16" s="579">
        <f t="shared" si="2"/>
        <v>0</v>
      </c>
    </row>
    <row r="17" spans="1:19" ht="9.75" customHeight="1">
      <c r="A17" s="402" t="str">
        <f>'DATOS ETIQ'!N$3&amp;""</f>
        <v>C.JPC/SEXTO NTE/SCOOP</v>
      </c>
      <c r="B17" s="357" t="e">
        <f>"Via Adm.: "&amp;'DATOS ETIQ'!S$3</f>
        <v>#N/A</v>
      </c>
      <c r="D17" s="401" t="str">
        <f>A17</f>
        <v>C.JPC/SEXTO NTE/SCOOP</v>
      </c>
      <c r="E17" s="357" t="e">
        <f>+B17</f>
        <v>#N/A</v>
      </c>
      <c r="J17" s="356"/>
      <c r="N17" s="580">
        <v>14</v>
      </c>
      <c r="O17" s="580" t="str">
        <f t="shared" si="3"/>
        <v/>
      </c>
      <c r="P17" s="580" t="str">
        <f>IF(OR(ISERROR('FR PD 001 V1'!T19),'FR PD 001 V1'!G19=4,'FR PD 001 V1'!G19=5),"",'FR PD 001 V1'!T19)</f>
        <v/>
      </c>
      <c r="Q17" s="579" t="str">
        <f t="shared" si="4"/>
        <v/>
      </c>
      <c r="R17" s="579">
        <f t="shared" si="1"/>
        <v>0</v>
      </c>
      <c r="S17" s="579">
        <f t="shared" si="2"/>
        <v>0</v>
      </c>
    </row>
    <row r="18" spans="1:19" ht="9.75" customHeight="1">
      <c r="A18" s="402" t="e">
        <f>"Conserv.: "&amp;'DATOS ETIQ'!AB$3</f>
        <v>#N/A</v>
      </c>
      <c r="B18" s="357" t="str">
        <f>"Cama: "&amp;'DATOS ETIQ'!O$3</f>
        <v>Cama: NA</v>
      </c>
      <c r="D18" s="401" t="e">
        <f>A18</f>
        <v>#N/A</v>
      </c>
      <c r="E18" s="357" t="str">
        <f>+B18</f>
        <v>Cama: NA</v>
      </c>
      <c r="J18" s="356"/>
      <c r="N18" s="580">
        <v>15</v>
      </c>
      <c r="O18" s="580" t="str">
        <f t="shared" si="3"/>
        <v/>
      </c>
      <c r="P18" s="580" t="str">
        <f>IF(OR(ISERROR('FR PD 001 V1'!T20),'FR PD 001 V1'!G20=4,'FR PD 001 V1'!G20=5),"",'FR PD 001 V1'!T20)</f>
        <v/>
      </c>
      <c r="Q18" s="579" t="str">
        <f t="shared" si="4"/>
        <v/>
      </c>
      <c r="R18" s="579">
        <f t="shared" si="1"/>
        <v>0</v>
      </c>
      <c r="S18" s="579">
        <f t="shared" si="2"/>
        <v>0</v>
      </c>
    </row>
    <row r="19" spans="1:19" ht="9.75" customHeight="1">
      <c r="A19" s="357"/>
      <c r="B19" s="357"/>
      <c r="D19" s="357"/>
      <c r="E19" s="357"/>
      <c r="J19" s="356"/>
      <c r="N19" s="580">
        <v>16</v>
      </c>
      <c r="O19" s="580" t="str">
        <f t="shared" si="3"/>
        <v/>
      </c>
      <c r="P19" s="580" t="str">
        <f>IF(OR(ISERROR('FR PD 001 V1'!T21),'FR PD 001 V1'!G21=4,'FR PD 001 V1'!G21=5),"",'FR PD 001 V1'!T21)</f>
        <v/>
      </c>
      <c r="Q19" s="579" t="str">
        <f t="shared" si="4"/>
        <v/>
      </c>
      <c r="R19" s="579">
        <f t="shared" si="1"/>
        <v>0</v>
      </c>
      <c r="S19" s="579">
        <f t="shared" si="2"/>
        <v>0</v>
      </c>
    </row>
    <row r="20" spans="1:19" s="404" customFormat="1" ht="12" customHeight="1">
      <c r="A20" s="806" t="e">
        <f>'DATOS ETIQ'!Q4</f>
        <v>#N/A</v>
      </c>
      <c r="B20" s="806"/>
      <c r="C20" s="403"/>
      <c r="D20" s="806" t="e">
        <f>A20</f>
        <v>#N/A</v>
      </c>
      <c r="E20" s="806"/>
      <c r="J20" s="407"/>
      <c r="N20" s="580">
        <v>17</v>
      </c>
      <c r="O20" s="580" t="str">
        <f t="shared" si="3"/>
        <v/>
      </c>
      <c r="P20" s="580" t="str">
        <f>IF(OR(ISERROR('FR PD 001 V1'!T22),'FR PD 001 V1'!G22=4,'FR PD 001 V1'!G22=5),"",'FR PD 001 V1'!T22)</f>
        <v/>
      </c>
      <c r="Q20" s="579" t="str">
        <f t="shared" si="4"/>
        <v/>
      </c>
      <c r="R20" s="579">
        <f t="shared" si="1"/>
        <v>0</v>
      </c>
      <c r="S20" s="579">
        <f t="shared" si="2"/>
        <v>0</v>
      </c>
    </row>
    <row r="21" spans="1:19" ht="9.75" customHeight="1" thickBot="1">
      <c r="A21" s="805" t="e">
        <f>'DATOS ETIQ'!AD4</f>
        <v>#N/A</v>
      </c>
      <c r="B21" s="805"/>
      <c r="C21" s="349"/>
      <c r="D21" s="805" t="e">
        <f t="shared" ref="D21:D89" si="5">A21</f>
        <v>#N/A</v>
      </c>
      <c r="E21" s="805"/>
      <c r="J21" s="356"/>
      <c r="N21" s="580">
        <v>18</v>
      </c>
      <c r="O21" s="580" t="str">
        <f t="shared" si="3"/>
        <v/>
      </c>
      <c r="P21" s="580" t="str">
        <f>IF(OR(ISERROR('FR PD 001 V1'!T23),'FR PD 001 V1'!G23=4,'FR PD 001 V1'!G23=5),"",'FR PD 001 V1'!T23)</f>
        <v/>
      </c>
      <c r="Q21" s="579" t="str">
        <f t="shared" si="4"/>
        <v/>
      </c>
      <c r="R21" s="579">
        <f t="shared" si="1"/>
        <v>0</v>
      </c>
      <c r="S21" s="579">
        <f t="shared" si="2"/>
        <v>0</v>
      </c>
    </row>
    <row r="22" spans="1:19" ht="9.75" customHeight="1">
      <c r="A22" s="353" t="e">
        <f ca="1">'DATOS ETIQ'!H$4</f>
        <v>#N/A</v>
      </c>
      <c r="B22" s="354" t="str">
        <f>"Lt: "&amp;'DATOS ETIQ'!I$4</f>
        <v xml:space="preserve">Lt: </v>
      </c>
      <c r="D22" s="353" t="e">
        <f t="shared" ca="1" si="5"/>
        <v>#N/A</v>
      </c>
      <c r="E22" s="354" t="str">
        <f>B22</f>
        <v xml:space="preserve">Lt: </v>
      </c>
      <c r="G22" s="800" t="e">
        <f>'FR PD 001 V1'!T8</f>
        <v>#N/A</v>
      </c>
      <c r="J22" s="800">
        <v>3</v>
      </c>
      <c r="N22" s="580">
        <v>19</v>
      </c>
      <c r="O22" s="580" t="str">
        <f t="shared" si="3"/>
        <v/>
      </c>
      <c r="P22" s="580" t="str">
        <f>IF(OR(ISERROR('FR PD 001 V1'!T24),'FR PD 001 V1'!G24=4,'FR PD 001 V1'!G24=5),"",'FR PD 001 V1'!T24)</f>
        <v/>
      </c>
      <c r="Q22" s="579" t="str">
        <f t="shared" si="4"/>
        <v/>
      </c>
      <c r="R22" s="579">
        <f t="shared" si="1"/>
        <v>0</v>
      </c>
      <c r="S22" s="579">
        <f t="shared" si="2"/>
        <v>0</v>
      </c>
    </row>
    <row r="23" spans="1:19" ht="9.75" customHeight="1" thickBot="1">
      <c r="A23" s="805" t="str">
        <f>'DATOS ETIQ'!J$4&amp;"  "&amp;'DATOS ETIQ'!K$4</f>
        <v xml:space="preserve">  0</v>
      </c>
      <c r="B23" s="805"/>
      <c r="C23" s="349"/>
      <c r="D23" s="805" t="str">
        <f t="shared" si="5"/>
        <v xml:space="preserve">  0</v>
      </c>
      <c r="E23" s="805"/>
      <c r="G23" s="801"/>
      <c r="J23" s="801"/>
      <c r="N23" s="580">
        <v>20</v>
      </c>
      <c r="O23" s="580" t="str">
        <f t="shared" si="3"/>
        <v/>
      </c>
      <c r="P23" s="580" t="str">
        <f>IF(OR(ISERROR('FR PD 001 V1'!T25),'FR PD 001 V1'!G25=4,'FR PD 001 V1'!G25=5),"",'FR PD 001 V1'!T25)</f>
        <v/>
      </c>
      <c r="Q23" s="579" t="str">
        <f t="shared" si="4"/>
        <v/>
      </c>
      <c r="R23" s="579">
        <f t="shared" si="1"/>
        <v>0</v>
      </c>
      <c r="S23" s="579">
        <f t="shared" si="2"/>
        <v>0</v>
      </c>
    </row>
    <row r="24" spans="1:19" ht="9.75" customHeight="1">
      <c r="A24" s="807" t="str">
        <f>"QFP: "&amp;'DATOS ETIQ'!L$2&amp;"   QFV: "&amp;'DATOS ETIQ'!M$2</f>
        <v>QFP: JGARCIA   QFV: ADELTORO</v>
      </c>
      <c r="B24" s="807"/>
      <c r="D24" s="807" t="str">
        <f t="shared" si="5"/>
        <v>QFP: JGARCIA   QFV: ADELTORO</v>
      </c>
      <c r="E24" s="807"/>
      <c r="J24" s="356"/>
      <c r="N24" s="580">
        <v>21</v>
      </c>
      <c r="O24" s="580" t="str">
        <f t="shared" si="3"/>
        <v/>
      </c>
      <c r="P24" s="580" t="str">
        <f>IF(OR(ISERROR('FR PD 001 V1'!T26),'FR PD 001 V1'!G26=4,'FR PD 001 V1'!G26=5),"",'FR PD 001 V1'!T26)</f>
        <v/>
      </c>
      <c r="Q24" s="579" t="str">
        <f t="shared" si="4"/>
        <v/>
      </c>
      <c r="R24" s="579">
        <f t="shared" si="1"/>
        <v>0</v>
      </c>
      <c r="S24" s="579">
        <f t="shared" si="2"/>
        <v>0</v>
      </c>
    </row>
    <row r="25" spans="1:19" ht="9.75" customHeight="1">
      <c r="A25" s="402" t="str">
        <f>'DATOS ETIQ'!N$4&amp;""</f>
        <v>C.JPC/SEXTO NTE/SCOOP</v>
      </c>
      <c r="B25" s="357" t="e">
        <f>"Via Adm.: "&amp;'DATOS ETIQ'!S$4</f>
        <v>#N/A</v>
      </c>
      <c r="D25" s="401" t="str">
        <f t="shared" si="5"/>
        <v>C.JPC/SEXTO NTE/SCOOP</v>
      </c>
      <c r="E25" s="357" t="e">
        <f>+B25</f>
        <v>#N/A</v>
      </c>
      <c r="J25" s="356"/>
      <c r="N25" s="580">
        <v>22</v>
      </c>
      <c r="O25" s="580" t="str">
        <f t="shared" si="3"/>
        <v/>
      </c>
      <c r="P25" s="580" t="str">
        <f>IF(OR(ISERROR('FR PD 001 V1'!T27),'FR PD 001 V1'!G27=4,'FR PD 001 V1'!G27=5),"",'FR PD 001 V1'!T27)</f>
        <v/>
      </c>
      <c r="Q25" s="579" t="str">
        <f t="shared" si="4"/>
        <v/>
      </c>
      <c r="R25" s="579">
        <f t="shared" si="1"/>
        <v>0</v>
      </c>
      <c r="S25" s="579">
        <f t="shared" si="2"/>
        <v>0</v>
      </c>
    </row>
    <row r="26" spans="1:19" ht="9.75" customHeight="1">
      <c r="A26" s="402" t="e">
        <f>"Conserv.: "&amp;'DATOS ETIQ'!AB$4</f>
        <v>#N/A</v>
      </c>
      <c r="B26" s="357" t="str">
        <f>"Cama: "&amp;'DATOS ETIQ'!O$4</f>
        <v>Cama: NA</v>
      </c>
      <c r="D26" s="401" t="e">
        <f t="shared" si="5"/>
        <v>#N/A</v>
      </c>
      <c r="E26" s="357" t="str">
        <f>+B26</f>
        <v>Cama: NA</v>
      </c>
      <c r="J26" s="356"/>
      <c r="N26" s="580">
        <v>23</v>
      </c>
      <c r="O26" s="580" t="str">
        <f t="shared" si="3"/>
        <v/>
      </c>
      <c r="P26" s="580" t="str">
        <f>IF(OR(ISERROR('FR PD 001 V1'!T28),'FR PD 001 V1'!G28=4,'FR PD 001 V1'!G28=5),"",'FR PD 001 V1'!T28)</f>
        <v/>
      </c>
      <c r="Q26" s="579" t="str">
        <f t="shared" si="4"/>
        <v/>
      </c>
      <c r="R26" s="579">
        <f t="shared" si="1"/>
        <v>0</v>
      </c>
      <c r="S26" s="579">
        <f t="shared" si="2"/>
        <v>0</v>
      </c>
    </row>
    <row r="27" spans="1:19" ht="9.75" customHeight="1">
      <c r="A27" s="357"/>
      <c r="B27" s="357"/>
      <c r="D27" s="357"/>
      <c r="E27" s="357"/>
      <c r="J27" s="356"/>
      <c r="N27" s="580">
        <v>24</v>
      </c>
      <c r="O27" s="580" t="str">
        <f t="shared" si="3"/>
        <v/>
      </c>
      <c r="P27" s="580" t="str">
        <f>IF(OR(ISERROR('FR PD 001 V1'!T29),'FR PD 001 V1'!G29=4,'FR PD 001 V1'!G29=5),"",'FR PD 001 V1'!T29)</f>
        <v/>
      </c>
      <c r="Q27" s="579" t="str">
        <f t="shared" si="4"/>
        <v/>
      </c>
      <c r="R27" s="579">
        <f t="shared" si="1"/>
        <v>0</v>
      </c>
      <c r="S27" s="579">
        <f t="shared" si="2"/>
        <v>0</v>
      </c>
    </row>
    <row r="28" spans="1:19" s="404" customFormat="1" ht="12" customHeight="1">
      <c r="A28" s="806" t="e">
        <f>'DATOS ETIQ'!Q5</f>
        <v>#N/A</v>
      </c>
      <c r="B28" s="806"/>
      <c r="C28" s="403"/>
      <c r="D28" s="806" t="e">
        <f t="shared" si="5"/>
        <v>#N/A</v>
      </c>
      <c r="E28" s="806"/>
      <c r="J28" s="407"/>
      <c r="N28" s="580">
        <v>25</v>
      </c>
      <c r="O28" s="580" t="str">
        <f t="shared" si="3"/>
        <v/>
      </c>
      <c r="P28" s="580" t="str">
        <f>IF(OR(ISERROR('FR PD 001 V1'!T30),'FR PD 001 V1'!G30=4,'FR PD 001 V1'!G30=5),"",'FR PD 001 V1'!T30)</f>
        <v/>
      </c>
      <c r="Q28" s="579" t="str">
        <f t="shared" si="4"/>
        <v/>
      </c>
      <c r="R28" s="579">
        <f t="shared" si="1"/>
        <v>0</v>
      </c>
      <c r="S28" s="579">
        <f t="shared" si="2"/>
        <v>0</v>
      </c>
    </row>
    <row r="29" spans="1:19" ht="9.75" customHeight="1" thickBot="1">
      <c r="A29" s="805" t="e">
        <f>'DATOS ETIQ'!AD5</f>
        <v>#N/A</v>
      </c>
      <c r="B29" s="805"/>
      <c r="C29" s="349"/>
      <c r="D29" s="805" t="e">
        <f t="shared" si="5"/>
        <v>#N/A</v>
      </c>
      <c r="E29" s="805"/>
      <c r="J29" s="356"/>
      <c r="N29" s="580">
        <v>26</v>
      </c>
      <c r="O29" s="580" t="str">
        <f t="shared" si="3"/>
        <v/>
      </c>
      <c r="P29" s="580" t="str">
        <f>IF(OR(ISERROR('FR PD 001 V1'!T31),'FR PD 001 V1'!G31=4,'FR PD 001 V1'!G31=5),"",'FR PD 001 V1'!T31)</f>
        <v/>
      </c>
      <c r="Q29" s="579" t="str">
        <f t="shared" si="4"/>
        <v/>
      </c>
      <c r="R29" s="579">
        <f t="shared" si="1"/>
        <v>0</v>
      </c>
      <c r="S29" s="579">
        <f t="shared" si="2"/>
        <v>0</v>
      </c>
    </row>
    <row r="30" spans="1:19" ht="9.75" customHeight="1">
      <c r="A30" s="353" t="e">
        <f ca="1">'DATOS ETIQ'!H$5</f>
        <v>#N/A</v>
      </c>
      <c r="B30" s="354" t="str">
        <f>"Lt: "&amp;'DATOS ETIQ'!I$5</f>
        <v xml:space="preserve">Lt: </v>
      </c>
      <c r="D30" s="353" t="e">
        <f t="shared" ca="1" si="5"/>
        <v>#N/A</v>
      </c>
      <c r="E30" s="354" t="str">
        <f>B30</f>
        <v xml:space="preserve">Lt: </v>
      </c>
      <c r="G30" s="800" t="e">
        <f>'FR PD 001 V1'!T9</f>
        <v>#N/A</v>
      </c>
      <c r="J30" s="800">
        <v>4</v>
      </c>
      <c r="N30" s="580">
        <v>27</v>
      </c>
      <c r="O30" s="580" t="str">
        <f t="shared" si="3"/>
        <v/>
      </c>
      <c r="P30" s="580" t="str">
        <f>IF(OR(ISERROR('FR PD 001 V1'!T32),'FR PD 001 V1'!G32=4,'FR PD 001 V1'!G32=5),"",'FR PD 001 V1'!T32)</f>
        <v/>
      </c>
      <c r="Q30" s="579" t="str">
        <f t="shared" si="4"/>
        <v/>
      </c>
      <c r="R30" s="579">
        <f t="shared" si="1"/>
        <v>0</v>
      </c>
      <c r="S30" s="579">
        <f t="shared" si="2"/>
        <v>0</v>
      </c>
    </row>
    <row r="31" spans="1:19" ht="9.75" customHeight="1" thickBot="1">
      <c r="A31" s="805" t="str">
        <f>'DATOS ETIQ'!J$5&amp;"  "&amp;'DATOS ETIQ'!K$5</f>
        <v xml:space="preserve">  0</v>
      </c>
      <c r="B31" s="805"/>
      <c r="C31" s="349"/>
      <c r="D31" s="805" t="str">
        <f t="shared" si="5"/>
        <v xml:space="preserve">  0</v>
      </c>
      <c r="E31" s="805"/>
      <c r="G31" s="801"/>
      <c r="J31" s="801"/>
      <c r="N31" s="580">
        <v>28</v>
      </c>
      <c r="O31" s="580" t="str">
        <f t="shared" si="3"/>
        <v/>
      </c>
      <c r="P31" s="580" t="str">
        <f>IF(OR(ISERROR('FR PD 001 V1'!T33),'FR PD 001 V1'!G33=4,'FR PD 001 V1'!G33=5),"",'FR PD 001 V1'!T33)</f>
        <v/>
      </c>
      <c r="Q31" s="579" t="str">
        <f t="shared" si="4"/>
        <v/>
      </c>
      <c r="R31" s="579">
        <f t="shared" si="1"/>
        <v>0</v>
      </c>
      <c r="S31" s="579">
        <f t="shared" si="2"/>
        <v>0</v>
      </c>
    </row>
    <row r="32" spans="1:19" ht="9.75" customHeight="1">
      <c r="A32" s="807" t="str">
        <f>"QFP: "&amp;'DATOS ETIQ'!L$2&amp;"   QFV: "&amp;'DATOS ETIQ'!M$2</f>
        <v>QFP: JGARCIA   QFV: ADELTORO</v>
      </c>
      <c r="B32" s="807"/>
      <c r="D32" s="807" t="str">
        <f t="shared" si="5"/>
        <v>QFP: JGARCIA   QFV: ADELTORO</v>
      </c>
      <c r="E32" s="807"/>
      <c r="J32" s="356"/>
      <c r="N32" s="580">
        <v>29</v>
      </c>
      <c r="O32" s="580" t="str">
        <f t="shared" si="3"/>
        <v/>
      </c>
      <c r="P32" s="580" t="str">
        <f>IF(OR(ISERROR('FR PD 001 V1'!T34),'FR PD 001 V1'!G34=4,'FR PD 001 V1'!G34=5),"",'FR PD 001 V1'!T34)</f>
        <v/>
      </c>
      <c r="Q32" s="579" t="str">
        <f t="shared" si="4"/>
        <v/>
      </c>
      <c r="R32" s="579">
        <f t="shared" si="1"/>
        <v>0</v>
      </c>
      <c r="S32" s="579">
        <f t="shared" si="2"/>
        <v>0</v>
      </c>
    </row>
    <row r="33" spans="1:19" ht="9.75" customHeight="1">
      <c r="A33" s="402" t="str">
        <f>'DATOS ETIQ'!N$5&amp;""</f>
        <v>C.JPC/SEXTO NTE/SCOOP</v>
      </c>
      <c r="B33" s="357" t="e">
        <f>"Via Adm.: "&amp;'DATOS ETIQ'!S$5</f>
        <v>#N/A</v>
      </c>
      <c r="D33" s="401" t="str">
        <f t="shared" si="5"/>
        <v>C.JPC/SEXTO NTE/SCOOP</v>
      </c>
      <c r="E33" s="357" t="e">
        <f>+B33</f>
        <v>#N/A</v>
      </c>
      <c r="J33" s="356"/>
      <c r="N33" s="580">
        <v>30</v>
      </c>
      <c r="O33" s="580" t="str">
        <f t="shared" si="3"/>
        <v/>
      </c>
      <c r="P33" s="580" t="str">
        <f>IF(OR(ISERROR('FR PD 001 V1'!T35),'FR PD 001 V1'!G35=4,'FR PD 001 V1'!G35=5),"",'FR PD 001 V1'!T35)</f>
        <v/>
      </c>
      <c r="Q33" s="579" t="str">
        <f t="shared" si="4"/>
        <v/>
      </c>
      <c r="R33" s="579">
        <f t="shared" si="1"/>
        <v>0</v>
      </c>
      <c r="S33" s="579">
        <f t="shared" si="2"/>
        <v>0</v>
      </c>
    </row>
    <row r="34" spans="1:19" ht="9.75" customHeight="1">
      <c r="A34" s="402" t="e">
        <f>"Conserv.: "&amp;'DATOS ETIQ'!AB$5</f>
        <v>#N/A</v>
      </c>
      <c r="B34" s="357" t="str">
        <f>"Cama: "&amp;'DATOS ETIQ'!O$5</f>
        <v>Cama: NA</v>
      </c>
      <c r="D34" s="401" t="e">
        <f t="shared" si="5"/>
        <v>#N/A</v>
      </c>
      <c r="E34" s="357" t="str">
        <f>+B34</f>
        <v>Cama: NA</v>
      </c>
      <c r="J34" s="356"/>
      <c r="N34" s="580">
        <v>31</v>
      </c>
      <c r="O34" s="580" t="str">
        <f t="shared" si="3"/>
        <v/>
      </c>
      <c r="P34" s="580" t="str">
        <f>IF(OR(ISERROR('FR PD 001 V1'!T36),'FR PD 001 V1'!G36=4,'FR PD 001 V1'!G36=5),"",'FR PD 001 V1'!T36)</f>
        <v/>
      </c>
      <c r="Q34" s="579" t="str">
        <f t="shared" si="4"/>
        <v/>
      </c>
      <c r="R34" s="579">
        <f t="shared" si="1"/>
        <v>0</v>
      </c>
      <c r="S34" s="579">
        <f t="shared" si="2"/>
        <v>0</v>
      </c>
    </row>
    <row r="35" spans="1:19" ht="9.75" customHeight="1">
      <c r="A35" s="357"/>
      <c r="B35" s="357"/>
      <c r="D35" s="357"/>
      <c r="E35" s="357"/>
      <c r="J35" s="356"/>
      <c r="N35" s="580">
        <v>32</v>
      </c>
      <c r="O35" s="580" t="str">
        <f t="shared" si="3"/>
        <v/>
      </c>
      <c r="P35" s="580" t="str">
        <f>IF(OR(ISERROR('FR PD 001 V1'!T37),'FR PD 001 V1'!G37=4,'FR PD 001 V1'!G37=5),"",'FR PD 001 V1'!T37)</f>
        <v/>
      </c>
      <c r="Q35" s="579" t="str">
        <f t="shared" si="4"/>
        <v/>
      </c>
      <c r="R35" s="579">
        <f t="shared" si="1"/>
        <v>0</v>
      </c>
      <c r="S35" s="579">
        <f t="shared" si="2"/>
        <v>0</v>
      </c>
    </row>
    <row r="36" spans="1:19" s="404" customFormat="1" ht="12" customHeight="1">
      <c r="A36" s="806" t="e">
        <f>'DATOS ETIQ'!Q6</f>
        <v>#N/A</v>
      </c>
      <c r="B36" s="806"/>
      <c r="C36" s="403"/>
      <c r="D36" s="806" t="e">
        <f t="shared" si="5"/>
        <v>#N/A</v>
      </c>
      <c r="E36" s="806"/>
      <c r="J36" s="407"/>
      <c r="N36" s="580">
        <v>33</v>
      </c>
      <c r="O36" s="580" t="str">
        <f t="shared" si="3"/>
        <v/>
      </c>
      <c r="P36" s="580" t="str">
        <f>IF(OR(ISERROR('FR PD 001 V1'!T38),'FR PD 001 V1'!G38=4,'FR PD 001 V1'!G38=5),"",'FR PD 001 V1'!T38)</f>
        <v/>
      </c>
      <c r="Q36" s="579" t="str">
        <f t="shared" si="4"/>
        <v/>
      </c>
      <c r="R36" s="579">
        <f t="shared" si="1"/>
        <v>0</v>
      </c>
      <c r="S36" s="579">
        <f t="shared" si="2"/>
        <v>0</v>
      </c>
    </row>
    <row r="37" spans="1:19" ht="9.75" customHeight="1" thickBot="1">
      <c r="A37" s="805" t="e">
        <f>'DATOS ETIQ'!AD6</f>
        <v>#N/A</v>
      </c>
      <c r="B37" s="805"/>
      <c r="C37" s="349"/>
      <c r="D37" s="805" t="e">
        <f t="shared" si="5"/>
        <v>#N/A</v>
      </c>
      <c r="E37" s="805"/>
      <c r="J37" s="356"/>
      <c r="N37" s="580">
        <v>34</v>
      </c>
      <c r="O37" s="580" t="str">
        <f t="shared" si="3"/>
        <v/>
      </c>
      <c r="P37" s="580" t="str">
        <f>IF(OR(ISERROR('FR PD 001 V1'!T39),'FR PD 001 V1'!G39=4,'FR PD 001 V1'!G39=5),"",'FR PD 001 V1'!T39)</f>
        <v/>
      </c>
      <c r="Q37" s="579" t="str">
        <f t="shared" si="4"/>
        <v/>
      </c>
      <c r="R37" s="579">
        <f t="shared" si="1"/>
        <v>0</v>
      </c>
      <c r="S37" s="579">
        <f t="shared" si="2"/>
        <v>0</v>
      </c>
    </row>
    <row r="38" spans="1:19" ht="9.75" customHeight="1">
      <c r="A38" s="353" t="e">
        <f ca="1">'DATOS ETIQ'!H$6</f>
        <v>#N/A</v>
      </c>
      <c r="B38" s="354" t="str">
        <f>"Lt: "&amp;'DATOS ETIQ'!I$6</f>
        <v xml:space="preserve">Lt: </v>
      </c>
      <c r="D38" s="353" t="e">
        <f t="shared" ca="1" si="5"/>
        <v>#N/A</v>
      </c>
      <c r="E38" s="354" t="str">
        <f>B38</f>
        <v xml:space="preserve">Lt: </v>
      </c>
      <c r="G38" s="800" t="e">
        <f>'FR PD 001 V1'!T10</f>
        <v>#N/A</v>
      </c>
      <c r="J38" s="800">
        <v>5</v>
      </c>
      <c r="N38" s="580">
        <v>35</v>
      </c>
      <c r="O38" s="580" t="str">
        <f t="shared" si="3"/>
        <v/>
      </c>
      <c r="P38" s="580" t="str">
        <f>IF(OR(ISERROR('FR PD 001 V1'!T40),'FR PD 001 V1'!G40=4,'FR PD 001 V1'!G40=5),"",'FR PD 001 V1'!T40)</f>
        <v/>
      </c>
      <c r="Q38" s="579" t="str">
        <f t="shared" si="4"/>
        <v/>
      </c>
      <c r="R38" s="579">
        <f t="shared" si="1"/>
        <v>0</v>
      </c>
      <c r="S38" s="579">
        <f t="shared" si="2"/>
        <v>0</v>
      </c>
    </row>
    <row r="39" spans="1:19" ht="9.75" customHeight="1" thickBot="1">
      <c r="A39" s="805" t="str">
        <f>'DATOS ETIQ'!J$6&amp;"  "&amp;'DATOS ETIQ'!K$6</f>
        <v xml:space="preserve">  0</v>
      </c>
      <c r="B39" s="805"/>
      <c r="C39" s="349"/>
      <c r="D39" s="805" t="str">
        <f t="shared" si="5"/>
        <v xml:space="preserve">  0</v>
      </c>
      <c r="E39" s="805"/>
      <c r="G39" s="801"/>
      <c r="J39" s="801"/>
      <c r="N39" s="580">
        <v>36</v>
      </c>
      <c r="O39" s="580" t="str">
        <f t="shared" si="3"/>
        <v/>
      </c>
      <c r="P39" s="580" t="str">
        <f>IF(OR(ISERROR('FR PD 001 V1'!T41),'FR PD 001 V1'!G41=4,'FR PD 001 V1'!G41=5),"",'FR PD 001 V1'!T41)</f>
        <v/>
      </c>
      <c r="Q39" s="579" t="str">
        <f t="shared" si="4"/>
        <v/>
      </c>
      <c r="R39" s="579">
        <f t="shared" si="1"/>
        <v>0</v>
      </c>
      <c r="S39" s="579">
        <f t="shared" si="2"/>
        <v>0</v>
      </c>
    </row>
    <row r="40" spans="1:19" ht="9.75" customHeight="1">
      <c r="A40" s="807" t="str">
        <f>"QFP: "&amp;'DATOS ETIQ'!L$2&amp;"   QFV: "&amp;'DATOS ETIQ'!M$2</f>
        <v>QFP: JGARCIA   QFV: ADELTORO</v>
      </c>
      <c r="B40" s="807"/>
      <c r="D40" s="807" t="str">
        <f t="shared" si="5"/>
        <v>QFP: JGARCIA   QFV: ADELTORO</v>
      </c>
      <c r="E40" s="807"/>
      <c r="J40" s="356"/>
      <c r="N40" s="580">
        <v>37</v>
      </c>
      <c r="O40" s="580" t="str">
        <f t="shared" si="3"/>
        <v/>
      </c>
      <c r="P40" s="580" t="str">
        <f>IF(OR(ISERROR('FR PD 001 V1'!T42),'FR PD 001 V1'!G42=4,'FR PD 001 V1'!G42=5),"",'FR PD 001 V1'!T42)</f>
        <v/>
      </c>
      <c r="Q40" s="579" t="str">
        <f t="shared" si="4"/>
        <v/>
      </c>
      <c r="R40" s="579">
        <f t="shared" si="1"/>
        <v>0</v>
      </c>
      <c r="S40" s="579">
        <f t="shared" si="2"/>
        <v>0</v>
      </c>
    </row>
    <row r="41" spans="1:19" ht="9.75" customHeight="1">
      <c r="A41" s="402" t="str">
        <f>'DATOS ETIQ'!N$6&amp;""</f>
        <v>C.JPC/SEXTO NTE/SCOOP</v>
      </c>
      <c r="B41" s="357" t="e">
        <f>"Via Adm.: "&amp;'DATOS ETIQ'!S$6</f>
        <v>#N/A</v>
      </c>
      <c r="D41" s="401" t="str">
        <f t="shared" si="5"/>
        <v>C.JPC/SEXTO NTE/SCOOP</v>
      </c>
      <c r="E41" s="357" t="e">
        <f>+B41</f>
        <v>#N/A</v>
      </c>
      <c r="J41" s="356"/>
      <c r="N41" s="580">
        <v>38</v>
      </c>
      <c r="O41" s="580" t="str">
        <f t="shared" si="3"/>
        <v/>
      </c>
      <c r="P41" s="580" t="str">
        <f>IF(OR(ISERROR('FR PD 001 V1'!T43),'FR PD 001 V1'!G43=4,'FR PD 001 V1'!G43=5),"",'FR PD 001 V1'!T43)</f>
        <v/>
      </c>
      <c r="Q41" s="579" t="str">
        <f t="shared" si="4"/>
        <v/>
      </c>
      <c r="R41" s="579">
        <f t="shared" si="1"/>
        <v>0</v>
      </c>
      <c r="S41" s="579">
        <f t="shared" si="2"/>
        <v>0</v>
      </c>
    </row>
    <row r="42" spans="1:19" ht="9.75" customHeight="1">
      <c r="A42" s="402" t="e">
        <f>"Conserv.: "&amp;'DATOS ETIQ'!AB$6</f>
        <v>#N/A</v>
      </c>
      <c r="B42" s="357" t="str">
        <f>"Cama: "&amp;'DATOS ETIQ'!O$6</f>
        <v>Cama: NA</v>
      </c>
      <c r="D42" s="401" t="e">
        <f t="shared" si="5"/>
        <v>#N/A</v>
      </c>
      <c r="E42" s="357" t="str">
        <f>+B42</f>
        <v>Cama: NA</v>
      </c>
      <c r="J42" s="356"/>
      <c r="N42" s="580">
        <v>39</v>
      </c>
      <c r="O42" s="580" t="str">
        <f t="shared" si="3"/>
        <v/>
      </c>
      <c r="P42" s="580" t="str">
        <f>IF(OR(ISERROR('FR PD 001 V1'!T44),'FR PD 001 V1'!G44=4,'FR PD 001 V1'!G44=5),"",'FR PD 001 V1'!T44)</f>
        <v/>
      </c>
      <c r="Q42" s="579" t="str">
        <f t="shared" si="4"/>
        <v/>
      </c>
      <c r="R42" s="579">
        <f t="shared" si="1"/>
        <v>0</v>
      </c>
      <c r="S42" s="579">
        <f t="shared" si="2"/>
        <v>0</v>
      </c>
    </row>
    <row r="43" spans="1:19" ht="9.75" customHeight="1">
      <c r="A43" s="357"/>
      <c r="B43" s="357"/>
      <c r="D43" s="357"/>
      <c r="E43" s="357"/>
      <c r="J43" s="356"/>
      <c r="N43" s="580">
        <v>40</v>
      </c>
      <c r="O43" s="580" t="str">
        <f t="shared" si="3"/>
        <v/>
      </c>
      <c r="P43" s="580" t="str">
        <f>IF(OR(ISERROR('FR PD 001 V1'!T45),'FR PD 001 V1'!G45=4,'FR PD 001 V1'!G45=5),"",'FR PD 001 V1'!T45)</f>
        <v/>
      </c>
      <c r="Q43" s="579" t="str">
        <f t="shared" si="4"/>
        <v/>
      </c>
      <c r="R43" s="579">
        <f t="shared" si="1"/>
        <v>0</v>
      </c>
      <c r="S43" s="579">
        <f t="shared" si="2"/>
        <v>0</v>
      </c>
    </row>
    <row r="44" spans="1:19" s="404" customFormat="1" ht="12" customHeight="1">
      <c r="A44" s="806" t="e">
        <f>'DATOS ETIQ'!Q7</f>
        <v>#N/A</v>
      </c>
      <c r="B44" s="806"/>
      <c r="C44" s="403"/>
      <c r="D44" s="806" t="e">
        <f t="shared" si="5"/>
        <v>#N/A</v>
      </c>
      <c r="E44" s="806"/>
      <c r="J44" s="407"/>
      <c r="N44" s="580">
        <v>41</v>
      </c>
      <c r="O44" s="580" t="str">
        <f t="shared" si="3"/>
        <v/>
      </c>
      <c r="P44" s="580" t="str">
        <f>IF(OR(ISERROR('FR PD 001 V1'!T46),'FR PD 001 V1'!G46=4,'FR PD 001 V1'!G46=5),"",'FR PD 001 V1'!T46)</f>
        <v/>
      </c>
      <c r="Q44" s="579" t="str">
        <f t="shared" si="4"/>
        <v/>
      </c>
      <c r="R44" s="579">
        <f t="shared" si="1"/>
        <v>0</v>
      </c>
      <c r="S44" s="579">
        <f t="shared" si="2"/>
        <v>0</v>
      </c>
    </row>
    <row r="45" spans="1:19" ht="9.75" customHeight="1" thickBot="1">
      <c r="A45" s="805" t="e">
        <f>'DATOS ETIQ'!AD7</f>
        <v>#N/A</v>
      </c>
      <c r="B45" s="805"/>
      <c r="C45" s="349"/>
      <c r="D45" s="805" t="e">
        <f t="shared" si="5"/>
        <v>#N/A</v>
      </c>
      <c r="E45" s="805"/>
      <c r="J45" s="356"/>
      <c r="N45" s="580">
        <v>42</v>
      </c>
      <c r="O45" s="580" t="str">
        <f t="shared" si="3"/>
        <v/>
      </c>
      <c r="P45" s="580" t="str">
        <f>IF(OR(ISERROR('FR PD 001 V1'!T47),'FR PD 001 V1'!G47=4,'FR PD 001 V1'!G47=5),"",'FR PD 001 V1'!T47)</f>
        <v/>
      </c>
      <c r="Q45" s="579" t="str">
        <f t="shared" si="4"/>
        <v/>
      </c>
      <c r="R45" s="579">
        <f t="shared" si="1"/>
        <v>0</v>
      </c>
      <c r="S45" s="579">
        <f t="shared" si="2"/>
        <v>0</v>
      </c>
    </row>
    <row r="46" spans="1:19" ht="9.75" customHeight="1">
      <c r="A46" s="353" t="e">
        <f ca="1">'DATOS ETIQ'!H$7</f>
        <v>#N/A</v>
      </c>
      <c r="B46" s="354" t="str">
        <f>"Lt: "&amp;'DATOS ETIQ'!I$7</f>
        <v xml:space="preserve">Lt: </v>
      </c>
      <c r="D46" s="353" t="e">
        <f t="shared" ca="1" si="5"/>
        <v>#N/A</v>
      </c>
      <c r="E46" s="354" t="str">
        <f>B46</f>
        <v xml:space="preserve">Lt: </v>
      </c>
      <c r="G46" s="800" t="e">
        <f>'FR PD 001 V1'!T11</f>
        <v>#N/A</v>
      </c>
      <c r="J46" s="800">
        <v>6</v>
      </c>
      <c r="N46" s="580">
        <v>43</v>
      </c>
      <c r="O46" s="580" t="str">
        <f t="shared" si="3"/>
        <v/>
      </c>
      <c r="P46" s="580" t="str">
        <f>IF(OR(ISERROR('FR PD 001 V1'!T48),'FR PD 001 V1'!G48=4,'FR PD 001 V1'!G48=5),"",'FR PD 001 V1'!T48)</f>
        <v/>
      </c>
      <c r="Q46" s="579" t="str">
        <f t="shared" si="4"/>
        <v/>
      </c>
      <c r="R46" s="579">
        <f t="shared" si="1"/>
        <v>0</v>
      </c>
      <c r="S46" s="579">
        <f t="shared" si="2"/>
        <v>0</v>
      </c>
    </row>
    <row r="47" spans="1:19" ht="9.75" customHeight="1" thickBot="1">
      <c r="A47" s="805" t="str">
        <f>'DATOS ETIQ'!J$7&amp;"  "&amp;'DATOS ETIQ'!K$7</f>
        <v xml:space="preserve">  0</v>
      </c>
      <c r="B47" s="805"/>
      <c r="C47" s="349"/>
      <c r="D47" s="805" t="str">
        <f t="shared" si="5"/>
        <v xml:space="preserve">  0</v>
      </c>
      <c r="E47" s="805"/>
      <c r="G47" s="801"/>
      <c r="J47" s="801"/>
      <c r="N47" s="580">
        <v>44</v>
      </c>
      <c r="O47" s="580" t="str">
        <f t="shared" si="3"/>
        <v/>
      </c>
      <c r="P47" s="580" t="str">
        <f>IF(OR(ISERROR('FR PD 001 V1'!T49),'FR PD 001 V1'!G49=4,'FR PD 001 V1'!G49=5),"",'FR PD 001 V1'!T49)</f>
        <v/>
      </c>
      <c r="Q47" s="579" t="str">
        <f t="shared" si="4"/>
        <v/>
      </c>
      <c r="R47" s="579">
        <f t="shared" si="1"/>
        <v>0</v>
      </c>
      <c r="S47" s="579">
        <f t="shared" si="2"/>
        <v>0</v>
      </c>
    </row>
    <row r="48" spans="1:19" ht="9.75" customHeight="1">
      <c r="A48" s="807" t="str">
        <f>"QFP: "&amp;'DATOS ETIQ'!L$2&amp;"   QFV: "&amp;'DATOS ETIQ'!M$2</f>
        <v>QFP: JGARCIA   QFV: ADELTORO</v>
      </c>
      <c r="B48" s="807"/>
      <c r="D48" s="807" t="str">
        <f t="shared" si="5"/>
        <v>QFP: JGARCIA   QFV: ADELTORO</v>
      </c>
      <c r="E48" s="807"/>
      <c r="J48" s="356"/>
      <c r="O48" s="350"/>
    </row>
    <row r="49" spans="1:15" ht="9.75" customHeight="1">
      <c r="A49" s="402" t="str">
        <f>'DATOS ETIQ'!N$7&amp;""</f>
        <v>C.JPC/SEXTO NTE/SCOOP</v>
      </c>
      <c r="B49" s="357" t="e">
        <f>"Via Adm.: "&amp;'DATOS ETIQ'!S$7</f>
        <v>#N/A</v>
      </c>
      <c r="D49" s="401" t="str">
        <f t="shared" si="5"/>
        <v>C.JPC/SEXTO NTE/SCOOP</v>
      </c>
      <c r="E49" s="357" t="e">
        <f>+B49</f>
        <v>#N/A</v>
      </c>
      <c r="J49" s="356"/>
      <c r="O49" s="350"/>
    </row>
    <row r="50" spans="1:15" ht="9.75" customHeight="1">
      <c r="A50" s="402" t="e">
        <f>"Conserv.: "&amp;'DATOS ETIQ'!AB$7</f>
        <v>#N/A</v>
      </c>
      <c r="B50" s="357" t="str">
        <f>"Cama: "&amp;'DATOS ETIQ'!O$7</f>
        <v>Cama: NA</v>
      </c>
      <c r="D50" s="401" t="e">
        <f t="shared" si="5"/>
        <v>#N/A</v>
      </c>
      <c r="E50" s="357" t="str">
        <f>+B50</f>
        <v>Cama: NA</v>
      </c>
      <c r="J50" s="356"/>
      <c r="O50" s="350"/>
    </row>
    <row r="51" spans="1:15" ht="9.75" customHeight="1">
      <c r="A51" s="357"/>
      <c r="B51" s="357"/>
      <c r="D51" s="357"/>
      <c r="E51" s="357"/>
      <c r="J51" s="356"/>
      <c r="O51" s="350"/>
    </row>
    <row r="52" spans="1:15" s="404" customFormat="1" ht="12" customHeight="1">
      <c r="A52" s="806" t="e">
        <f>'DATOS ETIQ'!Q8</f>
        <v>#N/A</v>
      </c>
      <c r="B52" s="806"/>
      <c r="C52" s="403"/>
      <c r="D52" s="806" t="e">
        <f t="shared" si="5"/>
        <v>#N/A</v>
      </c>
      <c r="E52" s="806"/>
      <c r="J52" s="407"/>
    </row>
    <row r="53" spans="1:15" ht="9.75" customHeight="1" thickBot="1">
      <c r="A53" s="805" t="e">
        <f>'DATOS ETIQ'!AD8</f>
        <v>#N/A</v>
      </c>
      <c r="B53" s="805"/>
      <c r="C53" s="349"/>
      <c r="D53" s="805" t="e">
        <f t="shared" si="5"/>
        <v>#N/A</v>
      </c>
      <c r="E53" s="805"/>
      <c r="J53" s="356"/>
      <c r="O53" s="350"/>
    </row>
    <row r="54" spans="1:15" ht="9.75" customHeight="1">
      <c r="A54" s="353" t="e">
        <f ca="1">'DATOS ETIQ'!H$8</f>
        <v>#N/A</v>
      </c>
      <c r="B54" s="354" t="str">
        <f>"Lt: "&amp;'DATOS ETIQ'!I$8</f>
        <v xml:space="preserve">Lt: </v>
      </c>
      <c r="D54" s="353" t="e">
        <f t="shared" ca="1" si="5"/>
        <v>#N/A</v>
      </c>
      <c r="E54" s="354" t="str">
        <f>B54</f>
        <v xml:space="preserve">Lt: </v>
      </c>
      <c r="G54" s="800" t="e">
        <f>'FR PD 001 V1'!T12</f>
        <v>#N/A</v>
      </c>
      <c r="J54" s="800">
        <v>7</v>
      </c>
      <c r="O54" s="350"/>
    </row>
    <row r="55" spans="1:15" ht="9.75" customHeight="1" thickBot="1">
      <c r="A55" s="805" t="str">
        <f>'DATOS ETIQ'!J$8&amp;"  "&amp;'DATOS ETIQ'!K$8</f>
        <v xml:space="preserve">  0</v>
      </c>
      <c r="B55" s="805"/>
      <c r="C55" s="349"/>
      <c r="D55" s="805" t="str">
        <f t="shared" si="5"/>
        <v xml:space="preserve">  0</v>
      </c>
      <c r="E55" s="805"/>
      <c r="G55" s="801"/>
      <c r="J55" s="801"/>
      <c r="O55" s="350"/>
    </row>
    <row r="56" spans="1:15" ht="9.75" customHeight="1">
      <c r="A56" s="807" t="str">
        <f>"QFP: "&amp;'DATOS ETIQ'!L$2&amp;"   QFV: "&amp;'DATOS ETIQ'!M$2</f>
        <v>QFP: JGARCIA   QFV: ADELTORO</v>
      </c>
      <c r="B56" s="807"/>
      <c r="D56" s="807" t="str">
        <f t="shared" si="5"/>
        <v>QFP: JGARCIA   QFV: ADELTORO</v>
      </c>
      <c r="E56" s="807"/>
      <c r="J56" s="356"/>
      <c r="O56" s="350"/>
    </row>
    <row r="57" spans="1:15" ht="9.75" customHeight="1">
      <c r="A57" s="402" t="str">
        <f>'DATOS ETIQ'!N$8&amp;""</f>
        <v>C.JPC/SEXTO NTE/SCOOP</v>
      </c>
      <c r="B57" s="357" t="e">
        <f>"Via Adm.: "&amp;'DATOS ETIQ'!S$8</f>
        <v>#N/A</v>
      </c>
      <c r="D57" s="401" t="str">
        <f t="shared" si="5"/>
        <v>C.JPC/SEXTO NTE/SCOOP</v>
      </c>
      <c r="E57" s="357" t="e">
        <f>+B57</f>
        <v>#N/A</v>
      </c>
      <c r="J57" s="356"/>
      <c r="O57" s="350"/>
    </row>
    <row r="58" spans="1:15" ht="9.75" customHeight="1">
      <c r="A58" s="402" t="e">
        <f>"Conserv.: "&amp;'DATOS ETIQ'!AB$8</f>
        <v>#N/A</v>
      </c>
      <c r="B58" s="357" t="str">
        <f>"Cama: "&amp;'DATOS ETIQ'!O$8</f>
        <v>Cama: NA</v>
      </c>
      <c r="D58" s="401" t="e">
        <f t="shared" si="5"/>
        <v>#N/A</v>
      </c>
      <c r="E58" s="357" t="str">
        <f>+B58</f>
        <v>Cama: NA</v>
      </c>
      <c r="J58" s="356"/>
      <c r="O58" s="350"/>
    </row>
    <row r="59" spans="1:15" ht="9.75" customHeight="1">
      <c r="A59" s="357"/>
      <c r="B59" s="357"/>
      <c r="D59" s="357"/>
      <c r="E59" s="357"/>
      <c r="J59" s="356"/>
      <c r="O59" s="350"/>
    </row>
    <row r="60" spans="1:15" s="404" customFormat="1" ht="12" customHeight="1">
      <c r="A60" s="806" t="e">
        <f>'DATOS ETIQ'!Q9</f>
        <v>#N/A</v>
      </c>
      <c r="B60" s="806"/>
      <c r="C60" s="403"/>
      <c r="D60" s="806" t="e">
        <f t="shared" si="5"/>
        <v>#N/A</v>
      </c>
      <c r="E60" s="806"/>
      <c r="J60" s="407"/>
    </row>
    <row r="61" spans="1:15" ht="9.75" customHeight="1" thickBot="1">
      <c r="A61" s="805" t="e">
        <f>'DATOS ETIQ'!AD9</f>
        <v>#N/A</v>
      </c>
      <c r="B61" s="805"/>
      <c r="C61" s="349"/>
      <c r="D61" s="805" t="e">
        <f t="shared" si="5"/>
        <v>#N/A</v>
      </c>
      <c r="E61" s="805"/>
      <c r="J61" s="356"/>
      <c r="O61" s="350"/>
    </row>
    <row r="62" spans="1:15" ht="9.75" customHeight="1">
      <c r="A62" s="353" t="e">
        <f ca="1">'DATOS ETIQ'!H$9</f>
        <v>#N/A</v>
      </c>
      <c r="B62" s="354" t="str">
        <f>"Lt: "&amp;'DATOS ETIQ'!I$9</f>
        <v xml:space="preserve">Lt: </v>
      </c>
      <c r="D62" s="353" t="e">
        <f t="shared" ca="1" si="5"/>
        <v>#N/A</v>
      </c>
      <c r="E62" s="354" t="str">
        <f>B62</f>
        <v xml:space="preserve">Lt: </v>
      </c>
      <c r="G62" s="800" t="e">
        <f>'FR PD 001 V1'!T13</f>
        <v>#N/A</v>
      </c>
      <c r="J62" s="800">
        <v>8</v>
      </c>
      <c r="O62" s="350"/>
    </row>
    <row r="63" spans="1:15" ht="9.75" customHeight="1" thickBot="1">
      <c r="A63" s="805" t="str">
        <f>'DATOS ETIQ'!J$9&amp;"  "&amp;'DATOS ETIQ'!K$9</f>
        <v xml:space="preserve">  0</v>
      </c>
      <c r="B63" s="805"/>
      <c r="C63" s="349"/>
      <c r="D63" s="805" t="str">
        <f t="shared" si="5"/>
        <v xml:space="preserve">  0</v>
      </c>
      <c r="E63" s="805"/>
      <c r="G63" s="801"/>
      <c r="J63" s="801"/>
      <c r="O63" s="350"/>
    </row>
    <row r="64" spans="1:15" ht="9.75" customHeight="1">
      <c r="A64" s="807" t="str">
        <f>"QFP: "&amp;'DATOS ETIQ'!L$2&amp;"   QFV: "&amp;'DATOS ETIQ'!M$2</f>
        <v>QFP: JGARCIA   QFV: ADELTORO</v>
      </c>
      <c r="B64" s="807"/>
      <c r="D64" s="807" t="str">
        <f t="shared" si="5"/>
        <v>QFP: JGARCIA   QFV: ADELTORO</v>
      </c>
      <c r="E64" s="807"/>
      <c r="J64" s="356"/>
      <c r="O64" s="350"/>
    </row>
    <row r="65" spans="1:15" ht="9.75" customHeight="1">
      <c r="A65" s="402" t="str">
        <f>'DATOS ETIQ'!N$9&amp;""</f>
        <v>C.JPC/SEXTO NTE/SCOOP</v>
      </c>
      <c r="B65" s="357" t="e">
        <f>"Via Adm.: "&amp;'DATOS ETIQ'!S$9</f>
        <v>#N/A</v>
      </c>
      <c r="D65" s="401" t="str">
        <f t="shared" si="5"/>
        <v>C.JPC/SEXTO NTE/SCOOP</v>
      </c>
      <c r="E65" s="357" t="e">
        <f>+B65</f>
        <v>#N/A</v>
      </c>
      <c r="J65" s="356"/>
      <c r="O65" s="350"/>
    </row>
    <row r="66" spans="1:15" ht="9.75" customHeight="1">
      <c r="A66" s="402" t="e">
        <f>"Conserv.: "&amp;'DATOS ETIQ'!AB$9</f>
        <v>#N/A</v>
      </c>
      <c r="B66" s="357" t="str">
        <f>"Cama: "&amp;'DATOS ETIQ'!O$9</f>
        <v>Cama: NA</v>
      </c>
      <c r="D66" s="401" t="e">
        <f t="shared" si="5"/>
        <v>#N/A</v>
      </c>
      <c r="E66" s="357" t="str">
        <f>+B66</f>
        <v>Cama: NA</v>
      </c>
      <c r="J66" s="356"/>
      <c r="O66" s="350"/>
    </row>
    <row r="67" spans="1:15" ht="9.75" customHeight="1">
      <c r="A67" s="357"/>
      <c r="B67" s="357"/>
      <c r="D67" s="357"/>
      <c r="E67" s="357"/>
      <c r="J67" s="356"/>
      <c r="O67" s="350"/>
    </row>
    <row r="68" spans="1:15" s="404" customFormat="1" ht="12" customHeight="1">
      <c r="A68" s="806" t="e">
        <f>'DATOS ETIQ'!Q10</f>
        <v>#N/A</v>
      </c>
      <c r="B68" s="806"/>
      <c r="C68" s="403"/>
      <c r="D68" s="806" t="e">
        <f t="shared" si="5"/>
        <v>#N/A</v>
      </c>
      <c r="E68" s="806"/>
      <c r="J68" s="407"/>
    </row>
    <row r="69" spans="1:15" ht="9.75" customHeight="1" thickBot="1">
      <c r="A69" s="805" t="e">
        <f>'DATOS ETIQ'!AD10</f>
        <v>#N/A</v>
      </c>
      <c r="B69" s="805"/>
      <c r="C69" s="349"/>
      <c r="D69" s="805" t="e">
        <f t="shared" si="5"/>
        <v>#N/A</v>
      </c>
      <c r="E69" s="805"/>
      <c r="J69" s="356"/>
      <c r="O69" s="350"/>
    </row>
    <row r="70" spans="1:15" ht="9.75" customHeight="1">
      <c r="A70" s="353" t="e">
        <f ca="1">'DATOS ETIQ'!H$10</f>
        <v>#N/A</v>
      </c>
      <c r="B70" s="354" t="str">
        <f>"Lt: "&amp;'DATOS ETIQ'!I$10</f>
        <v xml:space="preserve">Lt: </v>
      </c>
      <c r="D70" s="353" t="e">
        <f t="shared" ca="1" si="5"/>
        <v>#N/A</v>
      </c>
      <c r="E70" s="354" t="str">
        <f>B70</f>
        <v xml:space="preserve">Lt: </v>
      </c>
      <c r="G70" s="800" t="e">
        <f>'FR PD 001 V1'!T14</f>
        <v>#N/A</v>
      </c>
      <c r="J70" s="800">
        <v>9</v>
      </c>
      <c r="O70" s="350"/>
    </row>
    <row r="71" spans="1:15" ht="9.75" customHeight="1" thickBot="1">
      <c r="A71" s="805" t="str">
        <f>'DATOS ETIQ'!J$10&amp;"  "&amp;'DATOS ETIQ'!K$10</f>
        <v xml:space="preserve">  0</v>
      </c>
      <c r="B71" s="805"/>
      <c r="C71" s="349"/>
      <c r="D71" s="805" t="str">
        <f t="shared" si="5"/>
        <v xml:space="preserve">  0</v>
      </c>
      <c r="E71" s="805"/>
      <c r="G71" s="801"/>
      <c r="J71" s="801"/>
      <c r="O71" s="350"/>
    </row>
    <row r="72" spans="1:15" ht="9.75" customHeight="1">
      <c r="A72" s="807" t="str">
        <f>"QFP: "&amp;'DATOS ETIQ'!L$2&amp;"   QFV: "&amp;'DATOS ETIQ'!M$2</f>
        <v>QFP: JGARCIA   QFV: ADELTORO</v>
      </c>
      <c r="B72" s="807"/>
      <c r="D72" s="807" t="str">
        <f t="shared" si="5"/>
        <v>QFP: JGARCIA   QFV: ADELTORO</v>
      </c>
      <c r="E72" s="807"/>
      <c r="J72" s="356"/>
      <c r="O72" s="350"/>
    </row>
    <row r="73" spans="1:15" ht="9.75" customHeight="1">
      <c r="A73" s="402" t="str">
        <f>'DATOS ETIQ'!N$10&amp;""</f>
        <v>C.JPC/SEXTO NTE/SCOOP</v>
      </c>
      <c r="B73" s="357" t="e">
        <f>"Via Adm.: "&amp;'DATOS ETIQ'!S$10</f>
        <v>#N/A</v>
      </c>
      <c r="D73" s="401" t="str">
        <f t="shared" si="5"/>
        <v>C.JPC/SEXTO NTE/SCOOP</v>
      </c>
      <c r="E73" s="357" t="e">
        <f>+B73</f>
        <v>#N/A</v>
      </c>
      <c r="J73" s="356"/>
      <c r="O73" s="350"/>
    </row>
    <row r="74" spans="1:15" ht="9.75" customHeight="1">
      <c r="A74" s="402" t="e">
        <f>"Conserv.: "&amp;'DATOS ETIQ'!AB$10</f>
        <v>#N/A</v>
      </c>
      <c r="B74" s="357" t="str">
        <f>"Cama: "&amp;'DATOS ETIQ'!O$10</f>
        <v>Cama: NA</v>
      </c>
      <c r="D74" s="401" t="e">
        <f t="shared" si="5"/>
        <v>#N/A</v>
      </c>
      <c r="E74" s="357" t="str">
        <f>+B74</f>
        <v>Cama: NA</v>
      </c>
      <c r="J74" s="356"/>
      <c r="O74" s="350"/>
    </row>
    <row r="75" spans="1:15" ht="9.75" customHeight="1">
      <c r="A75" s="357"/>
      <c r="B75" s="357"/>
      <c r="D75" s="357"/>
      <c r="E75" s="357"/>
      <c r="J75" s="356"/>
      <c r="O75" s="350"/>
    </row>
    <row r="76" spans="1:15" s="404" customFormat="1" ht="12" customHeight="1">
      <c r="A76" s="806" t="e">
        <f>'DATOS ETIQ'!Q$11</f>
        <v>#N/A</v>
      </c>
      <c r="B76" s="806"/>
      <c r="C76" s="403"/>
      <c r="D76" s="806" t="e">
        <f t="shared" si="5"/>
        <v>#N/A</v>
      </c>
      <c r="E76" s="806"/>
      <c r="J76" s="407"/>
    </row>
    <row r="77" spans="1:15" ht="9.75" customHeight="1" thickBot="1">
      <c r="A77" s="805" t="e">
        <f>'DATOS ETIQ'!AD11</f>
        <v>#N/A</v>
      </c>
      <c r="B77" s="805"/>
      <c r="C77" s="349"/>
      <c r="D77" s="805" t="e">
        <f t="shared" si="5"/>
        <v>#N/A</v>
      </c>
      <c r="E77" s="805"/>
      <c r="J77" s="356"/>
      <c r="O77" s="350"/>
    </row>
    <row r="78" spans="1:15" ht="9.75" customHeight="1">
      <c r="A78" s="353" t="e">
        <f ca="1">'DATOS ETIQ'!H$11</f>
        <v>#N/A</v>
      </c>
      <c r="B78" s="354" t="str">
        <f>"Lt: "&amp;'DATOS ETIQ'!I$11</f>
        <v xml:space="preserve">Lt: </v>
      </c>
      <c r="D78" s="353" t="e">
        <f t="shared" ca="1" si="5"/>
        <v>#N/A</v>
      </c>
      <c r="E78" s="354" t="str">
        <f>B78</f>
        <v xml:space="preserve">Lt: </v>
      </c>
      <c r="G78" s="800" t="e">
        <f>'FR PD 001 V1'!T15</f>
        <v>#N/A</v>
      </c>
      <c r="J78" s="800">
        <v>10</v>
      </c>
      <c r="O78" s="350"/>
    </row>
    <row r="79" spans="1:15" ht="9.75" customHeight="1" thickBot="1">
      <c r="A79" s="805" t="str">
        <f>'DATOS ETIQ'!J$11&amp;"  "&amp;'DATOS ETIQ'!K$11</f>
        <v xml:space="preserve">  0</v>
      </c>
      <c r="B79" s="805"/>
      <c r="C79" s="349"/>
      <c r="D79" s="805" t="str">
        <f t="shared" si="5"/>
        <v xml:space="preserve">  0</v>
      </c>
      <c r="E79" s="805"/>
      <c r="G79" s="801"/>
      <c r="J79" s="801"/>
      <c r="O79" s="350"/>
    </row>
    <row r="80" spans="1:15" ht="9.75" customHeight="1">
      <c r="A80" s="807" t="str">
        <f>"QFP: "&amp;'DATOS ETIQ'!L$2&amp;"   QFV: "&amp;'DATOS ETIQ'!M$2</f>
        <v>QFP: JGARCIA   QFV: ADELTORO</v>
      </c>
      <c r="B80" s="807"/>
      <c r="D80" s="807" t="str">
        <f t="shared" si="5"/>
        <v>QFP: JGARCIA   QFV: ADELTORO</v>
      </c>
      <c r="E80" s="807"/>
      <c r="J80" s="356"/>
      <c r="O80" s="350"/>
    </row>
    <row r="81" spans="1:15" ht="9.75" customHeight="1">
      <c r="A81" s="402" t="str">
        <f>'DATOS ETIQ'!N$11&amp;""</f>
        <v>C.JPC/SEXTO NTE/SCOOP</v>
      </c>
      <c r="B81" s="357" t="e">
        <f>"Via Adm.: "&amp;'DATOS ETIQ'!S$11</f>
        <v>#N/A</v>
      </c>
      <c r="D81" s="401" t="str">
        <f t="shared" si="5"/>
        <v>C.JPC/SEXTO NTE/SCOOP</v>
      </c>
      <c r="E81" s="357" t="e">
        <f>+B81</f>
        <v>#N/A</v>
      </c>
      <c r="J81" s="356"/>
      <c r="O81" s="350"/>
    </row>
    <row r="82" spans="1:15" ht="9.75" customHeight="1">
      <c r="A82" s="402" t="e">
        <f>"Conserv.: "&amp;'DATOS ETIQ'!AB$11</f>
        <v>#N/A</v>
      </c>
      <c r="B82" s="357" t="str">
        <f>"Cama: "&amp;'DATOS ETIQ'!O$11</f>
        <v>Cama: NA</v>
      </c>
      <c r="D82" s="401" t="e">
        <f t="shared" si="5"/>
        <v>#N/A</v>
      </c>
      <c r="E82" s="357" t="str">
        <f>+B82</f>
        <v>Cama: NA</v>
      </c>
      <c r="J82" s="356"/>
      <c r="O82" s="350"/>
    </row>
    <row r="83" spans="1:15" ht="9.75" customHeight="1">
      <c r="A83" s="357"/>
      <c r="B83" s="357"/>
      <c r="D83" s="357"/>
      <c r="E83" s="357"/>
      <c r="J83" s="356"/>
      <c r="O83" s="350"/>
    </row>
    <row r="84" spans="1:15" s="404" customFormat="1" ht="12" customHeight="1">
      <c r="A84" s="806" t="e">
        <f>'DATOS ETIQ'!Q$12</f>
        <v>#N/A</v>
      </c>
      <c r="B84" s="806"/>
      <c r="C84" s="403"/>
      <c r="D84" s="806" t="e">
        <f t="shared" si="5"/>
        <v>#N/A</v>
      </c>
      <c r="E84" s="806"/>
      <c r="J84" s="407"/>
    </row>
    <row r="85" spans="1:15" ht="9.75" customHeight="1" thickBot="1">
      <c r="A85" s="805" t="e">
        <f>'DATOS ETIQ'!AD12</f>
        <v>#N/A</v>
      </c>
      <c r="B85" s="805"/>
      <c r="C85" s="349"/>
      <c r="D85" s="805" t="e">
        <f t="shared" si="5"/>
        <v>#N/A</v>
      </c>
      <c r="E85" s="805"/>
      <c r="J85" s="356"/>
      <c r="O85" s="350"/>
    </row>
    <row r="86" spans="1:15" ht="9.75" customHeight="1">
      <c r="A86" s="353" t="e">
        <f ca="1">'DATOS ETIQ'!H$12</f>
        <v>#N/A</v>
      </c>
      <c r="B86" s="354" t="str">
        <f>"Lt: "&amp;'DATOS ETIQ'!I$12</f>
        <v xml:space="preserve">Lt: </v>
      </c>
      <c r="D86" s="353" t="e">
        <f t="shared" ca="1" si="5"/>
        <v>#N/A</v>
      </c>
      <c r="E86" s="354" t="str">
        <f>B86</f>
        <v xml:space="preserve">Lt: </v>
      </c>
      <c r="G86" s="800" t="e">
        <f>'FR PD 001 V1'!T16</f>
        <v>#N/A</v>
      </c>
      <c r="J86" s="800">
        <v>11</v>
      </c>
      <c r="O86" s="350"/>
    </row>
    <row r="87" spans="1:15" ht="9.75" customHeight="1" thickBot="1">
      <c r="A87" s="805" t="str">
        <f>'DATOS ETIQ'!J$12&amp;"  "&amp;'DATOS ETIQ'!K$12</f>
        <v xml:space="preserve">  0</v>
      </c>
      <c r="B87" s="805"/>
      <c r="C87" s="349"/>
      <c r="D87" s="805" t="str">
        <f t="shared" si="5"/>
        <v xml:space="preserve">  0</v>
      </c>
      <c r="E87" s="805"/>
      <c r="G87" s="801"/>
      <c r="J87" s="801"/>
      <c r="O87" s="350"/>
    </row>
    <row r="88" spans="1:15" ht="9.75" customHeight="1">
      <c r="A88" s="807" t="str">
        <f>"QFP: "&amp;'DATOS ETIQ'!L$2&amp;"   QFV: "&amp;'DATOS ETIQ'!M$2</f>
        <v>QFP: JGARCIA   QFV: ADELTORO</v>
      </c>
      <c r="B88" s="807"/>
      <c r="D88" s="807" t="str">
        <f t="shared" si="5"/>
        <v>QFP: JGARCIA   QFV: ADELTORO</v>
      </c>
      <c r="E88" s="807"/>
      <c r="J88" s="356"/>
      <c r="O88" s="350"/>
    </row>
    <row r="89" spans="1:15" ht="9.75" customHeight="1">
      <c r="A89" s="402" t="str">
        <f>'DATOS ETIQ'!N$12&amp;""</f>
        <v>C.JPC/SEXTO NTE/SCOOP</v>
      </c>
      <c r="B89" s="357" t="e">
        <f>"Via Adm.: "&amp;'DATOS ETIQ'!S$12</f>
        <v>#N/A</v>
      </c>
      <c r="D89" s="401" t="str">
        <f t="shared" si="5"/>
        <v>C.JPC/SEXTO NTE/SCOOP</v>
      </c>
      <c r="E89" s="357" t="e">
        <f>+B89</f>
        <v>#N/A</v>
      </c>
      <c r="J89" s="356"/>
      <c r="O89" s="350"/>
    </row>
    <row r="90" spans="1:15" ht="9.75" customHeight="1">
      <c r="A90" s="402" t="e">
        <f>"Conserv.: "&amp;'DATOS ETIQ'!AB$12</f>
        <v>#N/A</v>
      </c>
      <c r="B90" s="357" t="str">
        <f>"Cama: "&amp;'DATOS ETIQ'!O$12</f>
        <v>Cama: NA</v>
      </c>
      <c r="D90" s="401" t="e">
        <f>A90</f>
        <v>#N/A</v>
      </c>
      <c r="E90" s="357" t="str">
        <f>+B90</f>
        <v>Cama: NA</v>
      </c>
      <c r="J90" s="356"/>
      <c r="O90" s="350"/>
    </row>
    <row r="91" spans="1:15" ht="9.75" customHeight="1">
      <c r="A91" s="357"/>
      <c r="B91" s="357"/>
      <c r="D91" s="357"/>
      <c r="E91" s="357"/>
      <c r="J91" s="356"/>
      <c r="O91" s="350"/>
    </row>
    <row r="92" spans="1:15" s="404" customFormat="1" ht="12" customHeight="1">
      <c r="A92" s="806" t="e">
        <f>'DATOS ETIQ'!Q$13</f>
        <v>#N/A</v>
      </c>
      <c r="B92" s="806"/>
      <c r="C92" s="403"/>
      <c r="D92" s="806" t="e">
        <f t="shared" ref="D92:D162" si="6">A92</f>
        <v>#N/A</v>
      </c>
      <c r="E92" s="806"/>
      <c r="J92" s="407"/>
    </row>
    <row r="93" spans="1:15" ht="9.75" customHeight="1" thickBot="1">
      <c r="A93" s="805" t="e">
        <f>'DATOS ETIQ'!AD13</f>
        <v>#N/A</v>
      </c>
      <c r="B93" s="805"/>
      <c r="C93" s="349"/>
      <c r="D93" s="805" t="e">
        <f t="shared" si="6"/>
        <v>#N/A</v>
      </c>
      <c r="E93" s="805"/>
      <c r="J93" s="356"/>
      <c r="O93" s="350"/>
    </row>
    <row r="94" spans="1:15" ht="9.75" customHeight="1">
      <c r="A94" s="353" t="e">
        <f ca="1">'DATOS ETIQ'!H$13</f>
        <v>#N/A</v>
      </c>
      <c r="B94" s="354" t="str">
        <f>"Lt: "&amp;'DATOS ETIQ'!I$13</f>
        <v xml:space="preserve">Lt: </v>
      </c>
      <c r="D94" s="353" t="e">
        <f t="shared" ca="1" si="6"/>
        <v>#N/A</v>
      </c>
      <c r="E94" s="354" t="str">
        <f>B94</f>
        <v xml:space="preserve">Lt: </v>
      </c>
      <c r="G94" s="800" t="e">
        <f>'FR PD 001 V1'!T17</f>
        <v>#N/A</v>
      </c>
      <c r="J94" s="800">
        <v>12</v>
      </c>
      <c r="O94" s="350"/>
    </row>
    <row r="95" spans="1:15" ht="9.75" customHeight="1" thickBot="1">
      <c r="A95" s="805" t="str">
        <f>'DATOS ETIQ'!J$13&amp;"  "&amp;'DATOS ETIQ'!K$13</f>
        <v xml:space="preserve">  0</v>
      </c>
      <c r="B95" s="805"/>
      <c r="C95" s="349"/>
      <c r="D95" s="805" t="str">
        <f t="shared" si="6"/>
        <v xml:space="preserve">  0</v>
      </c>
      <c r="E95" s="805"/>
      <c r="G95" s="801"/>
      <c r="J95" s="801"/>
      <c r="O95" s="350"/>
    </row>
    <row r="96" spans="1:15" ht="9.75" customHeight="1">
      <c r="A96" s="807" t="str">
        <f>"QFP: "&amp;'DATOS ETIQ'!L$2&amp;"   QFV: "&amp;'DATOS ETIQ'!M$2</f>
        <v>QFP: JGARCIA   QFV: ADELTORO</v>
      </c>
      <c r="B96" s="807"/>
      <c r="D96" s="807" t="str">
        <f t="shared" si="6"/>
        <v>QFP: JGARCIA   QFV: ADELTORO</v>
      </c>
      <c r="E96" s="807"/>
      <c r="J96" s="356"/>
      <c r="O96" s="350"/>
    </row>
    <row r="97" spans="1:15" ht="9.75" customHeight="1">
      <c r="A97" s="402" t="str">
        <f>'DATOS ETIQ'!N$13&amp;""</f>
        <v>C.JPC/SEXTO NTE/SCOOP</v>
      </c>
      <c r="B97" s="357" t="e">
        <f>"Via Adm.: "&amp;'DATOS ETIQ'!S$13</f>
        <v>#N/A</v>
      </c>
      <c r="D97" s="401" t="str">
        <f t="shared" si="6"/>
        <v>C.JPC/SEXTO NTE/SCOOP</v>
      </c>
      <c r="E97" s="357" t="e">
        <f>+B97</f>
        <v>#N/A</v>
      </c>
      <c r="J97" s="356"/>
      <c r="O97" s="350"/>
    </row>
    <row r="98" spans="1:15" ht="9.75" customHeight="1">
      <c r="A98" s="402" t="e">
        <f>"Conserv.: "&amp;'DATOS ETIQ'!AB$13</f>
        <v>#N/A</v>
      </c>
      <c r="B98" s="357" t="str">
        <f>"Cama: "&amp;'DATOS ETIQ'!O$13</f>
        <v>Cama: NA</v>
      </c>
      <c r="D98" s="401" t="e">
        <f t="shared" si="6"/>
        <v>#N/A</v>
      </c>
      <c r="E98" s="357" t="str">
        <f>+B98</f>
        <v>Cama: NA</v>
      </c>
      <c r="J98" s="356"/>
      <c r="O98" s="350"/>
    </row>
    <row r="99" spans="1:15" ht="9.75" customHeight="1">
      <c r="A99" s="357"/>
      <c r="B99" s="357"/>
      <c r="D99" s="357"/>
      <c r="E99" s="357"/>
      <c r="J99" s="356"/>
      <c r="O99" s="350"/>
    </row>
    <row r="100" spans="1:15" s="404" customFormat="1" ht="12" customHeight="1">
      <c r="A100" s="806" t="e">
        <f>'DATOS ETIQ'!Q$14</f>
        <v>#N/A</v>
      </c>
      <c r="B100" s="806"/>
      <c r="C100" s="403"/>
      <c r="D100" s="806" t="e">
        <f t="shared" si="6"/>
        <v>#N/A</v>
      </c>
      <c r="E100" s="806"/>
      <c r="J100" s="407"/>
    </row>
    <row r="101" spans="1:15" ht="9.75" customHeight="1" thickBot="1">
      <c r="A101" s="805" t="e">
        <f>'DATOS ETIQ'!AD14</f>
        <v>#N/A</v>
      </c>
      <c r="B101" s="805"/>
      <c r="C101" s="349"/>
      <c r="D101" s="805" t="e">
        <f t="shared" si="6"/>
        <v>#N/A</v>
      </c>
      <c r="E101" s="805"/>
      <c r="J101" s="356"/>
      <c r="O101" s="350"/>
    </row>
    <row r="102" spans="1:15" ht="9.75" customHeight="1">
      <c r="A102" s="353" t="e">
        <f ca="1">'DATOS ETIQ'!H$14</f>
        <v>#N/A</v>
      </c>
      <c r="B102" s="354" t="str">
        <f>"Lt: "&amp;'DATOS ETIQ'!I$14</f>
        <v xml:space="preserve">Lt: </v>
      </c>
      <c r="D102" s="353" t="e">
        <f t="shared" ca="1" si="6"/>
        <v>#N/A</v>
      </c>
      <c r="E102" s="354" t="str">
        <f>B102</f>
        <v xml:space="preserve">Lt: </v>
      </c>
      <c r="G102" s="800" t="e">
        <f>'FR PD 001 V1'!T18</f>
        <v>#N/A</v>
      </c>
      <c r="J102" s="800">
        <v>13</v>
      </c>
      <c r="O102" s="350"/>
    </row>
    <row r="103" spans="1:15" ht="9.75" customHeight="1" thickBot="1">
      <c r="A103" s="805" t="str">
        <f>'DATOS ETIQ'!J$14&amp;"  "&amp;'DATOS ETIQ'!K$14</f>
        <v xml:space="preserve">  0</v>
      </c>
      <c r="B103" s="805"/>
      <c r="C103" s="349"/>
      <c r="D103" s="805" t="str">
        <f t="shared" si="6"/>
        <v xml:space="preserve">  0</v>
      </c>
      <c r="E103" s="805"/>
      <c r="G103" s="801"/>
      <c r="J103" s="801"/>
      <c r="O103" s="350"/>
    </row>
    <row r="104" spans="1:15" ht="9.75" customHeight="1">
      <c r="A104" s="807" t="str">
        <f>"QFP: "&amp;'DATOS ETIQ'!L$2&amp;"   QFV: "&amp;'DATOS ETIQ'!M$2</f>
        <v>QFP: JGARCIA   QFV: ADELTORO</v>
      </c>
      <c r="B104" s="807"/>
      <c r="D104" s="807" t="str">
        <f t="shared" si="6"/>
        <v>QFP: JGARCIA   QFV: ADELTORO</v>
      </c>
      <c r="E104" s="807"/>
      <c r="J104" s="356"/>
      <c r="O104" s="350"/>
    </row>
    <row r="105" spans="1:15" ht="9.75" customHeight="1">
      <c r="A105" s="402" t="str">
        <f>'DATOS ETIQ'!N$14&amp;""</f>
        <v>C.JPC/SEXTO NTE/SCOOP</v>
      </c>
      <c r="B105" s="357" t="e">
        <f>"Via Adm.: "&amp;'DATOS ETIQ'!S$14</f>
        <v>#N/A</v>
      </c>
      <c r="D105" s="401" t="str">
        <f t="shared" si="6"/>
        <v>C.JPC/SEXTO NTE/SCOOP</v>
      </c>
      <c r="E105" s="357" t="e">
        <f>+B105</f>
        <v>#N/A</v>
      </c>
      <c r="J105" s="356"/>
      <c r="O105" s="350"/>
    </row>
    <row r="106" spans="1:15" ht="9.75" customHeight="1">
      <c r="A106" s="402" t="e">
        <f>"Conserv.: "&amp;'DATOS ETIQ'!AB$14</f>
        <v>#N/A</v>
      </c>
      <c r="B106" s="357" t="str">
        <f>"Cama: "&amp;'DATOS ETIQ'!O$14</f>
        <v>Cama: NA</v>
      </c>
      <c r="D106" s="401" t="e">
        <f t="shared" si="6"/>
        <v>#N/A</v>
      </c>
      <c r="E106" s="357" t="str">
        <f>+B106</f>
        <v>Cama: NA</v>
      </c>
      <c r="J106" s="356"/>
      <c r="O106" s="350"/>
    </row>
    <row r="107" spans="1:15" ht="9.75" customHeight="1">
      <c r="A107" s="357"/>
      <c r="B107" s="357"/>
      <c r="D107" s="357"/>
      <c r="E107" s="357"/>
      <c r="J107" s="356"/>
      <c r="O107" s="350"/>
    </row>
    <row r="108" spans="1:15" s="404" customFormat="1" ht="12" customHeight="1">
      <c r="A108" s="806" t="e">
        <f>'DATOS ETIQ'!Q$15</f>
        <v>#N/A</v>
      </c>
      <c r="B108" s="806"/>
      <c r="C108" s="403"/>
      <c r="D108" s="806" t="e">
        <f t="shared" si="6"/>
        <v>#N/A</v>
      </c>
      <c r="E108" s="806"/>
      <c r="J108" s="407"/>
    </row>
    <row r="109" spans="1:15" ht="9.75" customHeight="1" thickBot="1">
      <c r="A109" s="805" t="e">
        <f>'DATOS ETIQ'!AD15</f>
        <v>#N/A</v>
      </c>
      <c r="B109" s="805"/>
      <c r="C109" s="349"/>
      <c r="D109" s="805" t="e">
        <f t="shared" si="6"/>
        <v>#N/A</v>
      </c>
      <c r="E109" s="805"/>
      <c r="J109" s="356"/>
      <c r="O109" s="350"/>
    </row>
    <row r="110" spans="1:15" ht="9.75" customHeight="1">
      <c r="A110" s="353" t="e">
        <f ca="1">'DATOS ETIQ'!H$15</f>
        <v>#N/A</v>
      </c>
      <c r="B110" s="354" t="str">
        <f>"Lt: "&amp;'DATOS ETIQ'!I$15</f>
        <v xml:space="preserve">Lt: </v>
      </c>
      <c r="D110" s="353" t="e">
        <f t="shared" ca="1" si="6"/>
        <v>#N/A</v>
      </c>
      <c r="E110" s="354" t="str">
        <f>B110</f>
        <v xml:space="preserve">Lt: </v>
      </c>
      <c r="G110" s="800" t="e">
        <f>'FR PD 001 V1'!T19</f>
        <v>#N/A</v>
      </c>
      <c r="J110" s="800">
        <v>14</v>
      </c>
      <c r="O110" s="350"/>
    </row>
    <row r="111" spans="1:15" ht="9.75" customHeight="1" thickBot="1">
      <c r="A111" s="805" t="str">
        <f>'DATOS ETIQ'!J$15&amp;"  "&amp;'DATOS ETIQ'!K$15</f>
        <v xml:space="preserve">  0</v>
      </c>
      <c r="B111" s="805"/>
      <c r="C111" s="349"/>
      <c r="D111" s="805" t="str">
        <f t="shared" si="6"/>
        <v xml:space="preserve">  0</v>
      </c>
      <c r="E111" s="805"/>
      <c r="G111" s="801"/>
      <c r="J111" s="801"/>
      <c r="O111" s="350"/>
    </row>
    <row r="112" spans="1:15" ht="9.75" customHeight="1">
      <c r="A112" s="807" t="str">
        <f>"QFP: "&amp;'DATOS ETIQ'!L$2&amp;"   QFV: "&amp;'DATOS ETIQ'!M$2</f>
        <v>QFP: JGARCIA   QFV: ADELTORO</v>
      </c>
      <c r="B112" s="807"/>
      <c r="D112" s="807" t="str">
        <f t="shared" si="6"/>
        <v>QFP: JGARCIA   QFV: ADELTORO</v>
      </c>
      <c r="E112" s="807"/>
      <c r="J112" s="356"/>
      <c r="O112" s="350"/>
    </row>
    <row r="113" spans="1:15" ht="9.75" customHeight="1">
      <c r="A113" s="402" t="str">
        <f>'DATOS ETIQ'!N$15&amp;""</f>
        <v>C.JPC/SEXTO NTE/SCOOP</v>
      </c>
      <c r="B113" s="357" t="e">
        <f>"Via Adm.: "&amp;'DATOS ETIQ'!S$15</f>
        <v>#N/A</v>
      </c>
      <c r="D113" s="401" t="str">
        <f t="shared" si="6"/>
        <v>C.JPC/SEXTO NTE/SCOOP</v>
      </c>
      <c r="E113" s="357" t="e">
        <f>+B113</f>
        <v>#N/A</v>
      </c>
      <c r="J113" s="356"/>
      <c r="O113" s="350"/>
    </row>
    <row r="114" spans="1:15" ht="9.75" customHeight="1">
      <c r="A114" s="402" t="e">
        <f>"Conserv.: "&amp;'DATOS ETIQ'!AB$15</f>
        <v>#N/A</v>
      </c>
      <c r="B114" s="357" t="str">
        <f>"Cama: "&amp;'DATOS ETIQ'!O$15</f>
        <v>Cama: NA</v>
      </c>
      <c r="D114" s="401" t="e">
        <f t="shared" si="6"/>
        <v>#N/A</v>
      </c>
      <c r="E114" s="357" t="str">
        <f>+B114</f>
        <v>Cama: NA</v>
      </c>
      <c r="J114" s="356"/>
      <c r="O114" s="350"/>
    </row>
    <row r="115" spans="1:15" ht="9.75" customHeight="1">
      <c r="A115" s="357"/>
      <c r="B115" s="357"/>
      <c r="D115" s="357"/>
      <c r="E115" s="357"/>
      <c r="J115" s="356"/>
      <c r="O115" s="350"/>
    </row>
    <row r="116" spans="1:15" s="404" customFormat="1" ht="12" customHeight="1">
      <c r="A116" s="806" t="e">
        <f>'DATOS ETIQ'!Q$16</f>
        <v>#N/A</v>
      </c>
      <c r="B116" s="806"/>
      <c r="C116" s="403"/>
      <c r="D116" s="806" t="e">
        <f t="shared" si="6"/>
        <v>#N/A</v>
      </c>
      <c r="E116" s="806"/>
      <c r="J116" s="407"/>
    </row>
    <row r="117" spans="1:15" ht="9.75" customHeight="1" thickBot="1">
      <c r="A117" s="805" t="e">
        <f>'DATOS ETIQ'!AD16</f>
        <v>#N/A</v>
      </c>
      <c r="B117" s="805"/>
      <c r="C117" s="349"/>
      <c r="D117" s="805" t="e">
        <f t="shared" si="6"/>
        <v>#N/A</v>
      </c>
      <c r="E117" s="805"/>
      <c r="J117" s="356"/>
      <c r="O117" s="350"/>
    </row>
    <row r="118" spans="1:15" ht="9.75" customHeight="1">
      <c r="A118" s="353" t="e">
        <f ca="1">'DATOS ETIQ'!H$16</f>
        <v>#N/A</v>
      </c>
      <c r="B118" s="354" t="str">
        <f>"Lt: "&amp;'DATOS ETIQ'!I$16</f>
        <v xml:space="preserve">Lt: </v>
      </c>
      <c r="D118" s="353" t="e">
        <f t="shared" ca="1" si="6"/>
        <v>#N/A</v>
      </c>
      <c r="E118" s="354" t="str">
        <f>B118</f>
        <v xml:space="preserve">Lt: </v>
      </c>
      <c r="G118" s="800" t="e">
        <f>'FR PD 001 V1'!T20</f>
        <v>#N/A</v>
      </c>
      <c r="J118" s="800">
        <v>15</v>
      </c>
      <c r="O118" s="350"/>
    </row>
    <row r="119" spans="1:15" ht="9.75" customHeight="1" thickBot="1">
      <c r="A119" s="805" t="str">
        <f>'DATOS ETIQ'!J$16&amp;"  "&amp;'DATOS ETIQ'!K$16</f>
        <v xml:space="preserve">  0</v>
      </c>
      <c r="B119" s="805"/>
      <c r="C119" s="349"/>
      <c r="D119" s="805" t="str">
        <f t="shared" si="6"/>
        <v xml:space="preserve">  0</v>
      </c>
      <c r="E119" s="805"/>
      <c r="G119" s="801"/>
      <c r="J119" s="801"/>
      <c r="O119" s="350"/>
    </row>
    <row r="120" spans="1:15" ht="9.75" customHeight="1">
      <c r="A120" s="807" t="str">
        <f>"QFP: "&amp;'DATOS ETIQ'!L$2&amp;"   QFV: "&amp;'DATOS ETIQ'!M$2</f>
        <v>QFP: JGARCIA   QFV: ADELTORO</v>
      </c>
      <c r="B120" s="807"/>
      <c r="D120" s="807" t="str">
        <f t="shared" si="6"/>
        <v>QFP: JGARCIA   QFV: ADELTORO</v>
      </c>
      <c r="E120" s="807"/>
      <c r="J120" s="356"/>
      <c r="O120" s="350"/>
    </row>
    <row r="121" spans="1:15" ht="9.75" customHeight="1">
      <c r="A121" s="402" t="str">
        <f>'DATOS ETIQ'!N$16&amp;""</f>
        <v>C.JPC/SEXTO NTE/SCOOP</v>
      </c>
      <c r="B121" s="357" t="e">
        <f>"Via Adm.: "&amp;'DATOS ETIQ'!S$16</f>
        <v>#N/A</v>
      </c>
      <c r="D121" s="401" t="str">
        <f t="shared" si="6"/>
        <v>C.JPC/SEXTO NTE/SCOOP</v>
      </c>
      <c r="E121" s="357" t="e">
        <f>+B121</f>
        <v>#N/A</v>
      </c>
      <c r="J121" s="356"/>
      <c r="O121" s="350"/>
    </row>
    <row r="122" spans="1:15" ht="9.75" customHeight="1">
      <c r="A122" s="402" t="e">
        <f>"Conserv.: "&amp;'DATOS ETIQ'!AB$16</f>
        <v>#N/A</v>
      </c>
      <c r="B122" s="357" t="str">
        <f>"Cama: "&amp;'DATOS ETIQ'!O$16</f>
        <v>Cama: NA</v>
      </c>
      <c r="D122" s="401" t="e">
        <f t="shared" si="6"/>
        <v>#N/A</v>
      </c>
      <c r="E122" s="357" t="str">
        <f>+B122</f>
        <v>Cama: NA</v>
      </c>
      <c r="J122" s="356"/>
      <c r="O122" s="350"/>
    </row>
    <row r="123" spans="1:15" ht="9.75" customHeight="1">
      <c r="A123" s="357"/>
      <c r="B123" s="357"/>
      <c r="D123" s="357"/>
      <c r="E123" s="357"/>
      <c r="J123" s="356"/>
      <c r="O123" s="350"/>
    </row>
    <row r="124" spans="1:15" s="404" customFormat="1" ht="12" customHeight="1">
      <c r="A124" s="806" t="e">
        <f>'DATOS ETIQ'!Q$17</f>
        <v>#N/A</v>
      </c>
      <c r="B124" s="806"/>
      <c r="C124" s="403"/>
      <c r="D124" s="806" t="e">
        <f t="shared" si="6"/>
        <v>#N/A</v>
      </c>
      <c r="E124" s="806"/>
      <c r="J124" s="407"/>
    </row>
    <row r="125" spans="1:15" ht="9.75" customHeight="1" thickBot="1">
      <c r="A125" s="805" t="e">
        <f>'DATOS ETIQ'!AD17</f>
        <v>#N/A</v>
      </c>
      <c r="B125" s="805"/>
      <c r="C125" s="349"/>
      <c r="D125" s="805" t="e">
        <f t="shared" si="6"/>
        <v>#N/A</v>
      </c>
      <c r="E125" s="805"/>
      <c r="J125" s="356"/>
      <c r="O125" s="350"/>
    </row>
    <row r="126" spans="1:15" ht="9.75" customHeight="1">
      <c r="A126" s="353" t="e">
        <f ca="1">'DATOS ETIQ'!H$17</f>
        <v>#N/A</v>
      </c>
      <c r="B126" s="354" t="str">
        <f>"Lt: "&amp;'DATOS ETIQ'!I$17</f>
        <v xml:space="preserve">Lt: </v>
      </c>
      <c r="D126" s="353" t="e">
        <f t="shared" ca="1" si="6"/>
        <v>#N/A</v>
      </c>
      <c r="E126" s="354" t="str">
        <f>B126</f>
        <v xml:space="preserve">Lt: </v>
      </c>
      <c r="G126" s="800" t="e">
        <f>'FR PD 001 V1'!T21</f>
        <v>#N/A</v>
      </c>
      <c r="J126" s="800">
        <v>16</v>
      </c>
      <c r="O126" s="350"/>
    </row>
    <row r="127" spans="1:15" ht="9.75" customHeight="1" thickBot="1">
      <c r="A127" s="805" t="str">
        <f>'DATOS ETIQ'!J$17&amp;"  "&amp;'DATOS ETIQ'!K$17</f>
        <v xml:space="preserve">  0</v>
      </c>
      <c r="B127" s="805"/>
      <c r="C127" s="349"/>
      <c r="D127" s="805" t="str">
        <f t="shared" si="6"/>
        <v xml:space="preserve">  0</v>
      </c>
      <c r="E127" s="805"/>
      <c r="G127" s="801"/>
      <c r="J127" s="801"/>
      <c r="O127" s="350"/>
    </row>
    <row r="128" spans="1:15" ht="9.75" customHeight="1">
      <c r="A128" s="807" t="str">
        <f>"QFP: "&amp;'DATOS ETIQ'!L$2&amp;"   QFV: "&amp;'DATOS ETIQ'!M$2</f>
        <v>QFP: JGARCIA   QFV: ADELTORO</v>
      </c>
      <c r="B128" s="807"/>
      <c r="D128" s="807" t="str">
        <f t="shared" si="6"/>
        <v>QFP: JGARCIA   QFV: ADELTORO</v>
      </c>
      <c r="E128" s="807"/>
      <c r="J128" s="356"/>
      <c r="O128" s="350"/>
    </row>
    <row r="129" spans="1:15" ht="9.75" customHeight="1">
      <c r="A129" s="402" t="str">
        <f>'DATOS ETIQ'!N$17&amp;""</f>
        <v>C.JPC/SEXTO NTE/SCOOP</v>
      </c>
      <c r="B129" s="357" t="e">
        <f>"Via Adm.: "&amp;'DATOS ETIQ'!S$17</f>
        <v>#N/A</v>
      </c>
      <c r="D129" s="401" t="str">
        <f t="shared" si="6"/>
        <v>C.JPC/SEXTO NTE/SCOOP</v>
      </c>
      <c r="E129" s="357" t="e">
        <f>+B129</f>
        <v>#N/A</v>
      </c>
      <c r="J129" s="356"/>
      <c r="O129" s="350"/>
    </row>
    <row r="130" spans="1:15" ht="9.75" customHeight="1">
      <c r="A130" s="402" t="e">
        <f>"Conserv.: "&amp;'DATOS ETIQ'!AB$17</f>
        <v>#N/A</v>
      </c>
      <c r="B130" s="357" t="str">
        <f>"Cama: "&amp;'DATOS ETIQ'!O$17</f>
        <v>Cama: NA</v>
      </c>
      <c r="D130" s="401" t="e">
        <f t="shared" si="6"/>
        <v>#N/A</v>
      </c>
      <c r="E130" s="357" t="str">
        <f>+B130</f>
        <v>Cama: NA</v>
      </c>
      <c r="J130" s="356"/>
      <c r="O130" s="350"/>
    </row>
    <row r="131" spans="1:15" ht="9.75" customHeight="1">
      <c r="A131" s="357"/>
      <c r="B131" s="357"/>
      <c r="D131" s="357"/>
      <c r="E131" s="357"/>
      <c r="J131" s="356"/>
      <c r="O131" s="350"/>
    </row>
    <row r="132" spans="1:15" s="404" customFormat="1" ht="12" customHeight="1">
      <c r="A132" s="806" t="e">
        <f>'DATOS ETIQ'!Q$18</f>
        <v>#N/A</v>
      </c>
      <c r="B132" s="806"/>
      <c r="C132" s="403"/>
      <c r="D132" s="806" t="e">
        <f t="shared" si="6"/>
        <v>#N/A</v>
      </c>
      <c r="E132" s="806"/>
      <c r="J132" s="407"/>
    </row>
    <row r="133" spans="1:15" ht="9.75" customHeight="1" thickBot="1">
      <c r="A133" s="805" t="e">
        <f>'DATOS ETIQ'!AD18</f>
        <v>#N/A</v>
      </c>
      <c r="B133" s="805"/>
      <c r="C133" s="349"/>
      <c r="D133" s="805" t="e">
        <f t="shared" si="6"/>
        <v>#N/A</v>
      </c>
      <c r="E133" s="805"/>
      <c r="J133" s="356"/>
      <c r="O133" s="350"/>
    </row>
    <row r="134" spans="1:15" ht="9.75" customHeight="1">
      <c r="A134" s="353" t="e">
        <f ca="1">'DATOS ETIQ'!H$18</f>
        <v>#N/A</v>
      </c>
      <c r="B134" s="354" t="str">
        <f>"Lt: "&amp;'DATOS ETIQ'!I$18</f>
        <v xml:space="preserve">Lt: </v>
      </c>
      <c r="D134" s="353" t="e">
        <f t="shared" ca="1" si="6"/>
        <v>#N/A</v>
      </c>
      <c r="E134" s="354" t="str">
        <f>B134</f>
        <v xml:space="preserve">Lt: </v>
      </c>
      <c r="G134" s="800" t="e">
        <f>'FR PD 001 V1'!T22</f>
        <v>#N/A</v>
      </c>
      <c r="J134" s="800">
        <v>17</v>
      </c>
      <c r="O134" s="350"/>
    </row>
    <row r="135" spans="1:15" ht="9.75" customHeight="1" thickBot="1">
      <c r="A135" s="805" t="str">
        <f>'DATOS ETIQ'!J$18&amp;"  "&amp;'DATOS ETIQ'!K$18</f>
        <v xml:space="preserve">  0</v>
      </c>
      <c r="B135" s="805"/>
      <c r="C135" s="349"/>
      <c r="D135" s="805" t="str">
        <f t="shared" si="6"/>
        <v xml:space="preserve">  0</v>
      </c>
      <c r="E135" s="805"/>
      <c r="G135" s="801"/>
      <c r="J135" s="801"/>
      <c r="O135" s="350"/>
    </row>
    <row r="136" spans="1:15" ht="9.75" customHeight="1">
      <c r="A136" s="807" t="str">
        <f>"QFP: "&amp;'DATOS ETIQ'!L$2&amp;"   QFV: "&amp;'DATOS ETIQ'!M$2</f>
        <v>QFP: JGARCIA   QFV: ADELTORO</v>
      </c>
      <c r="B136" s="807"/>
      <c r="D136" s="807" t="str">
        <f t="shared" si="6"/>
        <v>QFP: JGARCIA   QFV: ADELTORO</v>
      </c>
      <c r="E136" s="807"/>
      <c r="J136" s="356"/>
      <c r="O136" s="350"/>
    </row>
    <row r="137" spans="1:15" ht="9.75" customHeight="1">
      <c r="A137" s="402" t="str">
        <f>'DATOS ETIQ'!N$18&amp;""</f>
        <v>C.JPC/SEXTO NTE/SCOOP</v>
      </c>
      <c r="B137" s="357" t="e">
        <f>"Via Adm.: "&amp;'DATOS ETIQ'!S$18</f>
        <v>#N/A</v>
      </c>
      <c r="D137" s="401" t="str">
        <f t="shared" si="6"/>
        <v>C.JPC/SEXTO NTE/SCOOP</v>
      </c>
      <c r="E137" s="357" t="e">
        <f>+B137</f>
        <v>#N/A</v>
      </c>
      <c r="J137" s="356"/>
      <c r="O137" s="350"/>
    </row>
    <row r="138" spans="1:15" ht="9.75" customHeight="1">
      <c r="A138" s="402" t="e">
        <f>"Conserv.: "&amp;'DATOS ETIQ'!AB$18</f>
        <v>#N/A</v>
      </c>
      <c r="B138" s="357" t="str">
        <f>"Cama: "&amp;'DATOS ETIQ'!O$18</f>
        <v>Cama: NA</v>
      </c>
      <c r="D138" s="401" t="e">
        <f t="shared" si="6"/>
        <v>#N/A</v>
      </c>
      <c r="E138" s="357" t="str">
        <f>+B138</f>
        <v>Cama: NA</v>
      </c>
      <c r="J138" s="356"/>
      <c r="O138" s="350"/>
    </row>
    <row r="139" spans="1:15" ht="9.75" customHeight="1">
      <c r="A139" s="357"/>
      <c r="B139" s="357"/>
      <c r="D139" s="357"/>
      <c r="E139" s="357"/>
      <c r="J139" s="356"/>
      <c r="O139" s="350"/>
    </row>
    <row r="140" spans="1:15" s="404" customFormat="1" ht="12" customHeight="1">
      <c r="A140" s="806" t="e">
        <f>'DATOS ETIQ'!Q$19</f>
        <v>#N/A</v>
      </c>
      <c r="B140" s="806"/>
      <c r="C140" s="403"/>
      <c r="D140" s="806" t="e">
        <f t="shared" si="6"/>
        <v>#N/A</v>
      </c>
      <c r="E140" s="806"/>
      <c r="J140" s="407"/>
    </row>
    <row r="141" spans="1:15" ht="9.75" customHeight="1" thickBot="1">
      <c r="A141" s="805" t="e">
        <f>'DATOS ETIQ'!AD19</f>
        <v>#N/A</v>
      </c>
      <c r="B141" s="805"/>
      <c r="C141" s="349"/>
      <c r="D141" s="805" t="e">
        <f t="shared" si="6"/>
        <v>#N/A</v>
      </c>
      <c r="E141" s="805"/>
      <c r="J141" s="356"/>
      <c r="O141" s="350"/>
    </row>
    <row r="142" spans="1:15" ht="9.75" customHeight="1">
      <c r="A142" s="353" t="e">
        <f ca="1">'DATOS ETIQ'!H$19</f>
        <v>#N/A</v>
      </c>
      <c r="B142" s="354" t="str">
        <f>"Lt: "&amp;'DATOS ETIQ'!I$19</f>
        <v xml:space="preserve">Lt: </v>
      </c>
      <c r="D142" s="353" t="e">
        <f t="shared" ca="1" si="6"/>
        <v>#N/A</v>
      </c>
      <c r="E142" s="354" t="str">
        <f>B142</f>
        <v xml:space="preserve">Lt: </v>
      </c>
      <c r="G142" s="800" t="e">
        <f>'FR PD 001 V1'!T23</f>
        <v>#N/A</v>
      </c>
      <c r="J142" s="800">
        <v>18</v>
      </c>
      <c r="O142" s="350"/>
    </row>
    <row r="143" spans="1:15" ht="9.75" customHeight="1" thickBot="1">
      <c r="A143" s="805" t="str">
        <f>'DATOS ETIQ'!J$19&amp;"  "&amp;'DATOS ETIQ'!K$19</f>
        <v xml:space="preserve">  0</v>
      </c>
      <c r="B143" s="805"/>
      <c r="C143" s="349"/>
      <c r="D143" s="805" t="str">
        <f t="shared" si="6"/>
        <v xml:space="preserve">  0</v>
      </c>
      <c r="E143" s="805"/>
      <c r="G143" s="801"/>
      <c r="J143" s="801"/>
      <c r="O143" s="350"/>
    </row>
    <row r="144" spans="1:15" ht="9.75" customHeight="1">
      <c r="A144" s="807" t="str">
        <f>"QFP: "&amp;'DATOS ETIQ'!L$2&amp;"   QFV: "&amp;'DATOS ETIQ'!M$2</f>
        <v>QFP: JGARCIA   QFV: ADELTORO</v>
      </c>
      <c r="B144" s="807"/>
      <c r="D144" s="807" t="str">
        <f t="shared" si="6"/>
        <v>QFP: JGARCIA   QFV: ADELTORO</v>
      </c>
      <c r="E144" s="807"/>
      <c r="J144" s="356"/>
      <c r="O144" s="350"/>
    </row>
    <row r="145" spans="1:15" ht="9.75" customHeight="1">
      <c r="A145" s="402" t="str">
        <f>'DATOS ETIQ'!N$19&amp;""</f>
        <v>C.JPC/SEXTO NTE/SCOOP</v>
      </c>
      <c r="B145" s="357" t="e">
        <f>"Via Adm.: "&amp;'DATOS ETIQ'!S$19</f>
        <v>#N/A</v>
      </c>
      <c r="D145" s="401" t="str">
        <f t="shared" si="6"/>
        <v>C.JPC/SEXTO NTE/SCOOP</v>
      </c>
      <c r="E145" s="357" t="e">
        <f>+B145</f>
        <v>#N/A</v>
      </c>
      <c r="J145" s="356"/>
      <c r="O145" s="350"/>
    </row>
    <row r="146" spans="1:15" ht="9.75" customHeight="1">
      <c r="A146" s="402" t="e">
        <f>"Conserv.: "&amp;'DATOS ETIQ'!AB$19</f>
        <v>#N/A</v>
      </c>
      <c r="B146" s="357" t="str">
        <f>"Cama: "&amp;'DATOS ETIQ'!O$19</f>
        <v>Cama: NA</v>
      </c>
      <c r="D146" s="401" t="e">
        <f t="shared" si="6"/>
        <v>#N/A</v>
      </c>
      <c r="E146" s="357" t="str">
        <f>+B146</f>
        <v>Cama: NA</v>
      </c>
      <c r="J146" s="356"/>
      <c r="O146" s="350"/>
    </row>
    <row r="147" spans="1:15" ht="9.75" customHeight="1">
      <c r="A147" s="357"/>
      <c r="B147" s="357"/>
      <c r="D147" s="357"/>
      <c r="E147" s="357"/>
      <c r="J147" s="356"/>
      <c r="O147" s="350"/>
    </row>
    <row r="148" spans="1:15" s="404" customFormat="1" ht="12" customHeight="1">
      <c r="A148" s="806" t="e">
        <f>'DATOS ETIQ'!Q$20</f>
        <v>#N/A</v>
      </c>
      <c r="B148" s="806"/>
      <c r="C148" s="403"/>
      <c r="D148" s="806" t="e">
        <f t="shared" si="6"/>
        <v>#N/A</v>
      </c>
      <c r="E148" s="806"/>
      <c r="J148" s="407"/>
    </row>
    <row r="149" spans="1:15" ht="9.75" customHeight="1" thickBot="1">
      <c r="A149" s="805" t="e">
        <f>'DATOS ETIQ'!AD20</f>
        <v>#N/A</v>
      </c>
      <c r="B149" s="805"/>
      <c r="C149" s="349"/>
      <c r="D149" s="805" t="e">
        <f t="shared" si="6"/>
        <v>#N/A</v>
      </c>
      <c r="E149" s="805"/>
      <c r="J149" s="356"/>
      <c r="O149" s="350"/>
    </row>
    <row r="150" spans="1:15" ht="9.75" customHeight="1">
      <c r="A150" s="353" t="e">
        <f ca="1">'DATOS ETIQ'!H$20</f>
        <v>#N/A</v>
      </c>
      <c r="B150" s="354" t="str">
        <f>"Lt: "&amp;'DATOS ETIQ'!I$20</f>
        <v xml:space="preserve">Lt: </v>
      </c>
      <c r="D150" s="353" t="e">
        <f t="shared" ca="1" si="6"/>
        <v>#N/A</v>
      </c>
      <c r="E150" s="354" t="str">
        <f>B150</f>
        <v xml:space="preserve">Lt: </v>
      </c>
      <c r="G150" s="800" t="e">
        <f>'FR PD 001 V1'!T24</f>
        <v>#N/A</v>
      </c>
      <c r="J150" s="800">
        <v>19</v>
      </c>
      <c r="O150" s="350"/>
    </row>
    <row r="151" spans="1:15" ht="9.75" customHeight="1" thickBot="1">
      <c r="A151" s="805" t="str">
        <f>'DATOS ETIQ'!J$20&amp;"  "&amp;'DATOS ETIQ'!K$20</f>
        <v xml:space="preserve">  0</v>
      </c>
      <c r="B151" s="805"/>
      <c r="C151" s="349"/>
      <c r="D151" s="805" t="str">
        <f t="shared" si="6"/>
        <v xml:space="preserve">  0</v>
      </c>
      <c r="E151" s="805"/>
      <c r="G151" s="801"/>
      <c r="J151" s="801"/>
      <c r="O151" s="350"/>
    </row>
    <row r="152" spans="1:15" ht="9.75" customHeight="1">
      <c r="A152" s="807" t="str">
        <f>"QFP: "&amp;'DATOS ETIQ'!L$2&amp;"   QFV: "&amp;'DATOS ETIQ'!M$2</f>
        <v>QFP: JGARCIA   QFV: ADELTORO</v>
      </c>
      <c r="B152" s="807"/>
      <c r="D152" s="807" t="str">
        <f t="shared" si="6"/>
        <v>QFP: JGARCIA   QFV: ADELTORO</v>
      </c>
      <c r="E152" s="807"/>
      <c r="J152" s="356"/>
    </row>
    <row r="153" spans="1:15" ht="9.75" customHeight="1">
      <c r="A153" s="402" t="str">
        <f>'DATOS ETIQ'!N$20&amp;""</f>
        <v>C.JPC/SEXTO NTE/SCOOP</v>
      </c>
      <c r="B153" s="357" t="e">
        <f>"Via Adm.: "&amp;'DATOS ETIQ'!S$20</f>
        <v>#N/A</v>
      </c>
      <c r="D153" s="401" t="str">
        <f t="shared" si="6"/>
        <v>C.JPC/SEXTO NTE/SCOOP</v>
      </c>
      <c r="E153" s="357" t="e">
        <f>+B153</f>
        <v>#N/A</v>
      </c>
      <c r="J153" s="356"/>
    </row>
    <row r="154" spans="1:15" ht="9.75" customHeight="1">
      <c r="A154" s="402" t="e">
        <f>"Conserv.: "&amp;'DATOS ETIQ'!AB$20</f>
        <v>#N/A</v>
      </c>
      <c r="B154" s="357" t="str">
        <f>"Cama: "&amp;'DATOS ETIQ'!O$20</f>
        <v>Cama: NA</v>
      </c>
      <c r="D154" s="401" t="e">
        <f t="shared" si="6"/>
        <v>#N/A</v>
      </c>
      <c r="E154" s="357" t="str">
        <f>+B154</f>
        <v>Cama: NA</v>
      </c>
      <c r="J154" s="356"/>
    </row>
    <row r="155" spans="1:15" ht="9.75" customHeight="1">
      <c r="A155" s="357"/>
      <c r="B155" s="357"/>
      <c r="D155" s="357"/>
      <c r="E155" s="357"/>
      <c r="J155" s="356"/>
    </row>
    <row r="156" spans="1:15" s="404" customFormat="1" ht="12" customHeight="1">
      <c r="A156" s="806" t="e">
        <f>'DATOS ETIQ'!Q$21</f>
        <v>#N/A</v>
      </c>
      <c r="B156" s="806"/>
      <c r="C156" s="403"/>
      <c r="D156" s="806" t="e">
        <f t="shared" si="6"/>
        <v>#N/A</v>
      </c>
      <c r="E156" s="806"/>
      <c r="J156" s="407"/>
    </row>
    <row r="157" spans="1:15" ht="9.75" customHeight="1" thickBot="1">
      <c r="A157" s="805" t="e">
        <f>'DATOS ETIQ'!AD21</f>
        <v>#N/A</v>
      </c>
      <c r="B157" s="805"/>
      <c r="C157" s="349"/>
      <c r="D157" s="805" t="e">
        <f t="shared" si="6"/>
        <v>#N/A</v>
      </c>
      <c r="E157" s="805"/>
      <c r="J157" s="356"/>
    </row>
    <row r="158" spans="1:15" ht="9.75" customHeight="1">
      <c r="A158" s="353" t="e">
        <f ca="1">'DATOS ETIQ'!H$21</f>
        <v>#N/A</v>
      </c>
      <c r="B158" s="354" t="str">
        <f>"Lt: "&amp;'DATOS ETIQ'!I$21</f>
        <v xml:space="preserve">Lt: </v>
      </c>
      <c r="D158" s="353" t="e">
        <f t="shared" ca="1" si="6"/>
        <v>#N/A</v>
      </c>
      <c r="E158" s="354" t="str">
        <f>B158</f>
        <v xml:space="preserve">Lt: </v>
      </c>
      <c r="G158" s="800" t="e">
        <f>'FR PD 001 V1'!T25</f>
        <v>#N/A</v>
      </c>
      <c r="J158" s="800">
        <v>20</v>
      </c>
    </row>
    <row r="159" spans="1:15" ht="9.75" customHeight="1" thickBot="1">
      <c r="A159" s="805" t="str">
        <f>'DATOS ETIQ'!J$21&amp;"  "&amp;'DATOS ETIQ'!K$21</f>
        <v xml:space="preserve">  0</v>
      </c>
      <c r="B159" s="805"/>
      <c r="C159" s="349"/>
      <c r="D159" s="805" t="str">
        <f t="shared" si="6"/>
        <v xml:space="preserve">  0</v>
      </c>
      <c r="E159" s="805"/>
      <c r="G159" s="801"/>
      <c r="J159" s="801"/>
    </row>
    <row r="160" spans="1:15" ht="9.75" customHeight="1">
      <c r="A160" s="807" t="str">
        <f>"QFP: "&amp;'DATOS ETIQ'!L$2&amp;"   QFV: "&amp;'DATOS ETIQ'!M$2</f>
        <v>QFP: JGARCIA   QFV: ADELTORO</v>
      </c>
      <c r="B160" s="807"/>
      <c r="D160" s="807" t="str">
        <f t="shared" si="6"/>
        <v>QFP: JGARCIA   QFV: ADELTORO</v>
      </c>
      <c r="E160" s="807"/>
      <c r="J160" s="356"/>
    </row>
    <row r="161" spans="1:10" ht="9.75" customHeight="1">
      <c r="A161" s="402" t="str">
        <f>'DATOS ETIQ'!N$21&amp;""</f>
        <v>C.JPC/SEXTO NTE/SCOOP</v>
      </c>
      <c r="B161" s="357" t="e">
        <f>"Via Adm.: "&amp;'DATOS ETIQ'!S$21</f>
        <v>#N/A</v>
      </c>
      <c r="D161" s="401" t="str">
        <f t="shared" si="6"/>
        <v>C.JPC/SEXTO NTE/SCOOP</v>
      </c>
      <c r="E161" s="357" t="e">
        <f>+B161</f>
        <v>#N/A</v>
      </c>
      <c r="J161" s="356"/>
    </row>
    <row r="162" spans="1:10" ht="9.75" customHeight="1">
      <c r="A162" s="402" t="e">
        <f>"Conserv.: "&amp;'DATOS ETIQ'!AB$21</f>
        <v>#N/A</v>
      </c>
      <c r="B162" s="357" t="str">
        <f>"Cama: "&amp;'DATOS ETIQ'!O$21</f>
        <v>Cama: NA</v>
      </c>
      <c r="D162" s="401" t="e">
        <f t="shared" si="6"/>
        <v>#N/A</v>
      </c>
      <c r="E162" s="357" t="str">
        <f>+B162</f>
        <v>Cama: NA</v>
      </c>
      <c r="J162" s="356"/>
    </row>
    <row r="163" spans="1:10" ht="9.75" customHeight="1">
      <c r="A163" s="357"/>
      <c r="B163" s="357"/>
      <c r="D163" s="357"/>
      <c r="E163" s="357"/>
      <c r="J163" s="356"/>
    </row>
    <row r="164" spans="1:10" s="404" customFormat="1" ht="12" customHeight="1">
      <c r="A164" s="806" t="e">
        <f>'DATOS ETIQ'!Q$22</f>
        <v>#N/A</v>
      </c>
      <c r="B164" s="806"/>
      <c r="C164" s="403"/>
      <c r="D164" s="806" t="e">
        <f t="shared" ref="D164:D236" si="7">A164</f>
        <v>#N/A</v>
      </c>
      <c r="E164" s="806"/>
      <c r="J164" s="407"/>
    </row>
    <row r="165" spans="1:10" ht="9.75" customHeight="1" thickBot="1">
      <c r="A165" s="805" t="e">
        <f>'DATOS ETIQ'!AD22</f>
        <v>#N/A</v>
      </c>
      <c r="B165" s="805"/>
      <c r="C165" s="349"/>
      <c r="D165" s="805" t="e">
        <f t="shared" si="7"/>
        <v>#N/A</v>
      </c>
      <c r="E165" s="805"/>
      <c r="J165" s="356"/>
    </row>
    <row r="166" spans="1:10" ht="9.75" customHeight="1">
      <c r="A166" s="353" t="e">
        <f ca="1">'DATOS ETIQ'!H$22</f>
        <v>#N/A</v>
      </c>
      <c r="B166" s="354" t="str">
        <f>"Lt: "&amp;'DATOS ETIQ'!I$22</f>
        <v xml:space="preserve">Lt: </v>
      </c>
      <c r="D166" s="353" t="e">
        <f t="shared" ca="1" si="7"/>
        <v>#N/A</v>
      </c>
      <c r="E166" s="354" t="str">
        <f>B166</f>
        <v xml:space="preserve">Lt: </v>
      </c>
      <c r="G166" s="800" t="e">
        <f>'FR PD 001 V1'!T26</f>
        <v>#N/A</v>
      </c>
      <c r="J166" s="800">
        <v>21</v>
      </c>
    </row>
    <row r="167" spans="1:10" ht="9.75" customHeight="1" thickBot="1">
      <c r="A167" s="805" t="str">
        <f>'DATOS ETIQ'!J$22&amp;"  "&amp;'DATOS ETIQ'!K$22</f>
        <v xml:space="preserve">  0</v>
      </c>
      <c r="B167" s="805"/>
      <c r="C167" s="349"/>
      <c r="D167" s="805" t="str">
        <f t="shared" si="7"/>
        <v xml:space="preserve">  0</v>
      </c>
      <c r="E167" s="805"/>
      <c r="G167" s="801"/>
      <c r="J167" s="801"/>
    </row>
    <row r="168" spans="1:10" ht="9.75" customHeight="1">
      <c r="A168" s="807" t="str">
        <f>"QFP: "&amp;'DATOS ETIQ'!L$2&amp;"   QFV: "&amp;'DATOS ETIQ'!M$2</f>
        <v>QFP: JGARCIA   QFV: ADELTORO</v>
      </c>
      <c r="B168" s="807"/>
      <c r="D168" s="807" t="str">
        <f t="shared" si="7"/>
        <v>QFP: JGARCIA   QFV: ADELTORO</v>
      </c>
      <c r="E168" s="807"/>
      <c r="J168" s="356"/>
    </row>
    <row r="169" spans="1:10" ht="9.75" customHeight="1">
      <c r="A169" s="402" t="str">
        <f>'DATOS ETIQ'!N$22&amp;""</f>
        <v>C.JPC/SEXTO NTE/SCOOP</v>
      </c>
      <c r="B169" s="357" t="e">
        <f>"Via Adm.: "&amp;'DATOS ETIQ'!S$22</f>
        <v>#N/A</v>
      </c>
      <c r="D169" s="401" t="str">
        <f t="shared" si="7"/>
        <v>C.JPC/SEXTO NTE/SCOOP</v>
      </c>
      <c r="E169" s="357" t="e">
        <f>+B169</f>
        <v>#N/A</v>
      </c>
      <c r="J169" s="356"/>
    </row>
    <row r="170" spans="1:10" ht="9.75" customHeight="1">
      <c r="A170" s="402" t="e">
        <f>"Conserv.: "&amp;'DATOS ETIQ'!AB$22</f>
        <v>#N/A</v>
      </c>
      <c r="B170" s="357" t="str">
        <f>"Cama: "&amp;'DATOS ETIQ'!O$22</f>
        <v>Cama: NA</v>
      </c>
      <c r="D170" s="401" t="e">
        <f t="shared" si="7"/>
        <v>#N/A</v>
      </c>
      <c r="E170" s="357" t="str">
        <f>+B170</f>
        <v>Cama: NA</v>
      </c>
      <c r="J170" s="356"/>
    </row>
    <row r="171" spans="1:10" ht="9.75" customHeight="1">
      <c r="A171" s="357"/>
      <c r="B171" s="357"/>
      <c r="D171" s="357"/>
      <c r="E171" s="357"/>
      <c r="J171" s="356"/>
    </row>
    <row r="172" spans="1:10" s="404" customFormat="1" ht="12" customHeight="1">
      <c r="A172" s="806" t="e">
        <f>'DATOS ETIQ'!Q$23</f>
        <v>#N/A</v>
      </c>
      <c r="B172" s="806"/>
      <c r="C172" s="403"/>
      <c r="D172" s="806" t="e">
        <f t="shared" si="7"/>
        <v>#N/A</v>
      </c>
      <c r="E172" s="806"/>
      <c r="J172" s="407"/>
    </row>
    <row r="173" spans="1:10" ht="9.75" customHeight="1" thickBot="1">
      <c r="A173" s="805" t="e">
        <f>'DATOS ETIQ'!AD23</f>
        <v>#N/A</v>
      </c>
      <c r="B173" s="805"/>
      <c r="C173" s="349"/>
      <c r="D173" s="805" t="e">
        <f t="shared" si="7"/>
        <v>#N/A</v>
      </c>
      <c r="E173" s="805"/>
      <c r="J173" s="356"/>
    </row>
    <row r="174" spans="1:10" ht="9.75" customHeight="1">
      <c r="A174" s="353" t="e">
        <f ca="1">'DATOS ETIQ'!H$23</f>
        <v>#N/A</v>
      </c>
      <c r="B174" s="354" t="str">
        <f>"Lt: "&amp;'DATOS ETIQ'!I$23</f>
        <v xml:space="preserve">Lt: </v>
      </c>
      <c r="D174" s="353" t="e">
        <f t="shared" ca="1" si="7"/>
        <v>#N/A</v>
      </c>
      <c r="E174" s="354" t="str">
        <f>B174</f>
        <v xml:space="preserve">Lt: </v>
      </c>
      <c r="G174" s="800" t="e">
        <f>'FR PD 001 V1'!T27</f>
        <v>#N/A</v>
      </c>
      <c r="J174" s="800">
        <v>22</v>
      </c>
    </row>
    <row r="175" spans="1:10" ht="9.75" customHeight="1" thickBot="1">
      <c r="A175" s="805" t="str">
        <f>'DATOS ETIQ'!J$23&amp;"  "&amp;'DATOS ETIQ'!K$23</f>
        <v xml:space="preserve">  0</v>
      </c>
      <c r="B175" s="805"/>
      <c r="C175" s="349"/>
      <c r="D175" s="805" t="str">
        <f t="shared" si="7"/>
        <v xml:space="preserve">  0</v>
      </c>
      <c r="E175" s="805"/>
      <c r="G175" s="801"/>
      <c r="J175" s="801"/>
    </row>
    <row r="176" spans="1:10" ht="9.75" customHeight="1">
      <c r="A176" s="807" t="str">
        <f>"QFP: "&amp;'DATOS ETIQ'!L$2&amp;"   QFV: "&amp;'DATOS ETIQ'!M$2</f>
        <v>QFP: JGARCIA   QFV: ADELTORO</v>
      </c>
      <c r="B176" s="807"/>
      <c r="D176" s="807" t="str">
        <f t="shared" si="7"/>
        <v>QFP: JGARCIA   QFV: ADELTORO</v>
      </c>
      <c r="E176" s="807"/>
      <c r="J176" s="356"/>
    </row>
    <row r="177" spans="1:10" ht="9.75" customHeight="1">
      <c r="A177" s="402" t="str">
        <f>'DATOS ETIQ'!N$23&amp;""</f>
        <v>C.JPC/SEXTO NTE/SCOOP</v>
      </c>
      <c r="B177" s="357" t="e">
        <f>"Via Adm.: "&amp;'DATOS ETIQ'!S$23</f>
        <v>#N/A</v>
      </c>
      <c r="D177" s="401" t="str">
        <f t="shared" si="7"/>
        <v>C.JPC/SEXTO NTE/SCOOP</v>
      </c>
      <c r="E177" s="357" t="e">
        <f>+B177</f>
        <v>#N/A</v>
      </c>
      <c r="J177" s="356"/>
    </row>
    <row r="178" spans="1:10" ht="9.75" customHeight="1">
      <c r="A178" s="402" t="e">
        <f>"Conserv.: "&amp;'DATOS ETIQ'!AB$23</f>
        <v>#N/A</v>
      </c>
      <c r="B178" s="357" t="str">
        <f>"Cama: "&amp;'DATOS ETIQ'!O$23</f>
        <v>Cama: NA</v>
      </c>
      <c r="D178" s="401" t="e">
        <f t="shared" si="7"/>
        <v>#N/A</v>
      </c>
      <c r="E178" s="357" t="str">
        <f>+B178</f>
        <v>Cama: NA</v>
      </c>
      <c r="J178" s="356"/>
    </row>
    <row r="179" spans="1:10" ht="9.75" customHeight="1">
      <c r="A179" s="357"/>
      <c r="B179" s="357"/>
      <c r="D179" s="357"/>
      <c r="E179" s="357"/>
      <c r="J179" s="356"/>
    </row>
    <row r="180" spans="1:10" s="404" customFormat="1" ht="12" customHeight="1">
      <c r="A180" s="806" t="e">
        <f>'DATOS ETIQ'!Q$24</f>
        <v>#N/A</v>
      </c>
      <c r="B180" s="806"/>
      <c r="C180" s="403"/>
      <c r="D180" s="806" t="e">
        <f t="shared" si="7"/>
        <v>#N/A</v>
      </c>
      <c r="E180" s="806"/>
      <c r="J180" s="407"/>
    </row>
    <row r="181" spans="1:10" ht="9.75" customHeight="1" thickBot="1">
      <c r="A181" s="805" t="e">
        <f>'DATOS ETIQ'!AD24</f>
        <v>#N/A</v>
      </c>
      <c r="B181" s="805"/>
      <c r="C181" s="349"/>
      <c r="D181" s="805" t="e">
        <f t="shared" si="7"/>
        <v>#N/A</v>
      </c>
      <c r="E181" s="805"/>
      <c r="J181" s="356"/>
    </row>
    <row r="182" spans="1:10" ht="9.75" customHeight="1">
      <c r="A182" s="353" t="e">
        <f ca="1">'DATOS ETIQ'!H$24</f>
        <v>#N/A</v>
      </c>
      <c r="B182" s="354" t="str">
        <f>"Lt: "&amp;'DATOS ETIQ'!I$24</f>
        <v xml:space="preserve">Lt: </v>
      </c>
      <c r="D182" s="353" t="e">
        <f t="shared" ca="1" si="7"/>
        <v>#N/A</v>
      </c>
      <c r="E182" s="354" t="str">
        <f>B182</f>
        <v xml:space="preserve">Lt: </v>
      </c>
      <c r="G182" s="800" t="e">
        <f>'FR PD 001 V1'!T28</f>
        <v>#N/A</v>
      </c>
      <c r="J182" s="800">
        <v>23</v>
      </c>
    </row>
    <row r="183" spans="1:10" ht="9.75" customHeight="1" thickBot="1">
      <c r="A183" s="805" t="str">
        <f>'DATOS ETIQ'!J$24&amp;"  "&amp;'DATOS ETIQ'!K$24</f>
        <v xml:space="preserve">  0</v>
      </c>
      <c r="B183" s="805"/>
      <c r="C183" s="349"/>
      <c r="D183" s="805" t="str">
        <f t="shared" si="7"/>
        <v xml:space="preserve">  0</v>
      </c>
      <c r="E183" s="805"/>
      <c r="G183" s="801"/>
      <c r="J183" s="801"/>
    </row>
    <row r="184" spans="1:10" ht="9.75" customHeight="1">
      <c r="A184" s="807" t="str">
        <f>"QFP: "&amp;'DATOS ETIQ'!L$2&amp;"   QFV: "&amp;'DATOS ETIQ'!M$2</f>
        <v>QFP: JGARCIA   QFV: ADELTORO</v>
      </c>
      <c r="B184" s="807"/>
      <c r="D184" s="807" t="str">
        <f t="shared" si="7"/>
        <v>QFP: JGARCIA   QFV: ADELTORO</v>
      </c>
      <c r="E184" s="807"/>
      <c r="J184" s="356"/>
    </row>
    <row r="185" spans="1:10" ht="9.75" customHeight="1">
      <c r="A185" s="402" t="str">
        <f>'DATOS ETIQ'!N$24&amp;""</f>
        <v>C.JPC/SEXTO NTE/SCOOP</v>
      </c>
      <c r="B185" s="357" t="e">
        <f>"Via Adm.: "&amp;'DATOS ETIQ'!S$24</f>
        <v>#N/A</v>
      </c>
      <c r="D185" s="401" t="str">
        <f t="shared" si="7"/>
        <v>C.JPC/SEXTO NTE/SCOOP</v>
      </c>
      <c r="E185" s="357" t="e">
        <f>+B185</f>
        <v>#N/A</v>
      </c>
      <c r="J185" s="356"/>
    </row>
    <row r="186" spans="1:10" ht="9.75" customHeight="1">
      <c r="A186" s="402" t="e">
        <f>"Conserv.: "&amp;'DATOS ETIQ'!AB$24</f>
        <v>#N/A</v>
      </c>
      <c r="B186" s="357" t="str">
        <f>"Cama: "&amp;'DATOS ETIQ'!O$24</f>
        <v>Cama: NA</v>
      </c>
      <c r="D186" s="401" t="e">
        <f t="shared" si="7"/>
        <v>#N/A</v>
      </c>
      <c r="E186" s="357" t="str">
        <f>+B186</f>
        <v>Cama: NA</v>
      </c>
      <c r="J186" s="356"/>
    </row>
    <row r="187" spans="1:10" ht="9.75" customHeight="1">
      <c r="A187" s="357"/>
      <c r="B187" s="357"/>
      <c r="D187" s="357"/>
      <c r="E187" s="357"/>
      <c r="J187" s="356"/>
    </row>
    <row r="188" spans="1:10" s="404" customFormat="1" ht="12" customHeight="1">
      <c r="A188" s="806" t="e">
        <f>'DATOS ETIQ'!Q$25</f>
        <v>#N/A</v>
      </c>
      <c r="B188" s="806"/>
      <c r="C188" s="403"/>
      <c r="D188" s="806" t="e">
        <f t="shared" si="7"/>
        <v>#N/A</v>
      </c>
      <c r="E188" s="806"/>
      <c r="J188" s="407"/>
    </row>
    <row r="189" spans="1:10" ht="9.75" customHeight="1" thickBot="1">
      <c r="A189" s="805" t="e">
        <f>'DATOS ETIQ'!AD25</f>
        <v>#N/A</v>
      </c>
      <c r="B189" s="805"/>
      <c r="C189" s="349"/>
      <c r="D189" s="805" t="e">
        <f t="shared" si="7"/>
        <v>#N/A</v>
      </c>
      <c r="E189" s="805"/>
      <c r="J189" s="356"/>
    </row>
    <row r="190" spans="1:10" ht="9.75" customHeight="1">
      <c r="A190" s="353" t="e">
        <f ca="1">'DATOS ETIQ'!H$25</f>
        <v>#N/A</v>
      </c>
      <c r="B190" s="354" t="str">
        <f>"Lt: "&amp;'DATOS ETIQ'!I$25</f>
        <v xml:space="preserve">Lt: </v>
      </c>
      <c r="D190" s="353" t="e">
        <f t="shared" ca="1" si="7"/>
        <v>#N/A</v>
      </c>
      <c r="E190" s="354" t="str">
        <f>B190</f>
        <v xml:space="preserve">Lt: </v>
      </c>
      <c r="G190" s="800" t="e">
        <f>'FR PD 001 V1'!T29</f>
        <v>#N/A</v>
      </c>
      <c r="J190" s="800">
        <v>24</v>
      </c>
    </row>
    <row r="191" spans="1:10" ht="9.75" customHeight="1" thickBot="1">
      <c r="A191" s="805" t="str">
        <f>'DATOS ETIQ'!J$25&amp;"  "&amp;'DATOS ETIQ'!K$25</f>
        <v xml:space="preserve">  0</v>
      </c>
      <c r="B191" s="805"/>
      <c r="C191" s="349"/>
      <c r="D191" s="805" t="str">
        <f t="shared" si="7"/>
        <v xml:space="preserve">  0</v>
      </c>
      <c r="E191" s="805"/>
      <c r="G191" s="801"/>
      <c r="J191" s="801"/>
    </row>
    <row r="192" spans="1:10" ht="9.75" customHeight="1">
      <c r="A192" s="807" t="str">
        <f>"QFP: "&amp;'DATOS ETIQ'!L$2&amp;"   QFV: "&amp;'DATOS ETIQ'!M$2</f>
        <v>QFP: JGARCIA   QFV: ADELTORO</v>
      </c>
      <c r="B192" s="807"/>
      <c r="D192" s="807" t="str">
        <f t="shared" si="7"/>
        <v>QFP: JGARCIA   QFV: ADELTORO</v>
      </c>
      <c r="E192" s="807"/>
      <c r="J192" s="356"/>
    </row>
    <row r="193" spans="1:10" ht="9.75" customHeight="1">
      <c r="A193" s="402" t="str">
        <f>'DATOS ETIQ'!N$25&amp;""</f>
        <v>C.JPC/SEXTO NTE/SCOOP</v>
      </c>
      <c r="B193" s="357" t="e">
        <f>"Via Adm.: "&amp;'DATOS ETIQ'!S$25</f>
        <v>#N/A</v>
      </c>
      <c r="D193" s="401" t="str">
        <f t="shared" si="7"/>
        <v>C.JPC/SEXTO NTE/SCOOP</v>
      </c>
      <c r="E193" s="357" t="e">
        <f>+B193</f>
        <v>#N/A</v>
      </c>
      <c r="J193" s="356"/>
    </row>
    <row r="194" spans="1:10" ht="9.75" customHeight="1">
      <c r="A194" s="402" t="e">
        <f>"Conserv.: "&amp;'DATOS ETIQ'!AB$25</f>
        <v>#N/A</v>
      </c>
      <c r="B194" s="357" t="str">
        <f>"Cama: "&amp;'DATOS ETIQ'!O$25</f>
        <v>Cama: NA</v>
      </c>
      <c r="D194" s="401" t="e">
        <f t="shared" si="7"/>
        <v>#N/A</v>
      </c>
      <c r="E194" s="357" t="str">
        <f>+B194</f>
        <v>Cama: NA</v>
      </c>
      <c r="J194" s="356"/>
    </row>
    <row r="195" spans="1:10" ht="9.75" customHeight="1">
      <c r="A195" s="357"/>
      <c r="B195" s="357"/>
      <c r="D195" s="357"/>
      <c r="E195" s="357"/>
      <c r="J195" s="356"/>
    </row>
    <row r="196" spans="1:10" s="404" customFormat="1" ht="12" customHeight="1">
      <c r="A196" s="806" t="e">
        <f>'DATOS ETIQ'!Q$26</f>
        <v>#N/A</v>
      </c>
      <c r="B196" s="806"/>
      <c r="C196" s="403"/>
      <c r="D196" s="806" t="e">
        <f t="shared" si="7"/>
        <v>#N/A</v>
      </c>
      <c r="E196" s="806"/>
      <c r="J196" s="407"/>
    </row>
    <row r="197" spans="1:10" ht="9.75" customHeight="1" thickBot="1">
      <c r="A197" s="805" t="e">
        <f>'DATOS ETIQ'!AD26</f>
        <v>#N/A</v>
      </c>
      <c r="B197" s="805"/>
      <c r="C197" s="349"/>
      <c r="D197" s="805" t="e">
        <f t="shared" si="7"/>
        <v>#N/A</v>
      </c>
      <c r="E197" s="805"/>
      <c r="J197" s="356"/>
    </row>
    <row r="198" spans="1:10" ht="9.75" customHeight="1">
      <c r="A198" s="353" t="e">
        <f ca="1">'DATOS ETIQ'!H$26</f>
        <v>#N/A</v>
      </c>
      <c r="B198" s="354" t="str">
        <f>"Lt: "&amp;'DATOS ETIQ'!I$26</f>
        <v xml:space="preserve">Lt: </v>
      </c>
      <c r="D198" s="353" t="e">
        <f t="shared" ca="1" si="7"/>
        <v>#N/A</v>
      </c>
      <c r="E198" s="354" t="str">
        <f>B198</f>
        <v xml:space="preserve">Lt: </v>
      </c>
      <c r="G198" s="800" t="e">
        <f>'FR PD 001 V1'!T30</f>
        <v>#N/A</v>
      </c>
      <c r="J198" s="800">
        <v>25</v>
      </c>
    </row>
    <row r="199" spans="1:10" ht="9.75" customHeight="1" thickBot="1">
      <c r="A199" s="805" t="str">
        <f>'DATOS ETIQ'!J$26&amp;"  "&amp;'DATOS ETIQ'!K$26</f>
        <v xml:space="preserve">  0</v>
      </c>
      <c r="B199" s="805"/>
      <c r="C199" s="349"/>
      <c r="D199" s="805" t="str">
        <f t="shared" si="7"/>
        <v xml:space="preserve">  0</v>
      </c>
      <c r="E199" s="805"/>
      <c r="G199" s="801"/>
      <c r="J199" s="801"/>
    </row>
    <row r="200" spans="1:10" ht="9.75" customHeight="1">
      <c r="A200" s="807" t="str">
        <f>"QFP: "&amp;'DATOS ETIQ'!L$2&amp;"   QFV: "&amp;'DATOS ETIQ'!M$2</f>
        <v>QFP: JGARCIA   QFV: ADELTORO</v>
      </c>
      <c r="B200" s="807"/>
      <c r="D200" s="807" t="str">
        <f t="shared" si="7"/>
        <v>QFP: JGARCIA   QFV: ADELTORO</v>
      </c>
      <c r="E200" s="807"/>
      <c r="J200" s="356"/>
    </row>
    <row r="201" spans="1:10" ht="9.75" customHeight="1">
      <c r="A201" s="402" t="str">
        <f>'DATOS ETIQ'!N$26&amp;""</f>
        <v>C.JPC/SEXTO NTE/SCOOP</v>
      </c>
      <c r="B201" s="357" t="e">
        <f>"Via Adm.: "&amp;'DATOS ETIQ'!S$26</f>
        <v>#N/A</v>
      </c>
      <c r="D201" s="401" t="str">
        <f t="shared" si="7"/>
        <v>C.JPC/SEXTO NTE/SCOOP</v>
      </c>
      <c r="E201" s="357" t="e">
        <f>+B201</f>
        <v>#N/A</v>
      </c>
      <c r="J201" s="356"/>
    </row>
    <row r="202" spans="1:10" ht="9.75" customHeight="1">
      <c r="A202" s="402" t="e">
        <f>"Conserv.: "&amp;'DATOS ETIQ'!AB$26</f>
        <v>#N/A</v>
      </c>
      <c r="B202" s="357" t="str">
        <f>"Cama: "&amp;'DATOS ETIQ'!O$26</f>
        <v>Cama: NA</v>
      </c>
      <c r="D202" s="401" t="e">
        <f t="shared" si="7"/>
        <v>#N/A</v>
      </c>
      <c r="E202" s="357" t="str">
        <f>+B202</f>
        <v>Cama: NA</v>
      </c>
      <c r="J202" s="356"/>
    </row>
    <row r="203" spans="1:10" ht="9.75" customHeight="1">
      <c r="A203" s="357"/>
      <c r="B203" s="357"/>
      <c r="D203" s="357"/>
      <c r="E203" s="357"/>
      <c r="J203" s="356"/>
    </row>
    <row r="204" spans="1:10" s="404" customFormat="1" ht="12" customHeight="1">
      <c r="A204" s="806" t="e">
        <f>'DATOS ETIQ'!Q$27</f>
        <v>#N/A</v>
      </c>
      <c r="B204" s="806"/>
      <c r="C204" s="403"/>
      <c r="D204" s="806" t="e">
        <f t="shared" si="7"/>
        <v>#N/A</v>
      </c>
      <c r="E204" s="806"/>
      <c r="J204" s="407"/>
    </row>
    <row r="205" spans="1:10" ht="9.75" customHeight="1" thickBot="1">
      <c r="A205" s="805" t="e">
        <f>'DATOS ETIQ'!AD27</f>
        <v>#N/A</v>
      </c>
      <c r="B205" s="805"/>
      <c r="C205" s="349"/>
      <c r="D205" s="805" t="e">
        <f t="shared" si="7"/>
        <v>#N/A</v>
      </c>
      <c r="E205" s="805"/>
      <c r="J205" s="356"/>
    </row>
    <row r="206" spans="1:10" ht="9.75" customHeight="1">
      <c r="A206" s="353" t="e">
        <f ca="1">'DATOS ETIQ'!H$27</f>
        <v>#N/A</v>
      </c>
      <c r="B206" s="354" t="str">
        <f>"Lt: "&amp;'DATOS ETIQ'!I$27</f>
        <v xml:space="preserve">Lt: </v>
      </c>
      <c r="D206" s="353" t="e">
        <f t="shared" ca="1" si="7"/>
        <v>#N/A</v>
      </c>
      <c r="E206" s="354" t="str">
        <f>B206</f>
        <v xml:space="preserve">Lt: </v>
      </c>
      <c r="G206" s="800" t="e">
        <f>'FR PD 001 V1'!T31</f>
        <v>#N/A</v>
      </c>
      <c r="J206" s="800">
        <v>26</v>
      </c>
    </row>
    <row r="207" spans="1:10" ht="9.75" customHeight="1" thickBot="1">
      <c r="A207" s="805" t="str">
        <f>'DATOS ETIQ'!J$27&amp;"  "&amp;'DATOS ETIQ'!K$27</f>
        <v xml:space="preserve">  0</v>
      </c>
      <c r="B207" s="805"/>
      <c r="C207" s="349"/>
      <c r="D207" s="805" t="str">
        <f t="shared" si="7"/>
        <v xml:space="preserve">  0</v>
      </c>
      <c r="E207" s="805"/>
      <c r="G207" s="801"/>
      <c r="J207" s="801"/>
    </row>
    <row r="208" spans="1:10" ht="9.75" customHeight="1">
      <c r="A208" s="807" t="str">
        <f>"QFP: "&amp;'DATOS ETIQ'!L$2&amp;"   QFV: "&amp;'DATOS ETIQ'!M$2</f>
        <v>QFP: JGARCIA   QFV: ADELTORO</v>
      </c>
      <c r="B208" s="807"/>
      <c r="D208" s="807" t="str">
        <f t="shared" si="7"/>
        <v>QFP: JGARCIA   QFV: ADELTORO</v>
      </c>
      <c r="E208" s="807"/>
      <c r="J208" s="356"/>
    </row>
    <row r="209" spans="1:10" ht="9.75" customHeight="1">
      <c r="A209" s="402" t="str">
        <f>'DATOS ETIQ'!N$27&amp;""</f>
        <v>C.JPC/SEXTO NTE/SCOOP</v>
      </c>
      <c r="B209" s="357" t="e">
        <f>"Via Adm.: "&amp;'DATOS ETIQ'!S$27</f>
        <v>#N/A</v>
      </c>
      <c r="D209" s="401" t="str">
        <f t="shared" si="7"/>
        <v>C.JPC/SEXTO NTE/SCOOP</v>
      </c>
      <c r="E209" s="357" t="e">
        <f>+B209</f>
        <v>#N/A</v>
      </c>
      <c r="J209" s="356"/>
    </row>
    <row r="210" spans="1:10" ht="9.75" customHeight="1">
      <c r="A210" s="402" t="e">
        <f>"Conserv.: "&amp;'DATOS ETIQ'!AB$27</f>
        <v>#N/A</v>
      </c>
      <c r="B210" s="357" t="str">
        <f>"Cama: "&amp;'DATOS ETIQ'!O$27</f>
        <v>Cama: NA</v>
      </c>
      <c r="D210" s="401" t="e">
        <f t="shared" si="7"/>
        <v>#N/A</v>
      </c>
      <c r="E210" s="357" t="str">
        <f>+B210</f>
        <v>Cama: NA</v>
      </c>
      <c r="J210" s="356"/>
    </row>
    <row r="211" spans="1:10" ht="9.75" customHeight="1">
      <c r="A211" s="357"/>
      <c r="B211" s="357"/>
      <c r="D211" s="357"/>
      <c r="E211" s="357"/>
      <c r="J211" s="356"/>
    </row>
    <row r="212" spans="1:10" s="404" customFormat="1" ht="12" customHeight="1">
      <c r="A212" s="806" t="e">
        <f>'DATOS ETIQ'!Q$28</f>
        <v>#N/A</v>
      </c>
      <c r="B212" s="806"/>
      <c r="C212" s="403"/>
      <c r="D212" s="806" t="e">
        <f t="shared" si="7"/>
        <v>#N/A</v>
      </c>
      <c r="E212" s="806"/>
      <c r="J212" s="407"/>
    </row>
    <row r="213" spans="1:10" ht="9.75" customHeight="1" thickBot="1">
      <c r="A213" s="805" t="e">
        <f>'DATOS ETIQ'!AD28</f>
        <v>#N/A</v>
      </c>
      <c r="B213" s="805"/>
      <c r="C213" s="349"/>
      <c r="D213" s="805" t="e">
        <f t="shared" si="7"/>
        <v>#N/A</v>
      </c>
      <c r="E213" s="805"/>
      <c r="J213" s="356"/>
    </row>
    <row r="214" spans="1:10" ht="9.75" customHeight="1">
      <c r="A214" s="353" t="e">
        <f ca="1">'DATOS ETIQ'!H$28</f>
        <v>#N/A</v>
      </c>
      <c r="B214" s="354" t="str">
        <f>"Lt: "&amp;'DATOS ETIQ'!I$28</f>
        <v xml:space="preserve">Lt: </v>
      </c>
      <c r="D214" s="353" t="e">
        <f t="shared" ca="1" si="7"/>
        <v>#N/A</v>
      </c>
      <c r="E214" s="354" t="str">
        <f>B214</f>
        <v xml:space="preserve">Lt: </v>
      </c>
      <c r="G214" s="800" t="e">
        <f>'FR PD 001 V1'!T32</f>
        <v>#N/A</v>
      </c>
      <c r="J214" s="800">
        <v>27</v>
      </c>
    </row>
    <row r="215" spans="1:10" ht="9.75" customHeight="1" thickBot="1">
      <c r="A215" s="805" t="str">
        <f>'DATOS ETIQ'!J$28&amp;"  "&amp;'DATOS ETIQ'!K$28</f>
        <v xml:space="preserve">  0</v>
      </c>
      <c r="B215" s="805"/>
      <c r="C215" s="349"/>
      <c r="D215" s="805" t="str">
        <f t="shared" si="7"/>
        <v xml:space="preserve">  0</v>
      </c>
      <c r="E215" s="805"/>
      <c r="G215" s="801"/>
      <c r="J215" s="801"/>
    </row>
    <row r="216" spans="1:10" ht="9.75" customHeight="1">
      <c r="A216" s="807" t="str">
        <f>"QFP: "&amp;'DATOS ETIQ'!L$2&amp;"   QFV: "&amp;'DATOS ETIQ'!M$2</f>
        <v>QFP: JGARCIA   QFV: ADELTORO</v>
      </c>
      <c r="B216" s="807"/>
      <c r="D216" s="807" t="str">
        <f t="shared" si="7"/>
        <v>QFP: JGARCIA   QFV: ADELTORO</v>
      </c>
      <c r="E216" s="807"/>
      <c r="J216" s="356"/>
    </row>
    <row r="217" spans="1:10" ht="9.75" customHeight="1">
      <c r="A217" s="402" t="str">
        <f>'DATOS ETIQ'!N$28&amp;""</f>
        <v>C.JPC/SEXTO NTE/SCOOP</v>
      </c>
      <c r="B217" s="357" t="e">
        <f>"Via Adm.: "&amp;'DATOS ETIQ'!S$28</f>
        <v>#N/A</v>
      </c>
      <c r="D217" s="401" t="str">
        <f t="shared" si="7"/>
        <v>C.JPC/SEXTO NTE/SCOOP</v>
      </c>
      <c r="E217" s="357" t="e">
        <f>+B217</f>
        <v>#N/A</v>
      </c>
      <c r="J217" s="356"/>
    </row>
    <row r="218" spans="1:10" ht="9.75" customHeight="1">
      <c r="A218" s="402" t="e">
        <f>"Conserv.: "&amp;'DATOS ETIQ'!AB$28</f>
        <v>#N/A</v>
      </c>
      <c r="B218" s="357" t="str">
        <f>"Cama: "&amp;'DATOS ETIQ'!O$28</f>
        <v>Cama: NA</v>
      </c>
      <c r="D218" s="401" t="e">
        <f t="shared" si="7"/>
        <v>#N/A</v>
      </c>
      <c r="E218" s="357" t="str">
        <f>+B218</f>
        <v>Cama: NA</v>
      </c>
      <c r="J218" s="356"/>
    </row>
    <row r="219" spans="1:10" ht="9.75" customHeight="1">
      <c r="A219" s="357"/>
      <c r="B219" s="357"/>
      <c r="D219" s="357"/>
      <c r="E219" s="357"/>
      <c r="J219" s="356"/>
    </row>
    <row r="220" spans="1:10" s="404" customFormat="1" ht="12" customHeight="1">
      <c r="A220" s="806" t="e">
        <f>'DATOS ETIQ'!Q$29</f>
        <v>#N/A</v>
      </c>
      <c r="B220" s="806"/>
      <c r="C220" s="403"/>
      <c r="D220" s="806" t="e">
        <f t="shared" si="7"/>
        <v>#N/A</v>
      </c>
      <c r="E220" s="806"/>
      <c r="J220" s="407"/>
    </row>
    <row r="221" spans="1:10" ht="9.75" customHeight="1" thickBot="1">
      <c r="A221" s="805" t="e">
        <f>'DATOS ETIQ'!AD29</f>
        <v>#N/A</v>
      </c>
      <c r="B221" s="805"/>
      <c r="C221" s="349"/>
      <c r="D221" s="805" t="e">
        <f t="shared" si="7"/>
        <v>#N/A</v>
      </c>
      <c r="E221" s="805"/>
      <c r="J221" s="356"/>
    </row>
    <row r="222" spans="1:10" ht="9.75" customHeight="1">
      <c r="A222" s="353" t="e">
        <f ca="1">'DATOS ETIQ'!H$29</f>
        <v>#N/A</v>
      </c>
      <c r="B222" s="354" t="str">
        <f>"Lt: "&amp;'DATOS ETIQ'!I$29</f>
        <v xml:space="preserve">Lt: </v>
      </c>
      <c r="D222" s="353" t="e">
        <f t="shared" ca="1" si="7"/>
        <v>#N/A</v>
      </c>
      <c r="E222" s="354" t="str">
        <f>B222</f>
        <v xml:space="preserve">Lt: </v>
      </c>
      <c r="G222" s="800" t="e">
        <f>'FR PD 001 V1'!T33</f>
        <v>#N/A</v>
      </c>
      <c r="J222" s="800">
        <v>28</v>
      </c>
    </row>
    <row r="223" spans="1:10" ht="9.75" customHeight="1" thickBot="1">
      <c r="A223" s="805" t="str">
        <f>'DATOS ETIQ'!J$29&amp;"  "&amp;'DATOS ETIQ'!K$29</f>
        <v xml:space="preserve">  0</v>
      </c>
      <c r="B223" s="805"/>
      <c r="C223" s="349"/>
      <c r="D223" s="805" t="str">
        <f t="shared" si="7"/>
        <v xml:space="preserve">  0</v>
      </c>
      <c r="E223" s="805"/>
      <c r="G223" s="801"/>
      <c r="J223" s="801"/>
    </row>
    <row r="224" spans="1:10" ht="9.75" customHeight="1">
      <c r="A224" s="807" t="str">
        <f>"QFP: "&amp;'DATOS ETIQ'!L$2&amp;"   QFV: "&amp;'DATOS ETIQ'!M$2</f>
        <v>QFP: JGARCIA   QFV: ADELTORO</v>
      </c>
      <c r="B224" s="807"/>
      <c r="D224" s="807" t="str">
        <f t="shared" si="7"/>
        <v>QFP: JGARCIA   QFV: ADELTORO</v>
      </c>
      <c r="E224" s="807"/>
      <c r="J224" s="356"/>
    </row>
    <row r="225" spans="1:10" ht="9.75" customHeight="1">
      <c r="A225" s="402" t="str">
        <f>'DATOS ETIQ'!N$29&amp;""</f>
        <v>C.JPC/SEXTO NTE/SCOOP</v>
      </c>
      <c r="B225" s="357" t="e">
        <f>"Via Adm.: "&amp;'DATOS ETIQ'!S$29</f>
        <v>#N/A</v>
      </c>
      <c r="D225" s="401" t="str">
        <f t="shared" si="7"/>
        <v>C.JPC/SEXTO NTE/SCOOP</v>
      </c>
      <c r="E225" s="357" t="e">
        <f>+B225</f>
        <v>#N/A</v>
      </c>
      <c r="J225" s="356"/>
    </row>
    <row r="226" spans="1:10" ht="9.75" customHeight="1">
      <c r="A226" s="402" t="e">
        <f>"Conserv.: "&amp;'DATOS ETIQ'!AB$29</f>
        <v>#N/A</v>
      </c>
      <c r="B226" s="357" t="str">
        <f>"Cama: "&amp;'DATOS ETIQ'!O$29</f>
        <v>Cama: NA</v>
      </c>
      <c r="D226" s="401" t="e">
        <f t="shared" si="7"/>
        <v>#N/A</v>
      </c>
      <c r="E226" s="357" t="str">
        <f>+B226</f>
        <v>Cama: NA</v>
      </c>
      <c r="J226" s="356"/>
    </row>
    <row r="227" spans="1:10" ht="9.75" customHeight="1">
      <c r="A227" s="357"/>
      <c r="B227" s="357"/>
      <c r="D227" s="357"/>
      <c r="E227" s="357"/>
      <c r="J227" s="356"/>
    </row>
    <row r="228" spans="1:10" s="404" customFormat="1" ht="12" customHeight="1">
      <c r="A228" s="806" t="e">
        <f>'DATOS ETIQ'!Q$30</f>
        <v>#N/A</v>
      </c>
      <c r="B228" s="806"/>
      <c r="C228" s="403"/>
      <c r="D228" s="806" t="e">
        <f t="shared" si="7"/>
        <v>#N/A</v>
      </c>
      <c r="E228" s="806"/>
      <c r="J228" s="407"/>
    </row>
    <row r="229" spans="1:10" ht="9.75" customHeight="1" thickBot="1">
      <c r="A229" s="805" t="e">
        <f>'DATOS ETIQ'!AD30</f>
        <v>#N/A</v>
      </c>
      <c r="B229" s="805"/>
      <c r="C229" s="349"/>
      <c r="D229" s="805" t="e">
        <f t="shared" si="7"/>
        <v>#N/A</v>
      </c>
      <c r="E229" s="805"/>
      <c r="J229" s="356"/>
    </row>
    <row r="230" spans="1:10" ht="9.75" customHeight="1">
      <c r="A230" s="353" t="e">
        <f ca="1">'DATOS ETIQ'!H$30</f>
        <v>#N/A</v>
      </c>
      <c r="B230" s="354" t="str">
        <f>"Lt: "&amp;'DATOS ETIQ'!I$30</f>
        <v xml:space="preserve">Lt: </v>
      </c>
      <c r="D230" s="353" t="e">
        <f t="shared" ca="1" si="7"/>
        <v>#N/A</v>
      </c>
      <c r="E230" s="354" t="str">
        <f>B230</f>
        <v xml:space="preserve">Lt: </v>
      </c>
      <c r="G230" s="800" t="e">
        <f>'FR PD 001 V1'!T34</f>
        <v>#N/A</v>
      </c>
      <c r="J230" s="800">
        <v>29</v>
      </c>
    </row>
    <row r="231" spans="1:10" ht="9.75" customHeight="1" thickBot="1">
      <c r="A231" s="805" t="str">
        <f>'DATOS ETIQ'!J$30&amp;"  "&amp;'DATOS ETIQ'!K$30</f>
        <v xml:space="preserve">  0</v>
      </c>
      <c r="B231" s="805"/>
      <c r="C231" s="349"/>
      <c r="D231" s="805" t="str">
        <f t="shared" si="7"/>
        <v xml:space="preserve">  0</v>
      </c>
      <c r="E231" s="805"/>
      <c r="G231" s="801"/>
      <c r="J231" s="801"/>
    </row>
    <row r="232" spans="1:10" ht="9.75" customHeight="1">
      <c r="A232" s="807" t="str">
        <f>"QFP: "&amp;'DATOS ETIQ'!L$2&amp;"   QFV: "&amp;'DATOS ETIQ'!M$2</f>
        <v>QFP: JGARCIA   QFV: ADELTORO</v>
      </c>
      <c r="B232" s="807"/>
      <c r="D232" s="807" t="str">
        <f t="shared" si="7"/>
        <v>QFP: JGARCIA   QFV: ADELTORO</v>
      </c>
      <c r="E232" s="807"/>
      <c r="J232" s="356"/>
    </row>
    <row r="233" spans="1:10" ht="9.75" customHeight="1">
      <c r="A233" s="402" t="str">
        <f>'DATOS ETIQ'!N$30&amp;""</f>
        <v>C.JPC/SEXTO NTE/SCOOP</v>
      </c>
      <c r="B233" s="357" t="e">
        <f>"Via Adm.: "&amp;'DATOS ETIQ'!S$30</f>
        <v>#N/A</v>
      </c>
      <c r="D233" s="401" t="str">
        <f t="shared" si="7"/>
        <v>C.JPC/SEXTO NTE/SCOOP</v>
      </c>
      <c r="E233" s="357" t="e">
        <f>+B233</f>
        <v>#N/A</v>
      </c>
      <c r="J233" s="356"/>
    </row>
    <row r="234" spans="1:10" ht="9.75" customHeight="1">
      <c r="A234" s="402" t="e">
        <f>"Conserv.: "&amp;'DATOS ETIQ'!AB$30</f>
        <v>#N/A</v>
      </c>
      <c r="B234" s="357" t="str">
        <f>"Cama: "&amp;'DATOS ETIQ'!O$30</f>
        <v>Cama: NA</v>
      </c>
      <c r="D234" s="401" t="e">
        <f t="shared" si="7"/>
        <v>#N/A</v>
      </c>
      <c r="E234" s="357" t="str">
        <f>+B234</f>
        <v>Cama: NA</v>
      </c>
      <c r="J234" s="356"/>
    </row>
    <row r="235" spans="1:10" ht="9.75" customHeight="1">
      <c r="A235" s="357"/>
      <c r="B235" s="357"/>
      <c r="D235" s="357"/>
      <c r="E235" s="357"/>
      <c r="J235" s="356"/>
    </row>
    <row r="236" spans="1:10" s="404" customFormat="1" ht="12" customHeight="1">
      <c r="A236" s="806" t="e">
        <f>'DATOS ETIQ'!Q$31</f>
        <v>#N/A</v>
      </c>
      <c r="B236" s="806"/>
      <c r="C236" s="403"/>
      <c r="D236" s="806" t="e">
        <f t="shared" si="7"/>
        <v>#N/A</v>
      </c>
      <c r="E236" s="806"/>
      <c r="J236" s="407"/>
    </row>
    <row r="237" spans="1:10" ht="9.75" customHeight="1" thickBot="1">
      <c r="A237" s="805" t="e">
        <f>'DATOS ETIQ'!AD31</f>
        <v>#N/A</v>
      </c>
      <c r="B237" s="805"/>
      <c r="C237" s="349"/>
      <c r="D237" s="805" t="e">
        <f t="shared" ref="D237:D309" si="8">A237</f>
        <v>#N/A</v>
      </c>
      <c r="E237" s="805"/>
      <c r="J237" s="356"/>
    </row>
    <row r="238" spans="1:10" ht="9.75" customHeight="1">
      <c r="A238" s="353" t="e">
        <f ca="1">'DATOS ETIQ'!H$31</f>
        <v>#N/A</v>
      </c>
      <c r="B238" s="354" t="str">
        <f>"Lt: "&amp;'DATOS ETIQ'!I$31</f>
        <v xml:space="preserve">Lt: </v>
      </c>
      <c r="D238" s="353" t="e">
        <f t="shared" ca="1" si="8"/>
        <v>#N/A</v>
      </c>
      <c r="E238" s="354" t="str">
        <f>B238</f>
        <v xml:space="preserve">Lt: </v>
      </c>
      <c r="G238" s="800" t="e">
        <f>'FR PD 001 V1'!T35</f>
        <v>#N/A</v>
      </c>
      <c r="J238" s="800">
        <v>30</v>
      </c>
    </row>
    <row r="239" spans="1:10" ht="9.75" customHeight="1" thickBot="1">
      <c r="A239" s="805" t="str">
        <f>'DATOS ETIQ'!J$31&amp;"  "&amp;'DATOS ETIQ'!K$31</f>
        <v xml:space="preserve">  0</v>
      </c>
      <c r="B239" s="805"/>
      <c r="C239" s="349"/>
      <c r="D239" s="805" t="str">
        <f t="shared" si="8"/>
        <v xml:space="preserve">  0</v>
      </c>
      <c r="E239" s="805"/>
      <c r="G239" s="801"/>
      <c r="J239" s="801"/>
    </row>
    <row r="240" spans="1:10" ht="9.75" customHeight="1">
      <c r="A240" s="807" t="str">
        <f>"QFP: "&amp;'DATOS ETIQ'!L$2&amp;"   QFV: "&amp;'DATOS ETIQ'!M$2</f>
        <v>QFP: JGARCIA   QFV: ADELTORO</v>
      </c>
      <c r="B240" s="807"/>
      <c r="D240" s="807" t="str">
        <f t="shared" si="8"/>
        <v>QFP: JGARCIA   QFV: ADELTORO</v>
      </c>
      <c r="E240" s="807"/>
      <c r="J240" s="356"/>
    </row>
    <row r="241" spans="1:10" ht="9.75" customHeight="1">
      <c r="A241" s="402" t="str">
        <f>'DATOS ETIQ'!N$31&amp;""</f>
        <v>C.JPC/SEXTO NTE/SCOOP</v>
      </c>
      <c r="B241" s="357" t="e">
        <f>"Via Adm.: "&amp;'DATOS ETIQ'!S$31</f>
        <v>#N/A</v>
      </c>
      <c r="D241" s="401" t="str">
        <f t="shared" si="8"/>
        <v>C.JPC/SEXTO NTE/SCOOP</v>
      </c>
      <c r="E241" s="357" t="e">
        <f>+B241</f>
        <v>#N/A</v>
      </c>
      <c r="J241" s="356"/>
    </row>
    <row r="242" spans="1:10" ht="9.75" customHeight="1">
      <c r="A242" s="402" t="e">
        <f>"Conserv.: "&amp;'DATOS ETIQ'!AB$31</f>
        <v>#N/A</v>
      </c>
      <c r="B242" s="357" t="str">
        <f>"Cama: "&amp;'DATOS ETIQ'!O$31</f>
        <v>Cama: NA</v>
      </c>
      <c r="D242" s="401" t="e">
        <f t="shared" si="8"/>
        <v>#N/A</v>
      </c>
      <c r="E242" s="357" t="str">
        <f>+B242</f>
        <v>Cama: NA</v>
      </c>
      <c r="J242" s="356"/>
    </row>
    <row r="243" spans="1:10" ht="9.75" customHeight="1">
      <c r="A243" s="357"/>
      <c r="B243" s="357"/>
      <c r="D243" s="357"/>
      <c r="E243" s="357"/>
      <c r="J243" s="356"/>
    </row>
    <row r="244" spans="1:10" s="404" customFormat="1" ht="12" customHeight="1">
      <c r="A244" s="806" t="e">
        <f>'DATOS ETIQ'!Q$32</f>
        <v>#N/A</v>
      </c>
      <c r="B244" s="806"/>
      <c r="C244" s="403"/>
      <c r="D244" s="806" t="e">
        <f t="shared" si="8"/>
        <v>#N/A</v>
      </c>
      <c r="E244" s="806"/>
      <c r="J244" s="407"/>
    </row>
    <row r="245" spans="1:10" ht="9.75" customHeight="1" thickBot="1">
      <c r="A245" s="805" t="e">
        <f>'DATOS ETIQ'!AD32</f>
        <v>#N/A</v>
      </c>
      <c r="B245" s="805"/>
      <c r="C245" s="349"/>
      <c r="D245" s="805" t="e">
        <f t="shared" si="8"/>
        <v>#N/A</v>
      </c>
      <c r="E245" s="805"/>
      <c r="J245" s="356"/>
    </row>
    <row r="246" spans="1:10" ht="9.75" customHeight="1">
      <c r="A246" s="353" t="e">
        <f ca="1">'DATOS ETIQ'!H$32</f>
        <v>#N/A</v>
      </c>
      <c r="B246" s="354" t="str">
        <f>"Lt: "&amp;'DATOS ETIQ'!I$32</f>
        <v xml:space="preserve">Lt: </v>
      </c>
      <c r="D246" s="353" t="e">
        <f t="shared" ca="1" si="8"/>
        <v>#N/A</v>
      </c>
      <c r="E246" s="354" t="str">
        <f>B246</f>
        <v xml:space="preserve">Lt: </v>
      </c>
      <c r="G246" s="800" t="e">
        <f>'FR PD 001 V1'!T36</f>
        <v>#N/A</v>
      </c>
      <c r="J246" s="800">
        <v>31</v>
      </c>
    </row>
    <row r="247" spans="1:10" ht="9.75" customHeight="1" thickBot="1">
      <c r="A247" s="805" t="str">
        <f>'DATOS ETIQ'!J$32&amp;"  "&amp;'DATOS ETIQ'!K$32</f>
        <v xml:space="preserve">  0</v>
      </c>
      <c r="B247" s="805"/>
      <c r="C247" s="349"/>
      <c r="D247" s="805" t="str">
        <f t="shared" si="8"/>
        <v xml:space="preserve">  0</v>
      </c>
      <c r="E247" s="805"/>
      <c r="G247" s="801"/>
      <c r="J247" s="801"/>
    </row>
    <row r="248" spans="1:10" ht="9.75" customHeight="1">
      <c r="A248" s="807" t="str">
        <f>"QFP: "&amp;'DATOS ETIQ'!L$2&amp;"   QFV: "&amp;'DATOS ETIQ'!M$2</f>
        <v>QFP: JGARCIA   QFV: ADELTORO</v>
      </c>
      <c r="B248" s="807"/>
      <c r="D248" s="807" t="str">
        <f t="shared" si="8"/>
        <v>QFP: JGARCIA   QFV: ADELTORO</v>
      </c>
      <c r="E248" s="807"/>
      <c r="J248" s="356"/>
    </row>
    <row r="249" spans="1:10" ht="9.75" customHeight="1">
      <c r="A249" s="402" t="str">
        <f>'DATOS ETIQ'!N$32&amp;""</f>
        <v>C.JPC/SEXTO NTE/SCOOP</v>
      </c>
      <c r="B249" s="357" t="e">
        <f>"Via Adm.: "&amp;'DATOS ETIQ'!S$32</f>
        <v>#N/A</v>
      </c>
      <c r="D249" s="401" t="str">
        <f t="shared" si="8"/>
        <v>C.JPC/SEXTO NTE/SCOOP</v>
      </c>
      <c r="E249" s="357" t="e">
        <f>+B249</f>
        <v>#N/A</v>
      </c>
      <c r="J249" s="356"/>
    </row>
    <row r="250" spans="1:10" ht="9.75" customHeight="1">
      <c r="A250" s="402" t="e">
        <f>"Conserv.: "&amp;'DATOS ETIQ'!AB$32</f>
        <v>#N/A</v>
      </c>
      <c r="B250" s="357" t="str">
        <f>"Cama: "&amp;'DATOS ETIQ'!O$32</f>
        <v>Cama: NA</v>
      </c>
      <c r="D250" s="401" t="e">
        <f t="shared" si="8"/>
        <v>#N/A</v>
      </c>
      <c r="E250" s="357" t="str">
        <f>+B250</f>
        <v>Cama: NA</v>
      </c>
      <c r="J250" s="356"/>
    </row>
    <row r="251" spans="1:10" ht="9.75" customHeight="1">
      <c r="A251" s="357"/>
      <c r="B251" s="357"/>
      <c r="D251" s="357"/>
      <c r="E251" s="357"/>
      <c r="J251" s="356"/>
    </row>
    <row r="252" spans="1:10" s="404" customFormat="1" ht="12" customHeight="1">
      <c r="A252" s="806" t="e">
        <f>'DATOS ETIQ'!Q$33</f>
        <v>#N/A</v>
      </c>
      <c r="B252" s="806"/>
      <c r="C252" s="403"/>
      <c r="D252" s="806" t="e">
        <f t="shared" si="8"/>
        <v>#N/A</v>
      </c>
      <c r="E252" s="806"/>
      <c r="J252" s="407"/>
    </row>
    <row r="253" spans="1:10" ht="9.75" customHeight="1" thickBot="1">
      <c r="A253" s="805" t="e">
        <f>'DATOS ETIQ'!AD33</f>
        <v>#N/A</v>
      </c>
      <c r="B253" s="805"/>
      <c r="C253" s="349"/>
      <c r="D253" s="805" t="e">
        <f t="shared" si="8"/>
        <v>#N/A</v>
      </c>
      <c r="E253" s="805"/>
      <c r="J253" s="356"/>
    </row>
    <row r="254" spans="1:10" ht="9.75" customHeight="1">
      <c r="A254" s="353" t="e">
        <f ca="1">'DATOS ETIQ'!H$33</f>
        <v>#N/A</v>
      </c>
      <c r="B254" s="354" t="str">
        <f>"Lt: "&amp;'DATOS ETIQ'!I$33</f>
        <v xml:space="preserve">Lt: </v>
      </c>
      <c r="D254" s="353" t="e">
        <f t="shared" ca="1" si="8"/>
        <v>#N/A</v>
      </c>
      <c r="E254" s="354" t="str">
        <f>B254</f>
        <v xml:space="preserve">Lt: </v>
      </c>
      <c r="G254" s="800" t="e">
        <f>'FR PD 001 V1'!T37</f>
        <v>#N/A</v>
      </c>
      <c r="J254" s="800">
        <v>32</v>
      </c>
    </row>
    <row r="255" spans="1:10" ht="9.75" customHeight="1" thickBot="1">
      <c r="A255" s="805" t="str">
        <f>'DATOS ETIQ'!J$33&amp;"  "&amp;'DATOS ETIQ'!K$33</f>
        <v xml:space="preserve">  0</v>
      </c>
      <c r="B255" s="805"/>
      <c r="C255" s="349"/>
      <c r="D255" s="805" t="str">
        <f t="shared" si="8"/>
        <v xml:space="preserve">  0</v>
      </c>
      <c r="E255" s="805"/>
      <c r="G255" s="801"/>
      <c r="J255" s="801"/>
    </row>
    <row r="256" spans="1:10" ht="9.75" customHeight="1">
      <c r="A256" s="807" t="str">
        <f>"QFP: "&amp;'DATOS ETIQ'!L$2&amp;"   QFV: "&amp;'DATOS ETIQ'!M$2</f>
        <v>QFP: JGARCIA   QFV: ADELTORO</v>
      </c>
      <c r="B256" s="807"/>
      <c r="D256" s="807" t="str">
        <f t="shared" si="8"/>
        <v>QFP: JGARCIA   QFV: ADELTORO</v>
      </c>
      <c r="E256" s="807"/>
      <c r="J256" s="356"/>
    </row>
    <row r="257" spans="1:10" ht="9.75" customHeight="1">
      <c r="A257" s="402" t="str">
        <f>'DATOS ETIQ'!N$33&amp;""</f>
        <v>C.JPC/SEXTO NTE/SCOOP</v>
      </c>
      <c r="B257" s="357" t="e">
        <f>"Via Adm.: "&amp;'DATOS ETIQ'!S$33</f>
        <v>#N/A</v>
      </c>
      <c r="D257" s="401" t="str">
        <f t="shared" si="8"/>
        <v>C.JPC/SEXTO NTE/SCOOP</v>
      </c>
      <c r="E257" s="357" t="e">
        <f>+B257</f>
        <v>#N/A</v>
      </c>
      <c r="J257" s="356"/>
    </row>
    <row r="258" spans="1:10" ht="9.75" customHeight="1">
      <c r="A258" s="402" t="e">
        <f>"Conserv.: "&amp;'DATOS ETIQ'!AB$33</f>
        <v>#N/A</v>
      </c>
      <c r="B258" s="357" t="str">
        <f>"Cama: "&amp;'DATOS ETIQ'!O$33</f>
        <v>Cama: NA</v>
      </c>
      <c r="D258" s="401" t="e">
        <f t="shared" si="8"/>
        <v>#N/A</v>
      </c>
      <c r="E258" s="357" t="str">
        <f>+B258</f>
        <v>Cama: NA</v>
      </c>
      <c r="J258" s="356"/>
    </row>
    <row r="259" spans="1:10" ht="9.75" customHeight="1">
      <c r="A259" s="357"/>
      <c r="B259" s="357"/>
      <c r="D259" s="357"/>
      <c r="E259" s="357"/>
      <c r="J259" s="356"/>
    </row>
    <row r="260" spans="1:10" s="404" customFormat="1" ht="12" customHeight="1">
      <c r="A260" s="806" t="e">
        <f>'DATOS ETIQ'!Q$34</f>
        <v>#N/A</v>
      </c>
      <c r="B260" s="806"/>
      <c r="C260" s="403"/>
      <c r="D260" s="806" t="e">
        <f t="shared" si="8"/>
        <v>#N/A</v>
      </c>
      <c r="E260" s="806"/>
      <c r="J260" s="407"/>
    </row>
    <row r="261" spans="1:10" ht="9.75" customHeight="1" thickBot="1">
      <c r="A261" s="805" t="e">
        <f>'DATOS ETIQ'!AD34</f>
        <v>#N/A</v>
      </c>
      <c r="B261" s="805"/>
      <c r="C261" s="349"/>
      <c r="D261" s="805" t="e">
        <f t="shared" si="8"/>
        <v>#N/A</v>
      </c>
      <c r="E261" s="805"/>
      <c r="J261" s="356"/>
    </row>
    <row r="262" spans="1:10" ht="9.75" customHeight="1">
      <c r="A262" s="353" t="e">
        <f ca="1">'DATOS ETIQ'!H$34</f>
        <v>#N/A</v>
      </c>
      <c r="B262" s="354" t="str">
        <f>"Lt: "&amp;'DATOS ETIQ'!I$34</f>
        <v xml:space="preserve">Lt: </v>
      </c>
      <c r="D262" s="353" t="e">
        <f t="shared" ca="1" si="8"/>
        <v>#N/A</v>
      </c>
      <c r="E262" s="354" t="str">
        <f>B262</f>
        <v xml:space="preserve">Lt: </v>
      </c>
      <c r="G262" s="800" t="e">
        <f>'FR PD 001 V1'!T38</f>
        <v>#N/A</v>
      </c>
      <c r="J262" s="800">
        <v>33</v>
      </c>
    </row>
    <row r="263" spans="1:10" ht="9.75" customHeight="1" thickBot="1">
      <c r="A263" s="805" t="str">
        <f>'DATOS ETIQ'!J$34&amp;"  "&amp;'DATOS ETIQ'!K$34</f>
        <v xml:space="preserve">  0</v>
      </c>
      <c r="B263" s="805"/>
      <c r="C263" s="349"/>
      <c r="D263" s="805" t="str">
        <f t="shared" si="8"/>
        <v xml:space="preserve">  0</v>
      </c>
      <c r="E263" s="805"/>
      <c r="G263" s="801"/>
      <c r="J263" s="801"/>
    </row>
    <row r="264" spans="1:10" ht="9.75" customHeight="1">
      <c r="A264" s="807" t="str">
        <f>"QFP: "&amp;'DATOS ETIQ'!L$2&amp;"   QFV: "&amp;'DATOS ETIQ'!M$2</f>
        <v>QFP: JGARCIA   QFV: ADELTORO</v>
      </c>
      <c r="B264" s="807"/>
      <c r="D264" s="807" t="str">
        <f t="shared" si="8"/>
        <v>QFP: JGARCIA   QFV: ADELTORO</v>
      </c>
      <c r="E264" s="807"/>
      <c r="J264" s="356"/>
    </row>
    <row r="265" spans="1:10" ht="9.75" customHeight="1">
      <c r="A265" s="402" t="str">
        <f>'DATOS ETIQ'!N$34&amp;""</f>
        <v>C.JPC/SEXTO NTE/SCOOP</v>
      </c>
      <c r="B265" s="357" t="e">
        <f>"Via Adm.: "&amp;'DATOS ETIQ'!S$34</f>
        <v>#N/A</v>
      </c>
      <c r="D265" s="401" t="str">
        <f t="shared" si="8"/>
        <v>C.JPC/SEXTO NTE/SCOOP</v>
      </c>
      <c r="E265" s="357" t="e">
        <f>+B265</f>
        <v>#N/A</v>
      </c>
      <c r="J265" s="356"/>
    </row>
    <row r="266" spans="1:10" ht="9.75" customHeight="1">
      <c r="A266" s="402" t="e">
        <f>"Conserv.: "&amp;'DATOS ETIQ'!AB$34</f>
        <v>#N/A</v>
      </c>
      <c r="B266" s="357" t="str">
        <f>"Cama: "&amp;'DATOS ETIQ'!O$34</f>
        <v>Cama: NA</v>
      </c>
      <c r="D266" s="401" t="e">
        <f t="shared" si="8"/>
        <v>#N/A</v>
      </c>
      <c r="E266" s="357" t="str">
        <f>+B266</f>
        <v>Cama: NA</v>
      </c>
      <c r="J266" s="356"/>
    </row>
    <row r="267" spans="1:10" ht="9.75" customHeight="1">
      <c r="A267" s="357"/>
      <c r="B267" s="357"/>
      <c r="D267" s="357"/>
      <c r="E267" s="357"/>
      <c r="J267" s="356"/>
    </row>
    <row r="268" spans="1:10" s="404" customFormat="1" ht="12" customHeight="1">
      <c r="A268" s="806" t="e">
        <f>'DATOS ETIQ'!Q$35</f>
        <v>#N/A</v>
      </c>
      <c r="B268" s="806"/>
      <c r="C268" s="403"/>
      <c r="D268" s="806" t="e">
        <f t="shared" si="8"/>
        <v>#N/A</v>
      </c>
      <c r="E268" s="806"/>
      <c r="J268" s="407"/>
    </row>
    <row r="269" spans="1:10" ht="9.75" customHeight="1" thickBot="1">
      <c r="A269" s="805" t="e">
        <f>'DATOS ETIQ'!AD35</f>
        <v>#N/A</v>
      </c>
      <c r="B269" s="805"/>
      <c r="C269" s="349"/>
      <c r="D269" s="805" t="e">
        <f t="shared" si="8"/>
        <v>#N/A</v>
      </c>
      <c r="E269" s="805"/>
      <c r="J269" s="356"/>
    </row>
    <row r="270" spans="1:10" ht="9.75" customHeight="1">
      <c r="A270" s="353" t="e">
        <f ca="1">'DATOS ETIQ'!H$35</f>
        <v>#N/A</v>
      </c>
      <c r="B270" s="354" t="str">
        <f>"Lt: "&amp;'DATOS ETIQ'!I$35</f>
        <v xml:space="preserve">Lt: </v>
      </c>
      <c r="D270" s="353" t="e">
        <f t="shared" ca="1" si="8"/>
        <v>#N/A</v>
      </c>
      <c r="E270" s="354" t="str">
        <f>B270</f>
        <v xml:space="preserve">Lt: </v>
      </c>
      <c r="G270" s="800" t="e">
        <f>'FR PD 001 V1'!T39</f>
        <v>#N/A</v>
      </c>
      <c r="J270" s="800">
        <v>34</v>
      </c>
    </row>
    <row r="271" spans="1:10" ht="9.75" customHeight="1" thickBot="1">
      <c r="A271" s="805" t="str">
        <f>'DATOS ETIQ'!J$35&amp;"  "&amp;'DATOS ETIQ'!K$35</f>
        <v xml:space="preserve">  0</v>
      </c>
      <c r="B271" s="805"/>
      <c r="C271" s="349"/>
      <c r="D271" s="805" t="str">
        <f t="shared" si="8"/>
        <v xml:space="preserve">  0</v>
      </c>
      <c r="E271" s="805"/>
      <c r="G271" s="801"/>
      <c r="J271" s="801"/>
    </row>
    <row r="272" spans="1:10" ht="9.75" customHeight="1">
      <c r="A272" s="807" t="str">
        <f>"QFP: "&amp;'DATOS ETIQ'!L$2&amp;"   QFV: "&amp;'DATOS ETIQ'!M$2</f>
        <v>QFP: JGARCIA   QFV: ADELTORO</v>
      </c>
      <c r="B272" s="807"/>
      <c r="D272" s="807" t="str">
        <f t="shared" si="8"/>
        <v>QFP: JGARCIA   QFV: ADELTORO</v>
      </c>
      <c r="E272" s="807"/>
      <c r="J272" s="356"/>
    </row>
    <row r="273" spans="1:10" ht="9.75" customHeight="1">
      <c r="A273" s="402" t="str">
        <f>'DATOS ETIQ'!N$35&amp;""</f>
        <v>C.JPC/SEXTO NTE/SCOOP</v>
      </c>
      <c r="B273" s="357" t="e">
        <f>"Via Adm.: "&amp;'DATOS ETIQ'!S$35</f>
        <v>#N/A</v>
      </c>
      <c r="D273" s="401" t="str">
        <f t="shared" si="8"/>
        <v>C.JPC/SEXTO NTE/SCOOP</v>
      </c>
      <c r="E273" s="357" t="e">
        <f>+B273</f>
        <v>#N/A</v>
      </c>
      <c r="J273" s="356"/>
    </row>
    <row r="274" spans="1:10" ht="9.75" customHeight="1">
      <c r="A274" s="402" t="e">
        <f>"Conserv.: "&amp;'DATOS ETIQ'!AB$35</f>
        <v>#N/A</v>
      </c>
      <c r="B274" s="357" t="str">
        <f>"Cama: "&amp;'DATOS ETIQ'!O$35</f>
        <v>Cama: NA</v>
      </c>
      <c r="D274" s="401" t="e">
        <f t="shared" si="8"/>
        <v>#N/A</v>
      </c>
      <c r="E274" s="357" t="str">
        <f>+B274</f>
        <v>Cama: NA</v>
      </c>
      <c r="J274" s="356"/>
    </row>
    <row r="275" spans="1:10" ht="9.75" customHeight="1">
      <c r="A275" s="357"/>
      <c r="B275" s="357"/>
      <c r="D275" s="357"/>
      <c r="E275" s="357"/>
      <c r="J275" s="356"/>
    </row>
    <row r="276" spans="1:10" s="404" customFormat="1" ht="12" customHeight="1">
      <c r="A276" s="806" t="e">
        <f>'DATOS ETIQ'!Q$36</f>
        <v>#N/A</v>
      </c>
      <c r="B276" s="806"/>
      <c r="C276" s="403"/>
      <c r="D276" s="806" t="e">
        <f t="shared" si="8"/>
        <v>#N/A</v>
      </c>
      <c r="E276" s="806"/>
      <c r="J276" s="407"/>
    </row>
    <row r="277" spans="1:10" ht="9.75" customHeight="1" thickBot="1">
      <c r="A277" s="805" t="e">
        <f>'DATOS ETIQ'!AD36</f>
        <v>#N/A</v>
      </c>
      <c r="B277" s="805"/>
      <c r="C277" s="349"/>
      <c r="D277" s="805" t="e">
        <f t="shared" si="8"/>
        <v>#N/A</v>
      </c>
      <c r="E277" s="805"/>
      <c r="J277" s="356"/>
    </row>
    <row r="278" spans="1:10" ht="9.75" customHeight="1">
      <c r="A278" s="353" t="e">
        <f ca="1">'DATOS ETIQ'!H$36</f>
        <v>#N/A</v>
      </c>
      <c r="B278" s="354" t="str">
        <f>"Lt: "&amp;'DATOS ETIQ'!I$36</f>
        <v xml:space="preserve">Lt: </v>
      </c>
      <c r="D278" s="353" t="e">
        <f t="shared" ca="1" si="8"/>
        <v>#N/A</v>
      </c>
      <c r="E278" s="354" t="str">
        <f>B278</f>
        <v xml:space="preserve">Lt: </v>
      </c>
      <c r="G278" s="800" t="e">
        <f>'FR PD 001 V1'!T40</f>
        <v>#N/A</v>
      </c>
      <c r="J278" s="800">
        <v>35</v>
      </c>
    </row>
    <row r="279" spans="1:10" ht="9.75" customHeight="1" thickBot="1">
      <c r="A279" s="805" t="str">
        <f>'DATOS ETIQ'!J$36&amp;"  "&amp;'DATOS ETIQ'!K$36</f>
        <v xml:space="preserve">  0</v>
      </c>
      <c r="B279" s="805"/>
      <c r="C279" s="349"/>
      <c r="D279" s="805" t="str">
        <f t="shared" si="8"/>
        <v xml:space="preserve">  0</v>
      </c>
      <c r="E279" s="805"/>
      <c r="G279" s="801"/>
      <c r="J279" s="801"/>
    </row>
    <row r="280" spans="1:10" ht="9.75" customHeight="1">
      <c r="A280" s="807" t="str">
        <f>"QFP: "&amp;'DATOS ETIQ'!L$2&amp;"   QFV: "&amp;'DATOS ETIQ'!M$2</f>
        <v>QFP: JGARCIA   QFV: ADELTORO</v>
      </c>
      <c r="B280" s="807"/>
      <c r="D280" s="807" t="str">
        <f t="shared" si="8"/>
        <v>QFP: JGARCIA   QFV: ADELTORO</v>
      </c>
      <c r="E280" s="807"/>
      <c r="J280" s="356"/>
    </row>
    <row r="281" spans="1:10" ht="9.75" customHeight="1">
      <c r="A281" s="402" t="str">
        <f>'DATOS ETIQ'!N$36&amp;""</f>
        <v>C.JPC/SEXTO NTE/SCOOP</v>
      </c>
      <c r="B281" s="357" t="e">
        <f>"Via Adm.: "&amp;'DATOS ETIQ'!S$36</f>
        <v>#N/A</v>
      </c>
      <c r="D281" s="401" t="str">
        <f t="shared" si="8"/>
        <v>C.JPC/SEXTO NTE/SCOOP</v>
      </c>
      <c r="E281" s="357" t="e">
        <f>+B281</f>
        <v>#N/A</v>
      </c>
      <c r="J281" s="356"/>
    </row>
    <row r="282" spans="1:10" ht="9.75" customHeight="1">
      <c r="A282" s="402" t="e">
        <f>"Conserv.: "&amp;'DATOS ETIQ'!AB$36</f>
        <v>#N/A</v>
      </c>
      <c r="B282" s="357" t="str">
        <f>"Cama: "&amp;'DATOS ETIQ'!O$36</f>
        <v>Cama: NA</v>
      </c>
      <c r="D282" s="401" t="e">
        <f t="shared" si="8"/>
        <v>#N/A</v>
      </c>
      <c r="E282" s="357" t="str">
        <f>+B282</f>
        <v>Cama: NA</v>
      </c>
      <c r="J282" s="356"/>
    </row>
    <row r="283" spans="1:10" ht="9.75" customHeight="1">
      <c r="A283" s="357"/>
      <c r="B283" s="357"/>
      <c r="D283" s="357"/>
      <c r="E283" s="357"/>
      <c r="J283" s="356"/>
    </row>
    <row r="284" spans="1:10" s="404" customFormat="1" ht="12" customHeight="1">
      <c r="A284" s="806" t="e">
        <f>'DATOS ETIQ'!Q$37</f>
        <v>#N/A</v>
      </c>
      <c r="B284" s="806"/>
      <c r="C284" s="403"/>
      <c r="D284" s="806" t="e">
        <f t="shared" si="8"/>
        <v>#N/A</v>
      </c>
      <c r="E284" s="806"/>
      <c r="J284" s="407"/>
    </row>
    <row r="285" spans="1:10" ht="9.75" customHeight="1" thickBot="1">
      <c r="A285" s="805" t="e">
        <f>'DATOS ETIQ'!AD37</f>
        <v>#N/A</v>
      </c>
      <c r="B285" s="805"/>
      <c r="C285" s="349"/>
      <c r="D285" s="805" t="e">
        <f t="shared" si="8"/>
        <v>#N/A</v>
      </c>
      <c r="E285" s="805"/>
      <c r="J285" s="356"/>
    </row>
    <row r="286" spans="1:10" ht="9.75" customHeight="1">
      <c r="A286" s="353" t="e">
        <f ca="1">'DATOS ETIQ'!H$37</f>
        <v>#N/A</v>
      </c>
      <c r="B286" s="354" t="str">
        <f>"Lt: "&amp;'DATOS ETIQ'!I$37</f>
        <v xml:space="preserve">Lt: </v>
      </c>
      <c r="D286" s="353" t="e">
        <f t="shared" ca="1" si="8"/>
        <v>#N/A</v>
      </c>
      <c r="E286" s="354" t="str">
        <f>B286</f>
        <v xml:space="preserve">Lt: </v>
      </c>
      <c r="G286" s="800" t="e">
        <f>'FR PD 001 V1'!T41</f>
        <v>#N/A</v>
      </c>
      <c r="J286" s="800">
        <v>36</v>
      </c>
    </row>
    <row r="287" spans="1:10" ht="9.75" customHeight="1" thickBot="1">
      <c r="A287" s="805" t="str">
        <f>'DATOS ETIQ'!J$37&amp;"  "&amp;'DATOS ETIQ'!K$37</f>
        <v xml:space="preserve">  0</v>
      </c>
      <c r="B287" s="805"/>
      <c r="C287" s="349"/>
      <c r="D287" s="805" t="str">
        <f t="shared" si="8"/>
        <v xml:space="preserve">  0</v>
      </c>
      <c r="E287" s="805"/>
      <c r="G287" s="801"/>
      <c r="J287" s="801"/>
    </row>
    <row r="288" spans="1:10" ht="9.75" customHeight="1">
      <c r="A288" s="807" t="str">
        <f>"QFP: "&amp;'DATOS ETIQ'!L$2&amp;"   QFV: "&amp;'DATOS ETIQ'!M$2</f>
        <v>QFP: JGARCIA   QFV: ADELTORO</v>
      </c>
      <c r="B288" s="807"/>
      <c r="D288" s="807" t="str">
        <f t="shared" si="8"/>
        <v>QFP: JGARCIA   QFV: ADELTORO</v>
      </c>
      <c r="E288" s="807"/>
      <c r="J288" s="356"/>
    </row>
    <row r="289" spans="1:10" ht="9.75" customHeight="1">
      <c r="A289" s="402" t="str">
        <f>'DATOS ETIQ'!N$37&amp;""</f>
        <v>C.JPC/SEXTO NTE/SCOOP</v>
      </c>
      <c r="B289" s="357" t="e">
        <f>"Via Adm.: "&amp;'DATOS ETIQ'!S$37</f>
        <v>#N/A</v>
      </c>
      <c r="D289" s="401" t="str">
        <f t="shared" si="8"/>
        <v>C.JPC/SEXTO NTE/SCOOP</v>
      </c>
      <c r="E289" s="357" t="e">
        <f>+B289</f>
        <v>#N/A</v>
      </c>
      <c r="J289" s="356"/>
    </row>
    <row r="290" spans="1:10" ht="9.75" customHeight="1">
      <c r="A290" s="402" t="e">
        <f>"Conserv.: "&amp;'DATOS ETIQ'!AB$37</f>
        <v>#N/A</v>
      </c>
      <c r="B290" s="357" t="str">
        <f>"Cama: "&amp;'DATOS ETIQ'!O$37</f>
        <v>Cama: NA</v>
      </c>
      <c r="D290" s="401" t="e">
        <f t="shared" si="8"/>
        <v>#N/A</v>
      </c>
      <c r="E290" s="357" t="str">
        <f>+B290</f>
        <v>Cama: NA</v>
      </c>
      <c r="J290" s="356"/>
    </row>
    <row r="291" spans="1:10" ht="9.75" customHeight="1">
      <c r="A291" s="357"/>
      <c r="B291" s="357"/>
      <c r="D291" s="357"/>
      <c r="E291" s="357"/>
      <c r="J291" s="356"/>
    </row>
    <row r="292" spans="1:10" s="404" customFormat="1" ht="12" customHeight="1">
      <c r="A292" s="806" t="e">
        <f>'DATOS ETIQ'!Q$38</f>
        <v>#N/A</v>
      </c>
      <c r="B292" s="806"/>
      <c r="C292" s="403"/>
      <c r="D292" s="806" t="e">
        <f t="shared" si="8"/>
        <v>#N/A</v>
      </c>
      <c r="E292" s="806"/>
      <c r="J292" s="407"/>
    </row>
    <row r="293" spans="1:10" ht="9.75" customHeight="1" thickBot="1">
      <c r="A293" s="805" t="e">
        <f>'DATOS ETIQ'!AD38</f>
        <v>#N/A</v>
      </c>
      <c r="B293" s="805"/>
      <c r="C293" s="349"/>
      <c r="D293" s="805" t="e">
        <f t="shared" si="8"/>
        <v>#N/A</v>
      </c>
      <c r="E293" s="805"/>
      <c r="J293" s="356"/>
    </row>
    <row r="294" spans="1:10" ht="9.75" customHeight="1">
      <c r="A294" s="353" t="e">
        <f ca="1">'DATOS ETIQ'!H$38</f>
        <v>#N/A</v>
      </c>
      <c r="B294" s="354" t="str">
        <f>"Lt: "&amp;'DATOS ETIQ'!I$38</f>
        <v xml:space="preserve">Lt: </v>
      </c>
      <c r="D294" s="353" t="e">
        <f t="shared" ca="1" si="8"/>
        <v>#N/A</v>
      </c>
      <c r="E294" s="354" t="str">
        <f>B294</f>
        <v xml:space="preserve">Lt: </v>
      </c>
      <c r="G294" s="800" t="e">
        <f>'FR PD 001 V1'!T42</f>
        <v>#N/A</v>
      </c>
      <c r="J294" s="800">
        <v>37</v>
      </c>
    </row>
    <row r="295" spans="1:10" ht="9.75" customHeight="1" thickBot="1">
      <c r="A295" s="805" t="str">
        <f>'DATOS ETIQ'!J$38&amp;"  "&amp;'DATOS ETIQ'!K$38</f>
        <v xml:space="preserve">  0</v>
      </c>
      <c r="B295" s="805"/>
      <c r="C295" s="349"/>
      <c r="D295" s="805" t="str">
        <f t="shared" si="8"/>
        <v xml:space="preserve">  0</v>
      </c>
      <c r="E295" s="805"/>
      <c r="G295" s="801"/>
      <c r="J295" s="801"/>
    </row>
    <row r="296" spans="1:10" ht="9.75" customHeight="1">
      <c r="A296" s="807" t="str">
        <f>"QFP: "&amp;'DATOS ETIQ'!L$2&amp;"   QFV: "&amp;'DATOS ETIQ'!M$2</f>
        <v>QFP: JGARCIA   QFV: ADELTORO</v>
      </c>
      <c r="B296" s="807"/>
      <c r="D296" s="807" t="str">
        <f t="shared" si="8"/>
        <v>QFP: JGARCIA   QFV: ADELTORO</v>
      </c>
      <c r="E296" s="807"/>
      <c r="J296" s="356"/>
    </row>
    <row r="297" spans="1:10" ht="9.75" customHeight="1">
      <c r="A297" s="402" t="str">
        <f>'DATOS ETIQ'!N$38&amp;""</f>
        <v>C.JPC/SEXTO NTE/SCOOP</v>
      </c>
      <c r="B297" s="357" t="e">
        <f>"Via Adm.: "&amp;'DATOS ETIQ'!S$38</f>
        <v>#N/A</v>
      </c>
      <c r="D297" s="401" t="str">
        <f t="shared" si="8"/>
        <v>C.JPC/SEXTO NTE/SCOOP</v>
      </c>
      <c r="E297" s="357" t="e">
        <f>+B297</f>
        <v>#N/A</v>
      </c>
      <c r="J297" s="356"/>
    </row>
    <row r="298" spans="1:10" ht="9.75" customHeight="1">
      <c r="A298" s="402" t="e">
        <f>"Conserv.: "&amp;'DATOS ETIQ'!AB$38</f>
        <v>#N/A</v>
      </c>
      <c r="B298" s="357" t="str">
        <f>"Cama: "&amp;'DATOS ETIQ'!O$38</f>
        <v>Cama: NA</v>
      </c>
      <c r="D298" s="401" t="e">
        <f t="shared" si="8"/>
        <v>#N/A</v>
      </c>
      <c r="E298" s="357" t="str">
        <f>+B298</f>
        <v>Cama: NA</v>
      </c>
      <c r="J298" s="356"/>
    </row>
    <row r="299" spans="1:10" ht="9.75" customHeight="1">
      <c r="A299" s="357"/>
      <c r="B299" s="357"/>
      <c r="D299" s="357"/>
      <c r="E299" s="357"/>
      <c r="J299" s="356"/>
    </row>
    <row r="300" spans="1:10" s="404" customFormat="1" ht="12" customHeight="1">
      <c r="A300" s="806" t="e">
        <f>'DATOS ETIQ'!Q$39</f>
        <v>#N/A</v>
      </c>
      <c r="B300" s="806"/>
      <c r="C300" s="403"/>
      <c r="D300" s="806" t="e">
        <f t="shared" si="8"/>
        <v>#N/A</v>
      </c>
      <c r="E300" s="806"/>
      <c r="J300" s="407"/>
    </row>
    <row r="301" spans="1:10" ht="9.75" customHeight="1" thickBot="1">
      <c r="A301" s="805" t="e">
        <f>'DATOS ETIQ'!AD39</f>
        <v>#N/A</v>
      </c>
      <c r="B301" s="805"/>
      <c r="C301" s="349"/>
      <c r="D301" s="805" t="e">
        <f t="shared" si="8"/>
        <v>#N/A</v>
      </c>
      <c r="E301" s="805"/>
      <c r="J301" s="356"/>
    </row>
    <row r="302" spans="1:10" ht="9.75" customHeight="1">
      <c r="A302" s="353" t="e">
        <f ca="1">'DATOS ETIQ'!H$39</f>
        <v>#N/A</v>
      </c>
      <c r="B302" s="354" t="str">
        <f>"Lt: "&amp;'DATOS ETIQ'!I$39</f>
        <v xml:space="preserve">Lt: </v>
      </c>
      <c r="D302" s="353" t="e">
        <f t="shared" ca="1" si="8"/>
        <v>#N/A</v>
      </c>
      <c r="E302" s="354" t="str">
        <f>B302</f>
        <v xml:space="preserve">Lt: </v>
      </c>
      <c r="G302" s="800" t="e">
        <f>'FR PD 001 V1'!T43</f>
        <v>#N/A</v>
      </c>
      <c r="J302" s="800">
        <v>38</v>
      </c>
    </row>
    <row r="303" spans="1:10" ht="9.75" customHeight="1" thickBot="1">
      <c r="A303" s="805" t="str">
        <f>'DATOS ETIQ'!J$39&amp;"  "&amp;'DATOS ETIQ'!K$39</f>
        <v xml:space="preserve">  0</v>
      </c>
      <c r="B303" s="805"/>
      <c r="C303" s="349"/>
      <c r="D303" s="805" t="str">
        <f t="shared" si="8"/>
        <v xml:space="preserve">  0</v>
      </c>
      <c r="E303" s="805"/>
      <c r="G303" s="801"/>
      <c r="J303" s="801"/>
    </row>
    <row r="304" spans="1:10" ht="9.75" customHeight="1">
      <c r="A304" s="807" t="str">
        <f>"QFP: "&amp;'DATOS ETIQ'!L$2&amp;"   QFV: "&amp;'DATOS ETIQ'!M$2</f>
        <v>QFP: JGARCIA   QFV: ADELTORO</v>
      </c>
      <c r="B304" s="807"/>
      <c r="D304" s="807" t="str">
        <f t="shared" si="8"/>
        <v>QFP: JGARCIA   QFV: ADELTORO</v>
      </c>
      <c r="E304" s="807"/>
      <c r="J304" s="356"/>
    </row>
    <row r="305" spans="1:10" ht="9.75" customHeight="1">
      <c r="A305" s="402" t="str">
        <f>'DATOS ETIQ'!N$39&amp;""</f>
        <v>C.JPC/SEXTO NTE/SCOOP</v>
      </c>
      <c r="B305" s="357" t="e">
        <f>"Via Adm.: "&amp;'DATOS ETIQ'!S$39</f>
        <v>#N/A</v>
      </c>
      <c r="D305" s="401" t="str">
        <f t="shared" si="8"/>
        <v>C.JPC/SEXTO NTE/SCOOP</v>
      </c>
      <c r="E305" s="357" t="e">
        <f>+B305</f>
        <v>#N/A</v>
      </c>
      <c r="J305" s="356"/>
    </row>
    <row r="306" spans="1:10" ht="9.75" customHeight="1">
      <c r="A306" s="402" t="e">
        <f>"Conserv.: "&amp;'DATOS ETIQ'!AB$39</f>
        <v>#N/A</v>
      </c>
      <c r="B306" s="357" t="str">
        <f>"Cama: "&amp;'DATOS ETIQ'!O$39</f>
        <v>Cama: NA</v>
      </c>
      <c r="D306" s="401" t="e">
        <f t="shared" si="8"/>
        <v>#N/A</v>
      </c>
      <c r="E306" s="357" t="str">
        <f>+B306</f>
        <v>Cama: NA</v>
      </c>
      <c r="J306" s="356"/>
    </row>
    <row r="307" spans="1:10" ht="9.75" customHeight="1">
      <c r="A307" s="357"/>
      <c r="B307" s="357"/>
      <c r="D307" s="357"/>
      <c r="E307" s="357"/>
      <c r="J307" s="356"/>
    </row>
    <row r="308" spans="1:10" s="404" customFormat="1" ht="12" customHeight="1">
      <c r="A308" s="806" t="e">
        <f>'DATOS ETIQ'!Q$40</f>
        <v>#N/A</v>
      </c>
      <c r="B308" s="806"/>
      <c r="C308" s="403"/>
      <c r="D308" s="806" t="e">
        <f t="shared" si="8"/>
        <v>#N/A</v>
      </c>
      <c r="E308" s="806"/>
      <c r="J308" s="407"/>
    </row>
    <row r="309" spans="1:10" ht="9.75" customHeight="1" thickBot="1">
      <c r="A309" s="805" t="e">
        <f>'DATOS ETIQ'!AD40</f>
        <v>#N/A</v>
      </c>
      <c r="B309" s="805"/>
      <c r="C309" s="349"/>
      <c r="D309" s="805" t="e">
        <f t="shared" si="8"/>
        <v>#N/A</v>
      </c>
      <c r="E309" s="805"/>
      <c r="J309" s="356"/>
    </row>
    <row r="310" spans="1:10" ht="9.75" customHeight="1">
      <c r="A310" s="353" t="e">
        <f ca="1">'DATOS ETIQ'!H$40</f>
        <v>#N/A</v>
      </c>
      <c r="B310" s="354" t="str">
        <f>"Lt: "&amp;'DATOS ETIQ'!I$40</f>
        <v xml:space="preserve">Lt: </v>
      </c>
      <c r="D310" s="353" t="e">
        <f t="shared" ref="D310:D346" ca="1" si="9">A310</f>
        <v>#N/A</v>
      </c>
      <c r="E310" s="354" t="str">
        <f>B310</f>
        <v xml:space="preserve">Lt: </v>
      </c>
      <c r="G310" s="800" t="e">
        <f>'FR PD 001 V1'!T44</f>
        <v>#N/A</v>
      </c>
      <c r="J310" s="800">
        <v>39</v>
      </c>
    </row>
    <row r="311" spans="1:10" ht="9.75" customHeight="1" thickBot="1">
      <c r="A311" s="805" t="str">
        <f>'DATOS ETIQ'!J$40&amp;"  "&amp;'DATOS ETIQ'!K$40</f>
        <v xml:space="preserve">  0</v>
      </c>
      <c r="B311" s="805"/>
      <c r="C311" s="349"/>
      <c r="D311" s="805" t="str">
        <f t="shared" si="9"/>
        <v xml:space="preserve">  0</v>
      </c>
      <c r="E311" s="805"/>
      <c r="G311" s="801"/>
      <c r="J311" s="801"/>
    </row>
    <row r="312" spans="1:10" ht="9.75" customHeight="1">
      <c r="A312" s="807" t="str">
        <f>"QFP: "&amp;'DATOS ETIQ'!L$2&amp;"   QFV: "&amp;'DATOS ETIQ'!M$2</f>
        <v>QFP: JGARCIA   QFV: ADELTORO</v>
      </c>
      <c r="B312" s="807"/>
      <c r="D312" s="807" t="str">
        <f t="shared" si="9"/>
        <v>QFP: JGARCIA   QFV: ADELTORO</v>
      </c>
      <c r="E312" s="807"/>
      <c r="J312" s="356"/>
    </row>
    <row r="313" spans="1:10" ht="9.75" customHeight="1">
      <c r="A313" s="402" t="str">
        <f>'DATOS ETIQ'!N$40&amp;""</f>
        <v>C.JPC/SEXTO NTE/SCOOP</v>
      </c>
      <c r="B313" s="357" t="e">
        <f>"Via Adm.: "&amp;'DATOS ETIQ'!S$40</f>
        <v>#N/A</v>
      </c>
      <c r="D313" s="401" t="str">
        <f t="shared" si="9"/>
        <v>C.JPC/SEXTO NTE/SCOOP</v>
      </c>
      <c r="E313" s="357" t="e">
        <f>+B313</f>
        <v>#N/A</v>
      </c>
      <c r="J313" s="356"/>
    </row>
    <row r="314" spans="1:10" ht="9.75" customHeight="1">
      <c r="A314" s="402" t="e">
        <f>"Conserv.: "&amp;'DATOS ETIQ'!AB$40</f>
        <v>#N/A</v>
      </c>
      <c r="B314" s="357" t="str">
        <f>"Cama: "&amp;'DATOS ETIQ'!O$40</f>
        <v>Cama: NA</v>
      </c>
      <c r="D314" s="401" t="e">
        <f t="shared" si="9"/>
        <v>#N/A</v>
      </c>
      <c r="E314" s="357" t="str">
        <f>+B314</f>
        <v>Cama: NA</v>
      </c>
      <c r="J314" s="356"/>
    </row>
    <row r="315" spans="1:10" ht="9.75" customHeight="1">
      <c r="A315" s="357"/>
      <c r="B315" s="357"/>
      <c r="D315" s="357"/>
      <c r="E315" s="357"/>
      <c r="J315" s="356"/>
    </row>
    <row r="316" spans="1:10" s="404" customFormat="1" ht="12" customHeight="1">
      <c r="A316" s="806" t="e">
        <f>'DATOS ETIQ'!Q$41</f>
        <v>#N/A</v>
      </c>
      <c r="B316" s="806"/>
      <c r="C316" s="403"/>
      <c r="D316" s="806" t="e">
        <f t="shared" si="9"/>
        <v>#N/A</v>
      </c>
      <c r="E316" s="806"/>
      <c r="J316" s="407"/>
    </row>
    <row r="317" spans="1:10" ht="9.75" customHeight="1" thickBot="1">
      <c r="A317" s="805" t="e">
        <f>'DATOS ETIQ'!AD41</f>
        <v>#N/A</v>
      </c>
      <c r="B317" s="805"/>
      <c r="C317" s="349"/>
      <c r="D317" s="805" t="e">
        <f t="shared" si="9"/>
        <v>#N/A</v>
      </c>
      <c r="E317" s="805"/>
      <c r="J317" s="356"/>
    </row>
    <row r="318" spans="1:10" ht="9.75" customHeight="1">
      <c r="A318" s="353" t="e">
        <f ca="1">'DATOS ETIQ'!H$41</f>
        <v>#N/A</v>
      </c>
      <c r="B318" s="354" t="str">
        <f>"Lt: "&amp;'DATOS ETIQ'!I$41</f>
        <v xml:space="preserve">Lt: </v>
      </c>
      <c r="D318" s="353" t="e">
        <f t="shared" ca="1" si="9"/>
        <v>#N/A</v>
      </c>
      <c r="E318" s="354" t="str">
        <f>B318</f>
        <v xml:space="preserve">Lt: </v>
      </c>
      <c r="G318" s="800" t="e">
        <f>'FR PD 001 V1'!T45</f>
        <v>#N/A</v>
      </c>
      <c r="J318" s="800">
        <v>40</v>
      </c>
    </row>
    <row r="319" spans="1:10" ht="9.75" customHeight="1" thickBot="1">
      <c r="A319" s="805" t="str">
        <f>'DATOS ETIQ'!J$41&amp;"  "&amp;'DATOS ETIQ'!K$41</f>
        <v xml:space="preserve">  0</v>
      </c>
      <c r="B319" s="805"/>
      <c r="C319" s="349"/>
      <c r="D319" s="805" t="str">
        <f t="shared" si="9"/>
        <v xml:space="preserve">  0</v>
      </c>
      <c r="E319" s="805"/>
      <c r="G319" s="801"/>
      <c r="J319" s="801"/>
    </row>
    <row r="320" spans="1:10" ht="9.75" customHeight="1">
      <c r="A320" s="807" t="str">
        <f>"QFP: "&amp;'DATOS ETIQ'!L$2&amp;"   QFV: "&amp;'DATOS ETIQ'!M$2</f>
        <v>QFP: JGARCIA   QFV: ADELTORO</v>
      </c>
      <c r="B320" s="807"/>
      <c r="D320" s="807" t="str">
        <f t="shared" si="9"/>
        <v>QFP: JGARCIA   QFV: ADELTORO</v>
      </c>
      <c r="E320" s="807"/>
      <c r="J320" s="356"/>
    </row>
    <row r="321" spans="1:10" ht="9.75" customHeight="1">
      <c r="A321" s="402" t="str">
        <f>'DATOS ETIQ'!N$41&amp;""</f>
        <v>C.JPC/SEXTO NTE/SCOOP</v>
      </c>
      <c r="B321" s="357" t="e">
        <f>"Via Adm.: "&amp;'DATOS ETIQ'!S$41</f>
        <v>#N/A</v>
      </c>
      <c r="D321" s="401" t="str">
        <f t="shared" si="9"/>
        <v>C.JPC/SEXTO NTE/SCOOP</v>
      </c>
      <c r="E321" s="357" t="e">
        <f>+B321</f>
        <v>#N/A</v>
      </c>
      <c r="J321" s="356"/>
    </row>
    <row r="322" spans="1:10" ht="9.75" customHeight="1">
      <c r="A322" s="402" t="e">
        <f>"Conserv.: "&amp;'DATOS ETIQ'!AB$41</f>
        <v>#N/A</v>
      </c>
      <c r="B322" s="357" t="str">
        <f>"Cama: "&amp;'DATOS ETIQ'!O$41</f>
        <v>Cama: NA</v>
      </c>
      <c r="D322" s="401" t="e">
        <f t="shared" si="9"/>
        <v>#N/A</v>
      </c>
      <c r="E322" s="357" t="str">
        <f>+B322</f>
        <v>Cama: NA</v>
      </c>
      <c r="J322" s="356"/>
    </row>
    <row r="323" spans="1:10" ht="9.75" customHeight="1">
      <c r="A323" s="357"/>
      <c r="B323" s="357"/>
      <c r="D323" s="357"/>
      <c r="E323" s="357"/>
      <c r="J323" s="356"/>
    </row>
    <row r="324" spans="1:10" s="404" customFormat="1" ht="12" customHeight="1">
      <c r="A324" s="806" t="e">
        <f>'DATOS ETIQ'!Q$42</f>
        <v>#N/A</v>
      </c>
      <c r="B324" s="806"/>
      <c r="C324" s="403"/>
      <c r="D324" s="806" t="e">
        <f t="shared" si="9"/>
        <v>#N/A</v>
      </c>
      <c r="E324" s="806"/>
      <c r="J324" s="407"/>
    </row>
    <row r="325" spans="1:10" ht="9.75" customHeight="1" thickBot="1">
      <c r="A325" s="805" t="e">
        <f>'DATOS ETIQ'!AD42</f>
        <v>#N/A</v>
      </c>
      <c r="B325" s="805"/>
      <c r="C325" s="349"/>
      <c r="D325" s="805" t="e">
        <f t="shared" si="9"/>
        <v>#N/A</v>
      </c>
      <c r="E325" s="805"/>
      <c r="J325" s="356"/>
    </row>
    <row r="326" spans="1:10" ht="9.75" customHeight="1">
      <c r="A326" s="353" t="e">
        <f ca="1">'DATOS ETIQ'!H$42</f>
        <v>#N/A</v>
      </c>
      <c r="B326" s="354" t="str">
        <f>"Lt: "&amp;'DATOS ETIQ'!I$42</f>
        <v xml:space="preserve">Lt: </v>
      </c>
      <c r="D326" s="353" t="e">
        <f t="shared" ca="1" si="9"/>
        <v>#N/A</v>
      </c>
      <c r="E326" s="354" t="str">
        <f>B326</f>
        <v xml:space="preserve">Lt: </v>
      </c>
      <c r="G326" s="800" t="e">
        <f>'FR PD 001 V1'!T46</f>
        <v>#N/A</v>
      </c>
      <c r="J326" s="800">
        <v>41</v>
      </c>
    </row>
    <row r="327" spans="1:10" ht="9.75" customHeight="1" thickBot="1">
      <c r="A327" s="805" t="str">
        <f>'DATOS ETIQ'!J$42&amp;"  "&amp;'DATOS ETIQ'!K$42</f>
        <v xml:space="preserve">  0</v>
      </c>
      <c r="B327" s="805"/>
      <c r="C327" s="349"/>
      <c r="D327" s="805" t="str">
        <f t="shared" si="9"/>
        <v xml:space="preserve">  0</v>
      </c>
      <c r="E327" s="805"/>
      <c r="G327" s="801"/>
      <c r="J327" s="801"/>
    </row>
    <row r="328" spans="1:10" ht="9.75" customHeight="1">
      <c r="A328" s="807" t="str">
        <f>"QFP: "&amp;'DATOS ETIQ'!L$2&amp;"   QFV: "&amp;'DATOS ETIQ'!M$2</f>
        <v>QFP: JGARCIA   QFV: ADELTORO</v>
      </c>
      <c r="B328" s="807"/>
      <c r="D328" s="807" t="str">
        <f t="shared" si="9"/>
        <v>QFP: JGARCIA   QFV: ADELTORO</v>
      </c>
      <c r="E328" s="807"/>
      <c r="J328" s="356"/>
    </row>
    <row r="329" spans="1:10" ht="9.75" customHeight="1">
      <c r="A329" s="402" t="str">
        <f>'DATOS ETIQ'!N$42&amp;""</f>
        <v>C.JPC/SEXTO NTE/SCOOP</v>
      </c>
      <c r="B329" s="357" t="e">
        <f>"Via Adm.: "&amp;'DATOS ETIQ'!S$42</f>
        <v>#N/A</v>
      </c>
      <c r="D329" s="401" t="str">
        <f t="shared" si="9"/>
        <v>C.JPC/SEXTO NTE/SCOOP</v>
      </c>
      <c r="E329" s="357" t="e">
        <f>+B329</f>
        <v>#N/A</v>
      </c>
      <c r="J329" s="356"/>
    </row>
    <row r="330" spans="1:10" ht="9.75" customHeight="1">
      <c r="A330" s="402" t="e">
        <f>"Conserv.: "&amp;'DATOS ETIQ'!AB$42</f>
        <v>#N/A</v>
      </c>
      <c r="B330" s="357" t="str">
        <f>"Cama: "&amp;'DATOS ETIQ'!O$42</f>
        <v>Cama: NA</v>
      </c>
      <c r="D330" s="401" t="e">
        <f t="shared" si="9"/>
        <v>#N/A</v>
      </c>
      <c r="E330" s="357" t="str">
        <f>+B330</f>
        <v>Cama: NA</v>
      </c>
      <c r="J330" s="356"/>
    </row>
    <row r="331" spans="1:10" ht="9.75" customHeight="1">
      <c r="A331" s="357"/>
      <c r="B331" s="357"/>
      <c r="D331" s="357"/>
      <c r="E331" s="357"/>
      <c r="J331" s="356"/>
    </row>
    <row r="332" spans="1:10" s="404" customFormat="1" ht="12" customHeight="1">
      <c r="A332" s="806" t="e">
        <f>'DATOS ETIQ'!Q$43</f>
        <v>#N/A</v>
      </c>
      <c r="B332" s="806"/>
      <c r="C332" s="403"/>
      <c r="D332" s="806" t="e">
        <f t="shared" si="9"/>
        <v>#N/A</v>
      </c>
      <c r="E332" s="806"/>
      <c r="J332" s="407"/>
    </row>
    <row r="333" spans="1:10" ht="9.75" customHeight="1" thickBot="1">
      <c r="A333" s="805" t="e">
        <f>'DATOS ETIQ'!AD43</f>
        <v>#N/A</v>
      </c>
      <c r="B333" s="805"/>
      <c r="C333" s="349"/>
      <c r="D333" s="805" t="e">
        <f t="shared" si="9"/>
        <v>#N/A</v>
      </c>
      <c r="E333" s="805"/>
      <c r="J333" s="356"/>
    </row>
    <row r="334" spans="1:10" ht="9.75" customHeight="1">
      <c r="A334" s="353" t="e">
        <f ca="1">'DATOS ETIQ'!H$43</f>
        <v>#N/A</v>
      </c>
      <c r="B334" s="354" t="str">
        <f>"Lt: "&amp;'DATOS ETIQ'!I$43</f>
        <v xml:space="preserve">Lt: </v>
      </c>
      <c r="D334" s="353" t="e">
        <f t="shared" ca="1" si="9"/>
        <v>#N/A</v>
      </c>
      <c r="E334" s="354" t="str">
        <f>B334</f>
        <v xml:space="preserve">Lt: </v>
      </c>
      <c r="G334" s="800" t="e">
        <f>'FR PD 001 V1'!T47</f>
        <v>#N/A</v>
      </c>
      <c r="J334" s="800">
        <v>42</v>
      </c>
    </row>
    <row r="335" spans="1:10" ht="9.75" customHeight="1" thickBot="1">
      <c r="A335" s="805" t="str">
        <f>'DATOS ETIQ'!J$43&amp;"  "&amp;'DATOS ETIQ'!K$43</f>
        <v xml:space="preserve">  0</v>
      </c>
      <c r="B335" s="805"/>
      <c r="C335" s="349"/>
      <c r="D335" s="805" t="str">
        <f t="shared" si="9"/>
        <v xml:space="preserve">  0</v>
      </c>
      <c r="E335" s="805"/>
      <c r="G335" s="801"/>
      <c r="J335" s="801"/>
    </row>
    <row r="336" spans="1:10" ht="9.75" customHeight="1">
      <c r="A336" s="807" t="str">
        <f>"QFP: "&amp;'DATOS ETIQ'!L$2&amp;"   QFV: "&amp;'DATOS ETIQ'!M$2</f>
        <v>QFP: JGARCIA   QFV: ADELTORO</v>
      </c>
      <c r="B336" s="807"/>
      <c r="D336" s="807" t="str">
        <f t="shared" si="9"/>
        <v>QFP: JGARCIA   QFV: ADELTORO</v>
      </c>
      <c r="E336" s="807"/>
      <c r="J336" s="356"/>
    </row>
    <row r="337" spans="1:10" ht="9.75" customHeight="1">
      <c r="A337" s="402" t="str">
        <f>'DATOS ETIQ'!N$43&amp;""</f>
        <v>C.JPC/SEXTO NTE/SCOOP</v>
      </c>
      <c r="B337" s="357" t="e">
        <f>"Via Adm.: "&amp;'DATOS ETIQ'!S$43</f>
        <v>#N/A</v>
      </c>
      <c r="D337" s="401" t="str">
        <f t="shared" si="9"/>
        <v>C.JPC/SEXTO NTE/SCOOP</v>
      </c>
      <c r="E337" s="357" t="e">
        <f>+B337</f>
        <v>#N/A</v>
      </c>
      <c r="J337" s="356"/>
    </row>
    <row r="338" spans="1:10" ht="9.75" customHeight="1">
      <c r="A338" s="402" t="e">
        <f>"Conserv.: "&amp;'DATOS ETIQ'!AB$43</f>
        <v>#N/A</v>
      </c>
      <c r="B338" s="357" t="str">
        <f>"Cama: "&amp;'DATOS ETIQ'!O$43</f>
        <v>Cama: NA</v>
      </c>
      <c r="D338" s="401" t="e">
        <f t="shared" si="9"/>
        <v>#N/A</v>
      </c>
      <c r="E338" s="357" t="str">
        <f>+B338</f>
        <v>Cama: NA</v>
      </c>
      <c r="J338" s="356"/>
    </row>
    <row r="339" spans="1:10" ht="9.75" customHeight="1">
      <c r="A339" s="357"/>
      <c r="B339" s="357"/>
      <c r="D339" s="357"/>
      <c r="E339" s="357"/>
      <c r="J339" s="356"/>
    </row>
    <row r="340" spans="1:10" s="404" customFormat="1" ht="12" customHeight="1">
      <c r="A340" s="806" t="e">
        <f>'DATOS ETIQ'!Q$44</f>
        <v>#N/A</v>
      </c>
      <c r="B340" s="806"/>
      <c r="C340" s="403"/>
      <c r="D340" s="806" t="e">
        <f t="shared" si="9"/>
        <v>#N/A</v>
      </c>
      <c r="E340" s="806"/>
      <c r="J340" s="407"/>
    </row>
    <row r="341" spans="1:10" ht="9.75" customHeight="1" thickBot="1">
      <c r="A341" s="805" t="e">
        <f>'DATOS ETIQ'!AD44</f>
        <v>#N/A</v>
      </c>
      <c r="B341" s="805"/>
      <c r="C341" s="349"/>
      <c r="D341" s="805" t="e">
        <f t="shared" si="9"/>
        <v>#N/A</v>
      </c>
      <c r="E341" s="805"/>
      <c r="J341" s="356"/>
    </row>
    <row r="342" spans="1:10" ht="9.75" customHeight="1">
      <c r="A342" s="353" t="e">
        <f ca="1">'DATOS ETIQ'!H$44</f>
        <v>#N/A</v>
      </c>
      <c r="B342" s="354" t="str">
        <f>"Lt: "&amp;'DATOS ETIQ'!I$44</f>
        <v xml:space="preserve">Lt: </v>
      </c>
      <c r="D342" s="353" t="e">
        <f t="shared" ca="1" si="9"/>
        <v>#N/A</v>
      </c>
      <c r="E342" s="354" t="str">
        <f>B342</f>
        <v xml:space="preserve">Lt: </v>
      </c>
      <c r="G342" s="800" t="e">
        <f>'FR PD 001 V1'!T48</f>
        <v>#N/A</v>
      </c>
      <c r="J342" s="800">
        <v>43</v>
      </c>
    </row>
    <row r="343" spans="1:10" ht="9.75" customHeight="1" thickBot="1">
      <c r="A343" s="805" t="str">
        <f>'DATOS ETIQ'!J$44&amp;"  "&amp;'DATOS ETIQ'!K$44</f>
        <v xml:space="preserve">  0</v>
      </c>
      <c r="B343" s="805"/>
      <c r="C343" s="349"/>
      <c r="D343" s="805" t="str">
        <f t="shared" si="9"/>
        <v xml:space="preserve">  0</v>
      </c>
      <c r="E343" s="805"/>
      <c r="G343" s="801"/>
      <c r="J343" s="801"/>
    </row>
    <row r="344" spans="1:10" ht="9.75" customHeight="1">
      <c r="A344" s="807" t="str">
        <f>"QFP: "&amp;'DATOS ETIQ'!L$2&amp;"   QFV: "&amp;'DATOS ETIQ'!M$2</f>
        <v>QFP: JGARCIA   QFV: ADELTORO</v>
      </c>
      <c r="B344" s="807"/>
      <c r="D344" s="807" t="str">
        <f t="shared" si="9"/>
        <v>QFP: JGARCIA   QFV: ADELTORO</v>
      </c>
      <c r="E344" s="807"/>
      <c r="J344" s="356"/>
    </row>
    <row r="345" spans="1:10" ht="9.75" customHeight="1">
      <c r="A345" s="402" t="str">
        <f>'DATOS ETIQ'!N$44&amp;""</f>
        <v>C.JPC/SEXTO NTE/SCOOP</v>
      </c>
      <c r="B345" s="357" t="e">
        <f>"Via Adm.: "&amp;'DATOS ETIQ'!S$44</f>
        <v>#N/A</v>
      </c>
      <c r="D345" s="401" t="str">
        <f t="shared" si="9"/>
        <v>C.JPC/SEXTO NTE/SCOOP</v>
      </c>
      <c r="E345" s="400" t="e">
        <f>+B345</f>
        <v>#N/A</v>
      </c>
      <c r="J345" s="356"/>
    </row>
    <row r="346" spans="1:10" ht="9.75" customHeight="1">
      <c r="A346" s="402" t="e">
        <f>"Conserv.: "&amp;'DATOS ETIQ'!AB$44</f>
        <v>#N/A</v>
      </c>
      <c r="B346" s="357" t="str">
        <f>"Cama: "&amp;'DATOS ETIQ'!O$44</f>
        <v>Cama: NA</v>
      </c>
      <c r="D346" s="401" t="e">
        <f t="shared" si="9"/>
        <v>#N/A</v>
      </c>
      <c r="E346" s="400" t="str">
        <f>+B346</f>
        <v>Cama: NA</v>
      </c>
      <c r="J346" s="356"/>
    </row>
    <row r="347" spans="1:10" ht="9.75" customHeight="1">
      <c r="A347" s="357"/>
      <c r="B347" s="357"/>
      <c r="D347" s="357"/>
      <c r="E347" s="357"/>
      <c r="J347" s="356"/>
    </row>
    <row r="348" spans="1:10" s="404" customFormat="1" ht="12" customHeight="1">
      <c r="A348" s="806" t="e">
        <f>'DATOS ETIQ'!Q$45</f>
        <v>#N/A</v>
      </c>
      <c r="B348" s="806"/>
      <c r="C348" s="403"/>
      <c r="D348" s="806" t="e">
        <f t="shared" ref="D348:D354" si="10">A348</f>
        <v>#N/A</v>
      </c>
      <c r="E348" s="806"/>
      <c r="J348" s="407"/>
    </row>
    <row r="349" spans="1:10" ht="9.75" customHeight="1" thickBot="1">
      <c r="A349" s="805" t="e">
        <f>'DATOS ETIQ'!AD45</f>
        <v>#N/A</v>
      </c>
      <c r="B349" s="805"/>
      <c r="C349" s="349"/>
      <c r="D349" s="805" t="e">
        <f t="shared" si="10"/>
        <v>#N/A</v>
      </c>
      <c r="E349" s="805"/>
      <c r="J349" s="356"/>
    </row>
    <row r="350" spans="1:10" ht="9.75" customHeight="1">
      <c r="A350" s="353" t="e">
        <f ca="1">'DATOS ETIQ'!H$45</f>
        <v>#N/A</v>
      </c>
      <c r="B350" s="354" t="str">
        <f>"Lt: "&amp;'DATOS ETIQ'!I$45</f>
        <v xml:space="preserve">Lt: </v>
      </c>
      <c r="D350" s="353" t="e">
        <f t="shared" ca="1" si="10"/>
        <v>#N/A</v>
      </c>
      <c r="E350" s="354" t="str">
        <f>B350</f>
        <v xml:space="preserve">Lt: </v>
      </c>
      <c r="G350" s="800" t="e">
        <f>'FR PD 001 V1'!T49</f>
        <v>#N/A</v>
      </c>
      <c r="J350" s="800">
        <v>44</v>
      </c>
    </row>
    <row r="351" spans="1:10" ht="9.75" customHeight="1" thickBot="1">
      <c r="A351" s="805" t="str">
        <f>'DATOS ETIQ'!J$45&amp;"  "&amp;'DATOS ETIQ'!K$45</f>
        <v xml:space="preserve">  0</v>
      </c>
      <c r="B351" s="805"/>
      <c r="C351" s="349"/>
      <c r="D351" s="805" t="str">
        <f t="shared" si="10"/>
        <v xml:space="preserve">  0</v>
      </c>
      <c r="E351" s="805"/>
      <c r="G351" s="801"/>
      <c r="J351" s="801"/>
    </row>
    <row r="352" spans="1:10" ht="9.75" customHeight="1">
      <c r="A352" s="807" t="str">
        <f>"QFP: "&amp;'DATOS ETIQ'!L$2&amp;"   QFV: "&amp;'DATOS ETIQ'!M$2</f>
        <v>QFP: JGARCIA   QFV: ADELTORO</v>
      </c>
      <c r="B352" s="807"/>
      <c r="D352" s="807" t="str">
        <f t="shared" si="10"/>
        <v>QFP: JGARCIA   QFV: ADELTORO</v>
      </c>
      <c r="E352" s="807"/>
    </row>
    <row r="353" spans="1:5" ht="9.75" customHeight="1">
      <c r="A353" s="402" t="str">
        <f>'DATOS ETIQ'!N$45&amp;""</f>
        <v>C.JPC/SEXTO NTE/SCOOP</v>
      </c>
      <c r="B353" s="357" t="e">
        <f>"Via Adm.: "&amp;'DATOS ETIQ'!S$45</f>
        <v>#N/A</v>
      </c>
      <c r="D353" s="401" t="str">
        <f t="shared" si="10"/>
        <v>C.JPC/SEXTO NTE/SCOOP</v>
      </c>
      <c r="E353" s="357" t="e">
        <f>+B353</f>
        <v>#N/A</v>
      </c>
    </row>
    <row r="354" spans="1:5" ht="9.75" customHeight="1">
      <c r="A354" s="402" t="e">
        <f>"Conserv.: "&amp;'DATOS ETIQ'!AB$45</f>
        <v>#N/A</v>
      </c>
      <c r="B354" s="357" t="str">
        <f>"Cama: "&amp;'DATOS ETIQ'!O$45</f>
        <v>Cama: NA</v>
      </c>
      <c r="D354" s="401" t="e">
        <f t="shared" si="10"/>
        <v>#N/A</v>
      </c>
      <c r="E354" s="357" t="str">
        <f>+B354</f>
        <v>Cama: NA</v>
      </c>
    </row>
    <row r="4066" spans="1:1" ht="11.1" customHeight="1">
      <c r="A4066" s="358" t="s">
        <v>706</v>
      </c>
    </row>
  </sheetData>
  <mergeCells count="444">
    <mergeCell ref="A213:B213"/>
    <mergeCell ref="A212:B212"/>
    <mergeCell ref="A229:B229"/>
    <mergeCell ref="A228:B228"/>
    <mergeCell ref="A253:B253"/>
    <mergeCell ref="A252:B252"/>
    <mergeCell ref="A269:B269"/>
    <mergeCell ref="A268:B268"/>
    <mergeCell ref="D309:E309"/>
    <mergeCell ref="D292:E292"/>
    <mergeCell ref="D293:E293"/>
    <mergeCell ref="D308:E308"/>
    <mergeCell ref="D252:E252"/>
    <mergeCell ref="D253:E253"/>
    <mergeCell ref="D255:E255"/>
    <mergeCell ref="D256:E256"/>
    <mergeCell ref="D260:E260"/>
    <mergeCell ref="D261:E261"/>
    <mergeCell ref="D239:E239"/>
    <mergeCell ref="D240:E240"/>
    <mergeCell ref="D244:E244"/>
    <mergeCell ref="D245:E245"/>
    <mergeCell ref="D247:E247"/>
    <mergeCell ref="D248:E248"/>
    <mergeCell ref="D5:E5"/>
    <mergeCell ref="D4:E4"/>
    <mergeCell ref="A53:B53"/>
    <mergeCell ref="A52:B52"/>
    <mergeCell ref="A69:B69"/>
    <mergeCell ref="A68:B68"/>
    <mergeCell ref="A93:B93"/>
    <mergeCell ref="A92:B92"/>
    <mergeCell ref="A109:B109"/>
    <mergeCell ref="A108:B108"/>
    <mergeCell ref="D108:E108"/>
    <mergeCell ref="D109:E109"/>
    <mergeCell ref="D84:E84"/>
    <mergeCell ref="D85:E85"/>
    <mergeCell ref="D87:E87"/>
    <mergeCell ref="D88:E88"/>
    <mergeCell ref="D92:E92"/>
    <mergeCell ref="D93:E93"/>
    <mergeCell ref="D71:E71"/>
    <mergeCell ref="D72:E72"/>
    <mergeCell ref="D76:E76"/>
    <mergeCell ref="D77:E77"/>
    <mergeCell ref="D79:E79"/>
    <mergeCell ref="D80:E80"/>
    <mergeCell ref="G342:G343"/>
    <mergeCell ref="G350:G351"/>
    <mergeCell ref="A348:B348"/>
    <mergeCell ref="D348:E348"/>
    <mergeCell ref="A349:B349"/>
    <mergeCell ref="D349:E349"/>
    <mergeCell ref="A351:B351"/>
    <mergeCell ref="D351:E351"/>
    <mergeCell ref="A352:B352"/>
    <mergeCell ref="D352:E352"/>
    <mergeCell ref="A343:B343"/>
    <mergeCell ref="A344:B344"/>
    <mergeCell ref="D343:E343"/>
    <mergeCell ref="D344:E344"/>
    <mergeCell ref="G294:G295"/>
    <mergeCell ref="G302:G303"/>
    <mergeCell ref="G310:G311"/>
    <mergeCell ref="G318:G319"/>
    <mergeCell ref="G326:G327"/>
    <mergeCell ref="G334:G335"/>
    <mergeCell ref="G14:G15"/>
    <mergeCell ref="G22:G23"/>
    <mergeCell ref="G30:G31"/>
    <mergeCell ref="G38:G39"/>
    <mergeCell ref="G46:G47"/>
    <mergeCell ref="G54:G55"/>
    <mergeCell ref="G62:G63"/>
    <mergeCell ref="G70:G71"/>
    <mergeCell ref="G222:G223"/>
    <mergeCell ref="G230:G231"/>
    <mergeCell ref="G238:G239"/>
    <mergeCell ref="G246:G247"/>
    <mergeCell ref="G254:G255"/>
    <mergeCell ref="G262:G263"/>
    <mergeCell ref="G270:G271"/>
    <mergeCell ref="G278:G279"/>
    <mergeCell ref="G286:G287"/>
    <mergeCell ref="G150:G151"/>
    <mergeCell ref="G158:G159"/>
    <mergeCell ref="G166:G167"/>
    <mergeCell ref="G174:G175"/>
    <mergeCell ref="G182:G183"/>
    <mergeCell ref="G190:G191"/>
    <mergeCell ref="G198:G199"/>
    <mergeCell ref="G206:G207"/>
    <mergeCell ref="G214:G215"/>
    <mergeCell ref="G78:G79"/>
    <mergeCell ref="G86:G87"/>
    <mergeCell ref="G94:G95"/>
    <mergeCell ref="G102:G103"/>
    <mergeCell ref="G110:G111"/>
    <mergeCell ref="G118:G119"/>
    <mergeCell ref="G126:G127"/>
    <mergeCell ref="G134:G135"/>
    <mergeCell ref="G142:G143"/>
    <mergeCell ref="D317:E317"/>
    <mergeCell ref="D295:E295"/>
    <mergeCell ref="D296:E296"/>
    <mergeCell ref="D300:E300"/>
    <mergeCell ref="D301:E301"/>
    <mergeCell ref="D303:E303"/>
    <mergeCell ref="D304:E304"/>
    <mergeCell ref="D287:E287"/>
    <mergeCell ref="D288:E288"/>
    <mergeCell ref="D316:E316"/>
    <mergeCell ref="D311:E311"/>
    <mergeCell ref="D312:E312"/>
    <mergeCell ref="D332:E332"/>
    <mergeCell ref="D333:E333"/>
    <mergeCell ref="D335:E335"/>
    <mergeCell ref="D336:E336"/>
    <mergeCell ref="D340:E340"/>
    <mergeCell ref="D341:E341"/>
    <mergeCell ref="D319:E319"/>
    <mergeCell ref="D320:E320"/>
    <mergeCell ref="D324:E324"/>
    <mergeCell ref="D325:E325"/>
    <mergeCell ref="D327:E327"/>
    <mergeCell ref="D328:E328"/>
    <mergeCell ref="D276:E276"/>
    <mergeCell ref="D277:E277"/>
    <mergeCell ref="D279:E279"/>
    <mergeCell ref="D280:E280"/>
    <mergeCell ref="D284:E284"/>
    <mergeCell ref="D285:E285"/>
    <mergeCell ref="D263:E263"/>
    <mergeCell ref="D264:E264"/>
    <mergeCell ref="D268:E268"/>
    <mergeCell ref="D269:E269"/>
    <mergeCell ref="D271:E271"/>
    <mergeCell ref="D272:E272"/>
    <mergeCell ref="D228:E228"/>
    <mergeCell ref="D229:E229"/>
    <mergeCell ref="D231:E231"/>
    <mergeCell ref="D232:E232"/>
    <mergeCell ref="D236:E236"/>
    <mergeCell ref="D237:E237"/>
    <mergeCell ref="D215:E215"/>
    <mergeCell ref="D216:E216"/>
    <mergeCell ref="D220:E220"/>
    <mergeCell ref="D221:E221"/>
    <mergeCell ref="D223:E223"/>
    <mergeCell ref="D224:E224"/>
    <mergeCell ref="D204:E204"/>
    <mergeCell ref="D205:E205"/>
    <mergeCell ref="D207:E207"/>
    <mergeCell ref="D208:E208"/>
    <mergeCell ref="D212:E212"/>
    <mergeCell ref="D213:E213"/>
    <mergeCell ref="D191:E191"/>
    <mergeCell ref="D192:E192"/>
    <mergeCell ref="D196:E196"/>
    <mergeCell ref="D197:E197"/>
    <mergeCell ref="D199:E199"/>
    <mergeCell ref="D200:E200"/>
    <mergeCell ref="D180:E180"/>
    <mergeCell ref="D181:E181"/>
    <mergeCell ref="D183:E183"/>
    <mergeCell ref="D184:E184"/>
    <mergeCell ref="D188:E188"/>
    <mergeCell ref="D189:E189"/>
    <mergeCell ref="D167:E167"/>
    <mergeCell ref="D168:E168"/>
    <mergeCell ref="D172:E172"/>
    <mergeCell ref="D173:E173"/>
    <mergeCell ref="D175:E175"/>
    <mergeCell ref="D176:E176"/>
    <mergeCell ref="D156:E156"/>
    <mergeCell ref="D157:E157"/>
    <mergeCell ref="D159:E159"/>
    <mergeCell ref="D160:E160"/>
    <mergeCell ref="D164:E164"/>
    <mergeCell ref="D165:E165"/>
    <mergeCell ref="D143:E143"/>
    <mergeCell ref="D144:E144"/>
    <mergeCell ref="D148:E148"/>
    <mergeCell ref="D149:E149"/>
    <mergeCell ref="D151:E151"/>
    <mergeCell ref="D152:E152"/>
    <mergeCell ref="D132:E132"/>
    <mergeCell ref="D133:E133"/>
    <mergeCell ref="D135:E135"/>
    <mergeCell ref="D136:E136"/>
    <mergeCell ref="D140:E140"/>
    <mergeCell ref="D141:E141"/>
    <mergeCell ref="D119:E119"/>
    <mergeCell ref="D120:E120"/>
    <mergeCell ref="D124:E124"/>
    <mergeCell ref="D125:E125"/>
    <mergeCell ref="D127:E127"/>
    <mergeCell ref="D128:E128"/>
    <mergeCell ref="D111:E111"/>
    <mergeCell ref="D112:E112"/>
    <mergeCell ref="D116:E116"/>
    <mergeCell ref="D117:E117"/>
    <mergeCell ref="D95:E95"/>
    <mergeCell ref="D96:E96"/>
    <mergeCell ref="D100:E100"/>
    <mergeCell ref="D101:E101"/>
    <mergeCell ref="D103:E103"/>
    <mergeCell ref="D104:E104"/>
    <mergeCell ref="D60:E60"/>
    <mergeCell ref="D61:E61"/>
    <mergeCell ref="D63:E63"/>
    <mergeCell ref="D64:E64"/>
    <mergeCell ref="D68:E68"/>
    <mergeCell ref="D69:E69"/>
    <mergeCell ref="D47:E47"/>
    <mergeCell ref="D48:E48"/>
    <mergeCell ref="D52:E52"/>
    <mergeCell ref="D53:E53"/>
    <mergeCell ref="D55:E55"/>
    <mergeCell ref="D56:E56"/>
    <mergeCell ref="D36:E36"/>
    <mergeCell ref="D37:E37"/>
    <mergeCell ref="D39:E39"/>
    <mergeCell ref="D40:E40"/>
    <mergeCell ref="D44:E44"/>
    <mergeCell ref="D45:E45"/>
    <mergeCell ref="A32:B32"/>
    <mergeCell ref="D7:E7"/>
    <mergeCell ref="D8:E8"/>
    <mergeCell ref="D12:E12"/>
    <mergeCell ref="D13:E13"/>
    <mergeCell ref="D15:E15"/>
    <mergeCell ref="D16:E16"/>
    <mergeCell ref="D20:E20"/>
    <mergeCell ref="D21:E21"/>
    <mergeCell ref="D23:E23"/>
    <mergeCell ref="D24:E24"/>
    <mergeCell ref="D28:E28"/>
    <mergeCell ref="D29:E29"/>
    <mergeCell ref="D31:E31"/>
    <mergeCell ref="D32:E32"/>
    <mergeCell ref="A36:B36"/>
    <mergeCell ref="A37:B37"/>
    <mergeCell ref="A39:B39"/>
    <mergeCell ref="A40:B40"/>
    <mergeCell ref="A4:B4"/>
    <mergeCell ref="A5:B5"/>
    <mergeCell ref="A7:B7"/>
    <mergeCell ref="A8:B8"/>
    <mergeCell ref="A20:B20"/>
    <mergeCell ref="A21:B21"/>
    <mergeCell ref="A12:B12"/>
    <mergeCell ref="A13:B13"/>
    <mergeCell ref="A15:B15"/>
    <mergeCell ref="A16:B16"/>
    <mergeCell ref="A23:B23"/>
    <mergeCell ref="A24:B24"/>
    <mergeCell ref="A28:B28"/>
    <mergeCell ref="A29:B29"/>
    <mergeCell ref="A31:B31"/>
    <mergeCell ref="A48:B48"/>
    <mergeCell ref="A44:B44"/>
    <mergeCell ref="A45:B45"/>
    <mergeCell ref="A47:B47"/>
    <mergeCell ref="A61:B61"/>
    <mergeCell ref="A63:B63"/>
    <mergeCell ref="A64:B64"/>
    <mergeCell ref="A55:B55"/>
    <mergeCell ref="A56:B56"/>
    <mergeCell ref="A60:B60"/>
    <mergeCell ref="A76:B76"/>
    <mergeCell ref="A77:B77"/>
    <mergeCell ref="A79:B79"/>
    <mergeCell ref="A80:B80"/>
    <mergeCell ref="A71:B71"/>
    <mergeCell ref="A72:B72"/>
    <mergeCell ref="A88:B88"/>
    <mergeCell ref="A84:B84"/>
    <mergeCell ref="A85:B85"/>
    <mergeCell ref="A87:B87"/>
    <mergeCell ref="A101:B101"/>
    <mergeCell ref="A103:B103"/>
    <mergeCell ref="A104:B104"/>
    <mergeCell ref="A95:B95"/>
    <mergeCell ref="A96:B96"/>
    <mergeCell ref="A100:B100"/>
    <mergeCell ref="A116:B116"/>
    <mergeCell ref="A117:B117"/>
    <mergeCell ref="A119:B119"/>
    <mergeCell ref="A120:B120"/>
    <mergeCell ref="A111:B111"/>
    <mergeCell ref="A112:B112"/>
    <mergeCell ref="A128:B128"/>
    <mergeCell ref="A133:B133"/>
    <mergeCell ref="A132:B132"/>
    <mergeCell ref="A124:B124"/>
    <mergeCell ref="A125:B125"/>
    <mergeCell ref="A127:B127"/>
    <mergeCell ref="A141:B141"/>
    <mergeCell ref="A135:B135"/>
    <mergeCell ref="A136:B136"/>
    <mergeCell ref="A140:B140"/>
    <mergeCell ref="A143:B143"/>
    <mergeCell ref="A144:B144"/>
    <mergeCell ref="A156:B156"/>
    <mergeCell ref="A157:B157"/>
    <mergeCell ref="A159:B159"/>
    <mergeCell ref="A160:B160"/>
    <mergeCell ref="A148:B148"/>
    <mergeCell ref="A173:B173"/>
    <mergeCell ref="A172:B172"/>
    <mergeCell ref="A149:B149"/>
    <mergeCell ref="A151:B151"/>
    <mergeCell ref="A152:B152"/>
    <mergeCell ref="A168:B168"/>
    <mergeCell ref="A164:B164"/>
    <mergeCell ref="A165:B165"/>
    <mergeCell ref="A167:B167"/>
    <mergeCell ref="A175:B175"/>
    <mergeCell ref="A176:B176"/>
    <mergeCell ref="A180:B180"/>
    <mergeCell ref="A181:B181"/>
    <mergeCell ref="A183:B183"/>
    <mergeCell ref="A208:B208"/>
    <mergeCell ref="A204:B204"/>
    <mergeCell ref="A205:B205"/>
    <mergeCell ref="A207:B207"/>
    <mergeCell ref="A196:B196"/>
    <mergeCell ref="A197:B197"/>
    <mergeCell ref="A199:B199"/>
    <mergeCell ref="A200:B200"/>
    <mergeCell ref="A191:B191"/>
    <mergeCell ref="A192:B192"/>
    <mergeCell ref="A189:B189"/>
    <mergeCell ref="A188:B188"/>
    <mergeCell ref="A184:B184"/>
    <mergeCell ref="A271:B271"/>
    <mergeCell ref="A272:B272"/>
    <mergeCell ref="A221:B221"/>
    <mergeCell ref="A223:B223"/>
    <mergeCell ref="A224:B224"/>
    <mergeCell ref="A215:B215"/>
    <mergeCell ref="A216:B216"/>
    <mergeCell ref="A220:B220"/>
    <mergeCell ref="A236:B236"/>
    <mergeCell ref="A237:B237"/>
    <mergeCell ref="A239:B239"/>
    <mergeCell ref="A332:B332"/>
    <mergeCell ref="A333:B333"/>
    <mergeCell ref="J94:J95"/>
    <mergeCell ref="J102:J103"/>
    <mergeCell ref="J110:J111"/>
    <mergeCell ref="J238:J239"/>
    <mergeCell ref="J246:J247"/>
    <mergeCell ref="J254:J255"/>
    <mergeCell ref="J118:J119"/>
    <mergeCell ref="J126:J127"/>
    <mergeCell ref="A288:B288"/>
    <mergeCell ref="A284:B284"/>
    <mergeCell ref="A285:B285"/>
    <mergeCell ref="A287:B287"/>
    <mergeCell ref="A255:B255"/>
    <mergeCell ref="A256:B256"/>
    <mergeCell ref="A260:B260"/>
    <mergeCell ref="A240:B240"/>
    <mergeCell ref="A231:B231"/>
    <mergeCell ref="A232:B232"/>
    <mergeCell ref="A248:B248"/>
    <mergeCell ref="A244:B244"/>
    <mergeCell ref="A245:B245"/>
    <mergeCell ref="A247:B247"/>
    <mergeCell ref="L6:M6"/>
    <mergeCell ref="L7:M7"/>
    <mergeCell ref="A324:B324"/>
    <mergeCell ref="A325:B325"/>
    <mergeCell ref="A327:B327"/>
    <mergeCell ref="A316:B316"/>
    <mergeCell ref="A317:B317"/>
    <mergeCell ref="A319:B319"/>
    <mergeCell ref="A320:B320"/>
    <mergeCell ref="A261:B261"/>
    <mergeCell ref="A263:B263"/>
    <mergeCell ref="A301:B301"/>
    <mergeCell ref="A303:B303"/>
    <mergeCell ref="A304:B304"/>
    <mergeCell ref="A295:B295"/>
    <mergeCell ref="A296:B296"/>
    <mergeCell ref="A300:B300"/>
    <mergeCell ref="A293:B293"/>
    <mergeCell ref="A292:B292"/>
    <mergeCell ref="A264:B264"/>
    <mergeCell ref="A276:B276"/>
    <mergeCell ref="A277:B277"/>
    <mergeCell ref="A279:B279"/>
    <mergeCell ref="A280:B280"/>
    <mergeCell ref="A341:B341"/>
    <mergeCell ref="A308:B308"/>
    <mergeCell ref="A309:B309"/>
    <mergeCell ref="A311:B311"/>
    <mergeCell ref="A312:B312"/>
    <mergeCell ref="J6:J7"/>
    <mergeCell ref="J14:J15"/>
    <mergeCell ref="J22:J23"/>
    <mergeCell ref="J30:J31"/>
    <mergeCell ref="J38:J39"/>
    <mergeCell ref="J46:J47"/>
    <mergeCell ref="J54:J55"/>
    <mergeCell ref="J62:J63"/>
    <mergeCell ref="J70:J71"/>
    <mergeCell ref="J78:J79"/>
    <mergeCell ref="J86:J87"/>
    <mergeCell ref="J334:J335"/>
    <mergeCell ref="A340:B340"/>
    <mergeCell ref="J166:J167"/>
    <mergeCell ref="J174:J175"/>
    <mergeCell ref="J182:J183"/>
    <mergeCell ref="A335:B335"/>
    <mergeCell ref="A336:B336"/>
    <mergeCell ref="A328:B328"/>
    <mergeCell ref="J342:J343"/>
    <mergeCell ref="J350:J351"/>
    <mergeCell ref="J1:J3"/>
    <mergeCell ref="G1:G3"/>
    <mergeCell ref="J262:J263"/>
    <mergeCell ref="J270:J271"/>
    <mergeCell ref="J278:J279"/>
    <mergeCell ref="J286:J287"/>
    <mergeCell ref="J294:J295"/>
    <mergeCell ref="J302:J303"/>
    <mergeCell ref="J310:J311"/>
    <mergeCell ref="J318:J319"/>
    <mergeCell ref="J326:J327"/>
    <mergeCell ref="J190:J191"/>
    <mergeCell ref="J198:J199"/>
    <mergeCell ref="J206:J207"/>
    <mergeCell ref="J214:J215"/>
    <mergeCell ref="J222:J223"/>
    <mergeCell ref="J230:J231"/>
    <mergeCell ref="J134:J135"/>
    <mergeCell ref="J142:J143"/>
    <mergeCell ref="J150:J151"/>
    <mergeCell ref="J158:J159"/>
    <mergeCell ref="G6:G7"/>
  </mergeCells>
  <conditionalFormatting sqref="A4:E1048576 B1:E3">
    <cfRule type="containsText" dxfId="109" priority="1" operator="containsText" text="INFUSOR">
      <formula>NOT(ISERROR(SEARCH("INFUSOR",A1)))</formula>
    </cfRule>
  </conditionalFormatting>
  <hyperlinks>
    <hyperlink ref="B2" r:id="rId1" display="\\10.44.1.22\TSC IMP 5" xr:uid="{00000000-0004-0000-0B00-000000000000}"/>
    <hyperlink ref="D3" r:id="rId2" xr:uid="{00000000-0004-0000-0B00-000001000000}"/>
  </hyperlinks>
  <printOptions horizontalCentered="1" verticalCentered="1"/>
  <pageMargins left="0" right="7.874015748031496E-2" top="0" bottom="0.15748031496062992" header="0" footer="0"/>
  <pageSetup paperSize="260" scale="70" fitToHeight="0" orientation="portrait" horizontalDpi="203" verticalDpi="203" r:id="rId3"/>
  <rowBreaks count="43" manualBreakCount="43">
    <brk id="11" max="16383" man="1"/>
    <brk id="19" max="16383" man="1"/>
    <brk id="27" max="16383" man="1"/>
    <brk id="35" max="16383" man="1"/>
    <brk id="43" max="16383" man="1"/>
    <brk id="51" max="16383" man="1"/>
    <brk id="59" max="16383" man="1"/>
    <brk id="67" max="16383" man="1"/>
    <brk id="75" max="16383" man="1"/>
    <brk id="83" max="16383" man="1"/>
    <brk id="91" max="16383" man="1"/>
    <brk id="99" max="16383" man="1"/>
    <brk id="107" max="16383" man="1"/>
    <brk id="115" max="16383" man="1"/>
    <brk id="123" max="16383" man="1"/>
    <brk id="131" max="16383" man="1"/>
    <brk id="139" max="16383" man="1"/>
    <brk id="147" max="16383" man="1"/>
    <brk id="155" max="16383" man="1"/>
    <brk id="163" max="16383" man="1"/>
    <brk id="171" max="16383" man="1"/>
    <brk id="179" max="16383" man="1"/>
    <brk id="187" max="16383" man="1"/>
    <brk id="195" max="16383" man="1"/>
    <brk id="203" max="16383" man="1"/>
    <brk id="211" max="16383" man="1"/>
    <brk id="219" max="16383" man="1"/>
    <brk id="227" max="16383" man="1"/>
    <brk id="235" max="16383" man="1"/>
    <brk id="243" max="16383" man="1"/>
    <brk id="251" max="16383" man="1"/>
    <brk id="259" max="16383" man="1"/>
    <brk id="267" max="16383" man="1"/>
    <brk id="275" max="16383" man="1"/>
    <brk id="283" max="16383" man="1"/>
    <brk id="291" max="16383" man="1"/>
    <brk id="299" max="16383" man="1"/>
    <brk id="307" max="16383" man="1"/>
    <brk id="315" max="16383" man="1"/>
    <brk id="323" max="16383" man="1"/>
    <brk id="331" max="4" man="1"/>
    <brk id="339" max="4" man="1"/>
    <brk id="347" max="4" man="1"/>
  </rowBreaks>
  <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9"/>
  <dimension ref="A1:S355"/>
  <sheetViews>
    <sheetView view="pageBreakPreview" zoomScale="120" zoomScaleSheetLayoutView="120" workbookViewId="0">
      <pane ySplit="3" topLeftCell="A4" activePane="bottomLeft" state="frozen"/>
      <selection sqref="A1:XFD1048576"/>
      <selection pane="bottomLeft" activeCell="A11" sqref="A11:B11"/>
    </sheetView>
  </sheetViews>
  <sheetFormatPr defaultColWidth="11.42578125" defaultRowHeight="11.1" customHeight="1"/>
  <cols>
    <col min="1" max="2" width="16.7109375" style="368" customWidth="1"/>
    <col min="3" max="3" width="2.28515625" style="362" customWidth="1"/>
    <col min="4" max="5" width="16.7109375" style="362" customWidth="1"/>
    <col min="6" max="11" width="11.42578125" style="64"/>
    <col min="12" max="13" width="4" style="64" customWidth="1"/>
    <col min="14" max="16" width="4.85546875" style="64" customWidth="1"/>
    <col min="17" max="19" width="7.5703125" style="64" customWidth="1"/>
    <col min="20" max="16384" width="11.42578125" style="64"/>
  </cols>
  <sheetData>
    <row r="1" spans="1:19" ht="30.75" customHeight="1">
      <c r="A1" s="428" t="s">
        <v>849</v>
      </c>
      <c r="B1" s="426" t="str">
        <f>"ETIQ "&amp;'FORMATO DIL'!C4&amp;" "&amp;VLOOKUP('FORMATO DIL'!B2,LOTES!$N:$R,5,FALSE)</f>
        <v>ETIQ  JPC 6 NORTE</v>
      </c>
      <c r="C1" s="426"/>
      <c r="D1" s="426"/>
      <c r="E1" s="426"/>
      <c r="G1" s="802" t="s">
        <v>402</v>
      </c>
      <c r="H1" s="348"/>
      <c r="I1" s="348"/>
      <c r="J1" s="802" t="s">
        <v>401</v>
      </c>
      <c r="Q1" s="578"/>
    </row>
    <row r="2" spans="1:19" ht="30.75" customHeight="1">
      <c r="A2" s="427" t="s">
        <v>855</v>
      </c>
      <c r="B2" s="429" t="s">
        <v>994</v>
      </c>
      <c r="C2" s="426"/>
      <c r="D2" s="426" t="s">
        <v>994</v>
      </c>
      <c r="E2" s="426"/>
      <c r="G2" s="803"/>
      <c r="H2" s="348"/>
      <c r="I2" s="348"/>
      <c r="J2" s="803"/>
      <c r="L2" s="808" t="s">
        <v>496</v>
      </c>
      <c r="M2" s="808"/>
      <c r="Q2" s="578"/>
    </row>
    <row r="3" spans="1:19" ht="30.75" customHeight="1" thickBot="1">
      <c r="A3" s="427" t="s">
        <v>852</v>
      </c>
      <c r="B3" s="426" t="str">
        <f ca="1">VLOOKUP('FORMATO DIL'!$B$2,LOTES!$N:$U,8,FALSE)</f>
        <v>Z:\PRODUCCION ESTERILES\IV SCOOP JPC-MATERNO-VERAGUAS-CPOLICARPA SCOOP\2022\08 AGOSTO\040822\JPC\PEDIATRIA\</v>
      </c>
      <c r="C3" s="426"/>
      <c r="D3" s="426" t="s">
        <v>838</v>
      </c>
      <c r="E3" s="426"/>
      <c r="G3" s="804"/>
      <c r="H3" s="348"/>
      <c r="I3" s="348"/>
      <c r="J3" s="804"/>
      <c r="L3" s="808" t="s">
        <v>505</v>
      </c>
      <c r="M3" s="808"/>
    </row>
    <row r="4" spans="1:19" ht="9.75" customHeight="1">
      <c r="A4" s="808" t="str">
        <f>'DATOS ETIQ'!J$2</f>
        <v/>
      </c>
      <c r="B4" s="808"/>
      <c r="C4" s="359"/>
      <c r="D4" s="808" t="str">
        <f t="shared" ref="D4:D15" si="0">A4</f>
        <v/>
      </c>
      <c r="E4" s="808"/>
      <c r="G4" s="351"/>
      <c r="H4" s="352"/>
      <c r="I4" s="352"/>
      <c r="J4" s="351"/>
      <c r="N4" s="580">
        <v>1</v>
      </c>
      <c r="O4" s="580" t="str">
        <f>IF(P4="","",N4)</f>
        <v/>
      </c>
      <c r="P4" s="580" t="str">
        <f>IFERROR('FR PD 001 V1'!T6,"")</f>
        <v/>
      </c>
      <c r="Q4" s="579" t="str">
        <f>IF(AND(P4&lt;&gt;P3,P4&lt;&gt;P5),P4,IF(AND(P4&lt;&gt;P3,P4=P5),"",IF(AND(P4=P3,P4&lt;&gt;P5),P4,"")))</f>
        <v/>
      </c>
      <c r="R4" s="579">
        <f t="shared" ref="R4:R47" si="1">IF(AND(P4=P3,P4=P5),R3,IF(AND(P4=P3,P4&lt;&gt;P5),R3,IF(AND(P4&lt;&gt;P3,P4&lt;&gt;P5),O4,O4)))</f>
        <v>0</v>
      </c>
      <c r="S4" s="579">
        <f t="shared" ref="S4:S47" si="2">IF(AND(P4=P3,P4=P5),S3,IF(AND(P4=P3,P4&lt;&gt;P5),O4,IF(AND(P4&lt;&gt;P3,P4&lt;&gt;P5),O4,O4)))</f>
        <v>0</v>
      </c>
    </row>
    <row r="5" spans="1:19" ht="9.75" customHeight="1" thickBot="1">
      <c r="A5" s="808" t="str">
        <f>'DATOS ETIQ'!Z2</f>
        <v>ID :0   F. Nac:  00ENE00</v>
      </c>
      <c r="B5" s="808"/>
      <c r="C5" s="359"/>
      <c r="D5" s="808" t="str">
        <f t="shared" si="0"/>
        <v>ID :0   F. Nac:  00ENE00</v>
      </c>
      <c r="E5" s="808"/>
      <c r="G5" s="351"/>
      <c r="H5" s="352"/>
      <c r="I5" s="352"/>
      <c r="J5" s="351">
        <v>1</v>
      </c>
      <c r="N5" s="580">
        <v>2</v>
      </c>
      <c r="O5" s="580" t="str">
        <f t="shared" ref="O5:O47" si="3">IF(P5="","",N5)</f>
        <v/>
      </c>
      <c r="P5" s="580" t="str">
        <f>IFERROR('FR PD 001 V1'!T7,"")</f>
        <v/>
      </c>
      <c r="Q5" s="579" t="str">
        <f t="shared" ref="Q5:Q47" si="4">IF(AND(P5&lt;&gt;P4,P5&lt;&gt;P6),P5,IF(AND(P5&lt;&gt;P4,P5=P6),"",IF(AND(P5=P4,P5&lt;&gt;P6),P5,"")))</f>
        <v/>
      </c>
      <c r="R5" s="579">
        <f t="shared" si="1"/>
        <v>0</v>
      </c>
      <c r="S5" s="579">
        <f t="shared" si="2"/>
        <v>0</v>
      </c>
    </row>
    <row r="6" spans="1:19" ht="9.75" customHeight="1">
      <c r="A6" s="360" t="e">
        <f>'DATOS ETIQ'!B$2&amp;"   "&amp;'DATOS ETIQ'!S$2</f>
        <v>#N/A</v>
      </c>
      <c r="B6" s="361" t="e">
        <f>'DATOS ETIQ'!W$2</f>
        <v>#N/A</v>
      </c>
      <c r="D6" s="360" t="e">
        <f t="shared" si="0"/>
        <v>#N/A</v>
      </c>
      <c r="E6" s="361" t="e">
        <f>B6</f>
        <v>#N/A</v>
      </c>
      <c r="G6" s="800" t="e">
        <f>'FR PD 001 V1'!T6</f>
        <v>#N/A</v>
      </c>
      <c r="J6" s="800">
        <v>1</v>
      </c>
      <c r="L6" s="808"/>
      <c r="M6" s="808"/>
      <c r="N6" s="580">
        <v>3</v>
      </c>
      <c r="O6" s="580" t="str">
        <f t="shared" si="3"/>
        <v/>
      </c>
      <c r="P6" s="580" t="str">
        <f>IFERROR('FR PD 001 V1'!T8,"")</f>
        <v/>
      </c>
      <c r="Q6" s="579" t="str">
        <f t="shared" si="4"/>
        <v/>
      </c>
      <c r="R6" s="579">
        <f t="shared" si="1"/>
        <v>0</v>
      </c>
      <c r="S6" s="579">
        <f t="shared" si="2"/>
        <v>0</v>
      </c>
    </row>
    <row r="7" spans="1:19" ht="9.75" customHeight="1" thickBot="1">
      <c r="A7" s="808" t="e">
        <f>'DATOS ETIQ'!U2</f>
        <v>#N/A</v>
      </c>
      <c r="B7" s="808"/>
      <c r="C7" s="359"/>
      <c r="D7" s="808" t="e">
        <f t="shared" si="0"/>
        <v>#N/A</v>
      </c>
      <c r="E7" s="808"/>
      <c r="G7" s="801"/>
      <c r="J7" s="801"/>
      <c r="L7" s="808"/>
      <c r="M7" s="808"/>
      <c r="N7" s="580">
        <v>4</v>
      </c>
      <c r="O7" s="580" t="str">
        <f t="shared" si="3"/>
        <v/>
      </c>
      <c r="P7" s="580" t="str">
        <f>IFERROR('FR PD 001 V1'!T9,"")</f>
        <v/>
      </c>
      <c r="Q7" s="579" t="str">
        <f t="shared" si="4"/>
        <v/>
      </c>
      <c r="R7" s="579">
        <f t="shared" si="1"/>
        <v>0</v>
      </c>
      <c r="S7" s="579">
        <f t="shared" si="2"/>
        <v>0</v>
      </c>
    </row>
    <row r="8" spans="1:19" s="364" customFormat="1" ht="9.75" customHeight="1">
      <c r="A8" s="809" t="e">
        <f ca="1">"F.Elab: "&amp;TEXT('FORMATO DIL'!$B$5,"dd/mm/yy")&amp;"       FVto: "&amp;TEXT('DATOS ETIQ'!T$2,"dd/mm/yy")</f>
        <v>#N/A</v>
      </c>
      <c r="B8" s="809"/>
      <c r="C8" s="363"/>
      <c r="D8" s="809" t="e">
        <f t="shared" ca="1" si="0"/>
        <v>#N/A</v>
      </c>
      <c r="E8" s="809"/>
      <c r="J8" s="365"/>
      <c r="N8" s="580">
        <v>5</v>
      </c>
      <c r="O8" s="580" t="str">
        <f t="shared" si="3"/>
        <v/>
      </c>
      <c r="P8" s="580" t="str">
        <f>IFERROR('FR PD 001 V1'!T10,"")</f>
        <v/>
      </c>
      <c r="Q8" s="579" t="str">
        <f t="shared" si="4"/>
        <v/>
      </c>
      <c r="R8" s="579">
        <f t="shared" si="1"/>
        <v>0</v>
      </c>
      <c r="S8" s="579">
        <f t="shared" si="2"/>
        <v>0</v>
      </c>
    </row>
    <row r="9" spans="1:19" s="364" customFormat="1" ht="9.75" customHeight="1">
      <c r="A9" s="809" t="str">
        <f>"Lt: "&amp;'DATOS ETIQ'!I$2</f>
        <v>Lt: 0</v>
      </c>
      <c r="B9" s="809"/>
      <c r="C9" s="363"/>
      <c r="D9" s="809" t="str">
        <f>A9</f>
        <v>Lt: 0</v>
      </c>
      <c r="E9" s="809"/>
      <c r="J9" s="365"/>
      <c r="N9" s="580">
        <v>6</v>
      </c>
      <c r="O9" s="580" t="str">
        <f t="shared" si="3"/>
        <v/>
      </c>
      <c r="P9" s="580" t="str">
        <f>IFERROR('FR PD 001 V1'!T11,"")</f>
        <v/>
      </c>
      <c r="Q9" s="579" t="str">
        <f t="shared" si="4"/>
        <v/>
      </c>
      <c r="R9" s="579">
        <f t="shared" si="1"/>
        <v>0</v>
      </c>
      <c r="S9" s="579">
        <f t="shared" si="2"/>
        <v>0</v>
      </c>
    </row>
    <row r="10" spans="1:19" s="366" customFormat="1" ht="9.75" customHeight="1">
      <c r="A10" s="807" t="str">
        <f>"QFP: "&amp;'DATOS ETIQ'!L$2&amp;"   QFV: "&amp;'DATOS ETIQ'!M$2</f>
        <v>QFP: JGARCIA   QFV: ADELTORO</v>
      </c>
      <c r="B10" s="807"/>
      <c r="C10" s="355"/>
      <c r="D10" s="807" t="str">
        <f t="shared" si="0"/>
        <v>QFP: JGARCIA   QFV: ADELTORO</v>
      </c>
      <c r="E10" s="807"/>
      <c r="J10" s="367"/>
      <c r="N10" s="580">
        <v>7</v>
      </c>
      <c r="O10" s="580" t="str">
        <f t="shared" si="3"/>
        <v/>
      </c>
      <c r="P10" s="580" t="str">
        <f>IFERROR('FR PD 001 V1'!T12,"")</f>
        <v/>
      </c>
      <c r="Q10" s="579" t="str">
        <f t="shared" si="4"/>
        <v/>
      </c>
      <c r="R10" s="579">
        <f t="shared" si="1"/>
        <v>0</v>
      </c>
      <c r="S10" s="579">
        <f t="shared" si="2"/>
        <v>0</v>
      </c>
    </row>
    <row r="11" spans="1:19" s="366" customFormat="1" ht="9.75" customHeight="1">
      <c r="A11" s="807" t="s">
        <v>1390</v>
      </c>
      <c r="B11" s="807"/>
      <c r="C11" s="355"/>
      <c r="D11" s="807" t="str">
        <f t="shared" si="0"/>
        <v>H. SAN JOSE CENTRO</v>
      </c>
      <c r="E11" s="807"/>
      <c r="J11" s="367"/>
      <c r="N11" s="580">
        <v>8</v>
      </c>
      <c r="O11" s="580" t="str">
        <f t="shared" si="3"/>
        <v/>
      </c>
      <c r="P11" s="580" t="str">
        <f>IFERROR('FR PD 001 V1'!T13,"")</f>
        <v/>
      </c>
      <c r="Q11" s="579" t="str">
        <f t="shared" si="4"/>
        <v/>
      </c>
      <c r="R11" s="579">
        <f t="shared" si="1"/>
        <v>0</v>
      </c>
      <c r="S11" s="579">
        <f t="shared" si="2"/>
        <v>0</v>
      </c>
    </row>
    <row r="12" spans="1:19" ht="9.75" customHeight="1">
      <c r="A12" s="808" t="str">
        <f>'DATOS ETIQ'!J$3</f>
        <v/>
      </c>
      <c r="B12" s="808"/>
      <c r="C12" s="359"/>
      <c r="D12" s="808" t="str">
        <f t="shared" si="0"/>
        <v/>
      </c>
      <c r="E12" s="808"/>
      <c r="J12" s="356"/>
      <c r="N12" s="580">
        <v>9</v>
      </c>
      <c r="O12" s="580" t="str">
        <f t="shared" si="3"/>
        <v/>
      </c>
      <c r="P12" s="580" t="str">
        <f>IFERROR('FR PD 001 V1'!T14,"")</f>
        <v/>
      </c>
      <c r="Q12" s="579" t="str">
        <f t="shared" si="4"/>
        <v/>
      </c>
      <c r="R12" s="579">
        <f t="shared" si="1"/>
        <v>0</v>
      </c>
      <c r="S12" s="579">
        <f t="shared" si="2"/>
        <v>0</v>
      </c>
    </row>
    <row r="13" spans="1:19" ht="9.75" customHeight="1" thickBot="1">
      <c r="A13" s="808" t="str">
        <f>'DATOS ETIQ'!Z3</f>
        <v>ID :0   F. Nac:  00ENE00</v>
      </c>
      <c r="B13" s="808"/>
      <c r="C13" s="359"/>
      <c r="D13" s="808" t="str">
        <f t="shared" si="0"/>
        <v>ID :0   F. Nac:  00ENE00</v>
      </c>
      <c r="E13" s="808"/>
      <c r="J13" s="356"/>
      <c r="N13" s="580">
        <v>10</v>
      </c>
      <c r="O13" s="580" t="str">
        <f t="shared" si="3"/>
        <v/>
      </c>
      <c r="P13" s="580" t="str">
        <f>IFERROR('FR PD 001 V1'!T15,"")</f>
        <v/>
      </c>
      <c r="Q13" s="579" t="str">
        <f t="shared" si="4"/>
        <v/>
      </c>
      <c r="R13" s="579">
        <f t="shared" si="1"/>
        <v>0</v>
      </c>
      <c r="S13" s="579">
        <f t="shared" si="2"/>
        <v>0</v>
      </c>
    </row>
    <row r="14" spans="1:19" ht="9.75" customHeight="1">
      <c r="A14" s="360" t="e">
        <f>'DATOS ETIQ'!B$3&amp;"   "&amp;'DATOS ETIQ'!S$3</f>
        <v>#N/A</v>
      </c>
      <c r="B14" s="361" t="e">
        <f>'DATOS ETIQ'!W$3</f>
        <v>#N/A</v>
      </c>
      <c r="D14" s="360" t="e">
        <f t="shared" si="0"/>
        <v>#N/A</v>
      </c>
      <c r="E14" s="361" t="e">
        <f>B14</f>
        <v>#N/A</v>
      </c>
      <c r="G14" s="800" t="e">
        <f>'FR PD 001 V1'!T7</f>
        <v>#N/A</v>
      </c>
      <c r="J14" s="800">
        <v>2</v>
      </c>
      <c r="N14" s="580">
        <v>11</v>
      </c>
      <c r="O14" s="580" t="str">
        <f t="shared" si="3"/>
        <v/>
      </c>
      <c r="P14" s="580" t="str">
        <f>IFERROR('FR PD 001 V1'!T16,"")</f>
        <v/>
      </c>
      <c r="Q14" s="579" t="str">
        <f t="shared" si="4"/>
        <v/>
      </c>
      <c r="R14" s="579">
        <f t="shared" si="1"/>
        <v>0</v>
      </c>
      <c r="S14" s="579">
        <f t="shared" si="2"/>
        <v>0</v>
      </c>
    </row>
    <row r="15" spans="1:19" ht="9.75" customHeight="1" thickBot="1">
      <c r="A15" s="808" t="e">
        <f>'DATOS ETIQ'!U3</f>
        <v>#N/A</v>
      </c>
      <c r="B15" s="808"/>
      <c r="C15" s="359"/>
      <c r="D15" s="808" t="e">
        <f t="shared" si="0"/>
        <v>#N/A</v>
      </c>
      <c r="E15" s="808"/>
      <c r="G15" s="801"/>
      <c r="J15" s="801"/>
      <c r="N15" s="580">
        <v>12</v>
      </c>
      <c r="O15" s="580" t="str">
        <f t="shared" si="3"/>
        <v/>
      </c>
      <c r="P15" s="580" t="str">
        <f>IFERROR('FR PD 001 V1'!T17,"")</f>
        <v/>
      </c>
      <c r="Q15" s="579" t="str">
        <f t="shared" si="4"/>
        <v/>
      </c>
      <c r="R15" s="579">
        <f t="shared" si="1"/>
        <v>0</v>
      </c>
      <c r="S15" s="579">
        <f t="shared" si="2"/>
        <v>0</v>
      </c>
    </row>
    <row r="16" spans="1:19" s="364" customFormat="1" ht="9.75" customHeight="1">
      <c r="A16" s="809" t="e">
        <f ca="1">"F.Elab: "&amp;TEXT('FORMATO DIL'!$B$5,"dd/mm/yy")&amp;"       FVto: "&amp;TEXT('DATOS ETIQ'!T$3,"dd/mm/yy")</f>
        <v>#N/A</v>
      </c>
      <c r="B16" s="809"/>
      <c r="C16" s="363"/>
      <c r="D16" s="809" t="e">
        <f ca="1">A16</f>
        <v>#N/A</v>
      </c>
      <c r="E16" s="809"/>
      <c r="J16" s="365"/>
      <c r="N16" s="580">
        <v>13</v>
      </c>
      <c r="O16" s="580" t="str">
        <f t="shared" si="3"/>
        <v/>
      </c>
      <c r="P16" s="580" t="str">
        <f>IFERROR('FR PD 001 V1'!T18,"")</f>
        <v/>
      </c>
      <c r="Q16" s="579" t="str">
        <f t="shared" si="4"/>
        <v/>
      </c>
      <c r="R16" s="579">
        <f t="shared" si="1"/>
        <v>0</v>
      </c>
      <c r="S16" s="579">
        <f t="shared" si="2"/>
        <v>0</v>
      </c>
    </row>
    <row r="17" spans="1:19" s="364" customFormat="1" ht="9.75" customHeight="1">
      <c r="A17" s="809" t="str">
        <f>"Lt: "&amp;'DATOS ETIQ'!I$3</f>
        <v xml:space="preserve">Lt: </v>
      </c>
      <c r="B17" s="809"/>
      <c r="C17" s="363"/>
      <c r="D17" s="809" t="str">
        <f>A17</f>
        <v xml:space="preserve">Lt: </v>
      </c>
      <c r="E17" s="809"/>
      <c r="J17" s="365"/>
      <c r="N17" s="580">
        <v>14</v>
      </c>
      <c r="O17" s="580" t="str">
        <f t="shared" si="3"/>
        <v/>
      </c>
      <c r="P17" s="580" t="str">
        <f>IFERROR('FR PD 001 V1'!T19,"")</f>
        <v/>
      </c>
      <c r="Q17" s="579" t="str">
        <f t="shared" si="4"/>
        <v/>
      </c>
      <c r="R17" s="579">
        <f t="shared" si="1"/>
        <v>0</v>
      </c>
      <c r="S17" s="579">
        <f t="shared" si="2"/>
        <v>0</v>
      </c>
    </row>
    <row r="18" spans="1:19" s="366" customFormat="1" ht="9.75" customHeight="1">
      <c r="A18" s="807" t="str">
        <f>"QFP: "&amp;'DATOS ETIQ'!L$3&amp;"   QFV: "&amp;'DATOS ETIQ'!M$3</f>
        <v>QFP: JGARCIA   QFV: ADELTORO</v>
      </c>
      <c r="B18" s="807"/>
      <c r="C18" s="355"/>
      <c r="D18" s="807" t="str">
        <f t="shared" ref="D18:D90" si="5">A18</f>
        <v>QFP: JGARCIA   QFV: ADELTORO</v>
      </c>
      <c r="E18" s="807"/>
      <c r="J18" s="367"/>
      <c r="N18" s="580">
        <v>15</v>
      </c>
      <c r="O18" s="580" t="str">
        <f t="shared" si="3"/>
        <v/>
      </c>
      <c r="P18" s="580" t="str">
        <f>IFERROR('FR PD 001 V1'!T20,"")</f>
        <v/>
      </c>
      <c r="Q18" s="579" t="str">
        <f t="shared" si="4"/>
        <v/>
      </c>
      <c r="R18" s="579">
        <f t="shared" si="1"/>
        <v>0</v>
      </c>
      <c r="S18" s="579">
        <f t="shared" si="2"/>
        <v>0</v>
      </c>
    </row>
    <row r="19" spans="1:19" s="366" customFormat="1" ht="9.75" customHeight="1">
      <c r="A19" s="807" t="s">
        <v>1390</v>
      </c>
      <c r="B19" s="807"/>
      <c r="C19" s="355"/>
      <c r="D19" s="807" t="str">
        <f t="shared" si="5"/>
        <v>H. SAN JOSE CENTRO</v>
      </c>
      <c r="E19" s="807"/>
      <c r="J19" s="367"/>
      <c r="N19" s="580">
        <v>16</v>
      </c>
      <c r="O19" s="580" t="str">
        <f t="shared" si="3"/>
        <v/>
      </c>
      <c r="P19" s="580" t="str">
        <f>IFERROR('FR PD 001 V1'!T21,"")</f>
        <v/>
      </c>
      <c r="Q19" s="579" t="str">
        <f t="shared" si="4"/>
        <v/>
      </c>
      <c r="R19" s="579">
        <f t="shared" si="1"/>
        <v>0</v>
      </c>
      <c r="S19" s="579">
        <f t="shared" si="2"/>
        <v>0</v>
      </c>
    </row>
    <row r="20" spans="1:19" ht="9.75" customHeight="1">
      <c r="A20" s="808" t="str">
        <f>'DATOS ETIQ'!J$4</f>
        <v/>
      </c>
      <c r="B20" s="808"/>
      <c r="C20" s="359"/>
      <c r="D20" s="808" t="str">
        <f t="shared" si="5"/>
        <v/>
      </c>
      <c r="E20" s="808"/>
      <c r="J20" s="356"/>
      <c r="N20" s="580">
        <v>17</v>
      </c>
      <c r="O20" s="580" t="str">
        <f t="shared" si="3"/>
        <v/>
      </c>
      <c r="P20" s="580" t="str">
        <f>IFERROR('FR PD 001 V1'!T22,"")</f>
        <v/>
      </c>
      <c r="Q20" s="579" t="str">
        <f t="shared" si="4"/>
        <v/>
      </c>
      <c r="R20" s="579">
        <f t="shared" si="1"/>
        <v>0</v>
      </c>
      <c r="S20" s="579">
        <f t="shared" si="2"/>
        <v>0</v>
      </c>
    </row>
    <row r="21" spans="1:19" ht="9.75" customHeight="1" thickBot="1">
      <c r="A21" s="808" t="str">
        <f>'DATOS ETIQ'!Z4</f>
        <v>ID :0   F. Nac:  00ENE00</v>
      </c>
      <c r="B21" s="808"/>
      <c r="C21" s="359"/>
      <c r="D21" s="808" t="str">
        <f t="shared" si="5"/>
        <v>ID :0   F. Nac:  00ENE00</v>
      </c>
      <c r="E21" s="808"/>
      <c r="J21" s="356"/>
      <c r="N21" s="580">
        <v>18</v>
      </c>
      <c r="O21" s="580" t="str">
        <f t="shared" si="3"/>
        <v/>
      </c>
      <c r="P21" s="580" t="str">
        <f>IFERROR('FR PD 001 V1'!T23,"")</f>
        <v/>
      </c>
      <c r="Q21" s="579" t="str">
        <f t="shared" si="4"/>
        <v/>
      </c>
      <c r="R21" s="579">
        <f t="shared" si="1"/>
        <v>0</v>
      </c>
      <c r="S21" s="579">
        <f t="shared" si="2"/>
        <v>0</v>
      </c>
    </row>
    <row r="22" spans="1:19" ht="9.75" customHeight="1">
      <c r="A22" s="360" t="e">
        <f>'DATOS ETIQ'!B$4&amp;"   "&amp;'DATOS ETIQ'!S$4</f>
        <v>#N/A</v>
      </c>
      <c r="B22" s="361" t="e">
        <f>'DATOS ETIQ'!W$4</f>
        <v>#N/A</v>
      </c>
      <c r="D22" s="360" t="e">
        <f t="shared" si="5"/>
        <v>#N/A</v>
      </c>
      <c r="E22" s="361" t="e">
        <f>B22</f>
        <v>#N/A</v>
      </c>
      <c r="G22" s="800" t="e">
        <f>'FR PD 001 V1'!T8</f>
        <v>#N/A</v>
      </c>
      <c r="J22" s="800">
        <v>3</v>
      </c>
      <c r="N22" s="580">
        <v>19</v>
      </c>
      <c r="O22" s="580" t="str">
        <f t="shared" si="3"/>
        <v/>
      </c>
      <c r="P22" s="580" t="str">
        <f>IFERROR('FR PD 001 V1'!T24,"")</f>
        <v/>
      </c>
      <c r="Q22" s="579" t="str">
        <f t="shared" si="4"/>
        <v/>
      </c>
      <c r="R22" s="579">
        <f t="shared" si="1"/>
        <v>0</v>
      </c>
      <c r="S22" s="579">
        <f t="shared" si="2"/>
        <v>0</v>
      </c>
    </row>
    <row r="23" spans="1:19" ht="9.75" customHeight="1" thickBot="1">
      <c r="A23" s="808" t="e">
        <f>'DATOS ETIQ'!U4</f>
        <v>#N/A</v>
      </c>
      <c r="B23" s="808"/>
      <c r="C23" s="359"/>
      <c r="D23" s="808" t="e">
        <f t="shared" si="5"/>
        <v>#N/A</v>
      </c>
      <c r="E23" s="808"/>
      <c r="G23" s="801"/>
      <c r="J23" s="801"/>
      <c r="N23" s="580">
        <v>20</v>
      </c>
      <c r="O23" s="580" t="str">
        <f t="shared" si="3"/>
        <v/>
      </c>
      <c r="P23" s="580" t="str">
        <f>IFERROR('FR PD 001 V1'!T25,"")</f>
        <v/>
      </c>
      <c r="Q23" s="579" t="str">
        <f t="shared" si="4"/>
        <v/>
      </c>
      <c r="R23" s="579">
        <f t="shared" si="1"/>
        <v>0</v>
      </c>
      <c r="S23" s="579">
        <f t="shared" si="2"/>
        <v>0</v>
      </c>
    </row>
    <row r="24" spans="1:19" s="364" customFormat="1" ht="9.75" customHeight="1">
      <c r="A24" s="809" t="e">
        <f ca="1">"F.Elab: "&amp;TEXT('FORMATO DIL'!$B$5,"dd/mm/yy")&amp;"       FVto: "&amp;TEXT('DATOS ETIQ'!T$4,"dd/mm/yy")</f>
        <v>#N/A</v>
      </c>
      <c r="B24" s="809"/>
      <c r="C24" s="363"/>
      <c r="D24" s="809" t="e">
        <f t="shared" ca="1" si="5"/>
        <v>#N/A</v>
      </c>
      <c r="E24" s="809"/>
      <c r="J24" s="365"/>
      <c r="N24" s="580">
        <v>21</v>
      </c>
      <c r="O24" s="580" t="str">
        <f t="shared" si="3"/>
        <v/>
      </c>
      <c r="P24" s="580" t="str">
        <f>IFERROR('FR PD 001 V1'!T26,"")</f>
        <v/>
      </c>
      <c r="Q24" s="579" t="str">
        <f t="shared" si="4"/>
        <v/>
      </c>
      <c r="R24" s="579">
        <f t="shared" si="1"/>
        <v>0</v>
      </c>
      <c r="S24" s="579">
        <f t="shared" si="2"/>
        <v>0</v>
      </c>
    </row>
    <row r="25" spans="1:19" s="364" customFormat="1" ht="9.75" customHeight="1">
      <c r="A25" s="809" t="str">
        <f>"Lt: "&amp;'DATOS ETIQ'!I$4</f>
        <v xml:space="preserve">Lt: </v>
      </c>
      <c r="B25" s="809"/>
      <c r="C25" s="363"/>
      <c r="D25" s="809" t="str">
        <f>A25</f>
        <v xml:space="preserve">Lt: </v>
      </c>
      <c r="E25" s="809"/>
      <c r="J25" s="365"/>
      <c r="N25" s="580">
        <v>22</v>
      </c>
      <c r="O25" s="580" t="str">
        <f t="shared" si="3"/>
        <v/>
      </c>
      <c r="P25" s="580" t="str">
        <f>IFERROR('FR PD 001 V1'!T27,"")</f>
        <v/>
      </c>
      <c r="Q25" s="579" t="str">
        <f t="shared" si="4"/>
        <v/>
      </c>
      <c r="R25" s="579">
        <f t="shared" si="1"/>
        <v>0</v>
      </c>
      <c r="S25" s="579">
        <f t="shared" si="2"/>
        <v>0</v>
      </c>
    </row>
    <row r="26" spans="1:19" s="366" customFormat="1" ht="9.75" customHeight="1">
      <c r="A26" s="807" t="str">
        <f>"QFP: "&amp;'DATOS ETIQ'!L$4&amp;"   QFV: "&amp;'DATOS ETIQ'!M$4</f>
        <v>QFP: JGARCIA   QFV: ADELTORO</v>
      </c>
      <c r="B26" s="807"/>
      <c r="C26" s="355"/>
      <c r="D26" s="807" t="str">
        <f t="shared" si="5"/>
        <v>QFP: JGARCIA   QFV: ADELTORO</v>
      </c>
      <c r="E26" s="807"/>
      <c r="J26" s="367"/>
      <c r="N26" s="580">
        <v>23</v>
      </c>
      <c r="O26" s="580" t="str">
        <f t="shared" si="3"/>
        <v/>
      </c>
      <c r="P26" s="580" t="str">
        <f>IFERROR('FR PD 001 V1'!T28,"")</f>
        <v/>
      </c>
      <c r="Q26" s="579" t="str">
        <f t="shared" si="4"/>
        <v/>
      </c>
      <c r="R26" s="579">
        <f t="shared" si="1"/>
        <v>0</v>
      </c>
      <c r="S26" s="579">
        <f t="shared" si="2"/>
        <v>0</v>
      </c>
    </row>
    <row r="27" spans="1:19" s="366" customFormat="1" ht="9.75" customHeight="1">
      <c r="A27" s="807" t="s">
        <v>1390</v>
      </c>
      <c r="B27" s="807"/>
      <c r="C27" s="355"/>
      <c r="D27" s="807" t="str">
        <f t="shared" si="5"/>
        <v>H. SAN JOSE CENTRO</v>
      </c>
      <c r="E27" s="807"/>
      <c r="J27" s="367"/>
      <c r="N27" s="580">
        <v>24</v>
      </c>
      <c r="O27" s="580" t="str">
        <f t="shared" si="3"/>
        <v/>
      </c>
      <c r="P27" s="580" t="str">
        <f>IFERROR('FR PD 001 V1'!T29,"")</f>
        <v/>
      </c>
      <c r="Q27" s="579" t="str">
        <f t="shared" si="4"/>
        <v/>
      </c>
      <c r="R27" s="579">
        <f t="shared" si="1"/>
        <v>0</v>
      </c>
      <c r="S27" s="579">
        <f t="shared" si="2"/>
        <v>0</v>
      </c>
    </row>
    <row r="28" spans="1:19" ht="9.75" customHeight="1">
      <c r="A28" s="808" t="str">
        <f>'DATOS ETIQ'!J$5</f>
        <v/>
      </c>
      <c r="B28" s="808"/>
      <c r="C28" s="359"/>
      <c r="D28" s="808" t="str">
        <f t="shared" si="5"/>
        <v/>
      </c>
      <c r="E28" s="808"/>
      <c r="J28" s="356"/>
      <c r="N28" s="580">
        <v>25</v>
      </c>
      <c r="O28" s="580" t="str">
        <f t="shared" si="3"/>
        <v/>
      </c>
      <c r="P28" s="580" t="str">
        <f>IFERROR('FR PD 001 V1'!T30,"")</f>
        <v/>
      </c>
      <c r="Q28" s="579" t="str">
        <f t="shared" si="4"/>
        <v/>
      </c>
      <c r="R28" s="579">
        <f t="shared" si="1"/>
        <v>0</v>
      </c>
      <c r="S28" s="579">
        <f t="shared" si="2"/>
        <v>0</v>
      </c>
    </row>
    <row r="29" spans="1:19" ht="9.75" customHeight="1" thickBot="1">
      <c r="A29" s="808" t="str">
        <f>'DATOS ETIQ'!Z5</f>
        <v>ID :0   F. Nac:  00ENE00</v>
      </c>
      <c r="B29" s="808"/>
      <c r="C29" s="359"/>
      <c r="D29" s="808" t="str">
        <f t="shared" si="5"/>
        <v>ID :0   F. Nac:  00ENE00</v>
      </c>
      <c r="E29" s="808"/>
      <c r="J29" s="356"/>
      <c r="N29" s="580">
        <v>26</v>
      </c>
      <c r="O29" s="580" t="str">
        <f t="shared" si="3"/>
        <v/>
      </c>
      <c r="P29" s="580" t="str">
        <f>IFERROR('FR PD 001 V1'!T31,"")</f>
        <v/>
      </c>
      <c r="Q29" s="579" t="str">
        <f t="shared" si="4"/>
        <v/>
      </c>
      <c r="R29" s="579">
        <f t="shared" si="1"/>
        <v>0</v>
      </c>
      <c r="S29" s="579">
        <f t="shared" si="2"/>
        <v>0</v>
      </c>
    </row>
    <row r="30" spans="1:19" ht="9.75" customHeight="1">
      <c r="A30" s="360" t="e">
        <f>'DATOS ETIQ'!B$5&amp;"   "&amp;'DATOS ETIQ'!S$5</f>
        <v>#N/A</v>
      </c>
      <c r="B30" s="361" t="e">
        <f>'DATOS ETIQ'!W$5</f>
        <v>#N/A</v>
      </c>
      <c r="D30" s="360" t="e">
        <f t="shared" si="5"/>
        <v>#N/A</v>
      </c>
      <c r="E30" s="361" t="e">
        <f>B30</f>
        <v>#N/A</v>
      </c>
      <c r="G30" s="800" t="e">
        <f>'FR PD 001 V1'!T9</f>
        <v>#N/A</v>
      </c>
      <c r="J30" s="800">
        <v>4</v>
      </c>
      <c r="N30" s="580">
        <v>27</v>
      </c>
      <c r="O30" s="580" t="str">
        <f t="shared" si="3"/>
        <v/>
      </c>
      <c r="P30" s="580" t="str">
        <f>IFERROR('FR PD 001 V1'!T32,"")</f>
        <v/>
      </c>
      <c r="Q30" s="579" t="str">
        <f t="shared" si="4"/>
        <v/>
      </c>
      <c r="R30" s="579">
        <f t="shared" si="1"/>
        <v>0</v>
      </c>
      <c r="S30" s="579">
        <f t="shared" si="2"/>
        <v>0</v>
      </c>
    </row>
    <row r="31" spans="1:19" ht="9.75" customHeight="1" thickBot="1">
      <c r="A31" s="808" t="e">
        <f>'DATOS ETIQ'!U5</f>
        <v>#N/A</v>
      </c>
      <c r="B31" s="808"/>
      <c r="C31" s="359"/>
      <c r="D31" s="808" t="e">
        <f t="shared" si="5"/>
        <v>#N/A</v>
      </c>
      <c r="E31" s="808"/>
      <c r="G31" s="801"/>
      <c r="J31" s="801"/>
      <c r="N31" s="580">
        <v>28</v>
      </c>
      <c r="O31" s="580" t="str">
        <f t="shared" si="3"/>
        <v/>
      </c>
      <c r="P31" s="580" t="str">
        <f>IFERROR('FR PD 001 V1'!T33,"")</f>
        <v/>
      </c>
      <c r="Q31" s="579" t="str">
        <f t="shared" si="4"/>
        <v/>
      </c>
      <c r="R31" s="579">
        <f t="shared" si="1"/>
        <v>0</v>
      </c>
      <c r="S31" s="579">
        <f t="shared" si="2"/>
        <v>0</v>
      </c>
    </row>
    <row r="32" spans="1:19" s="364" customFormat="1" ht="9.75" customHeight="1">
      <c r="A32" s="809" t="e">
        <f ca="1">"F.Elab: "&amp;TEXT('FORMATO DIL'!$B$5,"dd/mm/yy")&amp;"       FVto: "&amp;TEXT('DATOS ETIQ'!T$5,"dd/mm/yy")</f>
        <v>#N/A</v>
      </c>
      <c r="B32" s="809"/>
      <c r="C32" s="363"/>
      <c r="D32" s="809" t="e">
        <f t="shared" ca="1" si="5"/>
        <v>#N/A</v>
      </c>
      <c r="E32" s="809"/>
      <c r="J32" s="365"/>
      <c r="N32" s="580">
        <v>29</v>
      </c>
      <c r="O32" s="580" t="str">
        <f t="shared" si="3"/>
        <v/>
      </c>
      <c r="P32" s="580" t="str">
        <f>IFERROR('FR PD 001 V1'!T34,"")</f>
        <v/>
      </c>
      <c r="Q32" s="579" t="str">
        <f t="shared" si="4"/>
        <v/>
      </c>
      <c r="R32" s="579">
        <f t="shared" si="1"/>
        <v>0</v>
      </c>
      <c r="S32" s="579">
        <f t="shared" si="2"/>
        <v>0</v>
      </c>
    </row>
    <row r="33" spans="1:19" s="364" customFormat="1" ht="9.75" customHeight="1">
      <c r="A33" s="809" t="str">
        <f>"Lt: "&amp;'DATOS ETIQ'!I$5</f>
        <v xml:space="preserve">Lt: </v>
      </c>
      <c r="B33" s="809"/>
      <c r="C33" s="363"/>
      <c r="D33" s="809" t="str">
        <f>A33</f>
        <v xml:space="preserve">Lt: </v>
      </c>
      <c r="E33" s="809"/>
      <c r="J33" s="365"/>
      <c r="N33" s="580">
        <v>30</v>
      </c>
      <c r="O33" s="580" t="str">
        <f t="shared" si="3"/>
        <v/>
      </c>
      <c r="P33" s="580" t="str">
        <f>IFERROR('FR PD 001 V1'!T35,"")</f>
        <v/>
      </c>
      <c r="Q33" s="579" t="str">
        <f t="shared" si="4"/>
        <v/>
      </c>
      <c r="R33" s="579">
        <f t="shared" si="1"/>
        <v>0</v>
      </c>
      <c r="S33" s="579">
        <f t="shared" si="2"/>
        <v>0</v>
      </c>
    </row>
    <row r="34" spans="1:19" s="366" customFormat="1" ht="9.75" customHeight="1">
      <c r="A34" s="807" t="str">
        <f>"QFP: "&amp;'DATOS ETIQ'!L$5&amp;"   QFV: "&amp;'DATOS ETIQ'!M$5</f>
        <v>QFP: JGARCIA   QFV: ADELTORO</v>
      </c>
      <c r="B34" s="807"/>
      <c r="C34" s="355"/>
      <c r="D34" s="807" t="str">
        <f t="shared" si="5"/>
        <v>QFP: JGARCIA   QFV: ADELTORO</v>
      </c>
      <c r="E34" s="807"/>
      <c r="J34" s="367"/>
      <c r="N34" s="580">
        <v>31</v>
      </c>
      <c r="O34" s="580" t="str">
        <f t="shared" si="3"/>
        <v/>
      </c>
      <c r="P34" s="580" t="str">
        <f>IFERROR('FR PD 001 V1'!T36,"")</f>
        <v/>
      </c>
      <c r="Q34" s="579" t="str">
        <f t="shared" si="4"/>
        <v/>
      </c>
      <c r="R34" s="579">
        <f t="shared" si="1"/>
        <v>0</v>
      </c>
      <c r="S34" s="579">
        <f t="shared" si="2"/>
        <v>0</v>
      </c>
    </row>
    <row r="35" spans="1:19" s="366" customFormat="1" ht="9.75" customHeight="1">
      <c r="A35" s="807" t="s">
        <v>1390</v>
      </c>
      <c r="B35" s="807"/>
      <c r="C35" s="355"/>
      <c r="D35" s="807" t="str">
        <f t="shared" si="5"/>
        <v>H. SAN JOSE CENTRO</v>
      </c>
      <c r="E35" s="807"/>
      <c r="J35" s="367"/>
      <c r="N35" s="580">
        <v>32</v>
      </c>
      <c r="O35" s="580" t="str">
        <f t="shared" si="3"/>
        <v/>
      </c>
      <c r="P35" s="580" t="str">
        <f>IFERROR('FR PD 001 V1'!T37,"")</f>
        <v/>
      </c>
      <c r="Q35" s="579" t="str">
        <f t="shared" si="4"/>
        <v/>
      </c>
      <c r="R35" s="579">
        <f t="shared" si="1"/>
        <v>0</v>
      </c>
      <c r="S35" s="579">
        <f t="shared" si="2"/>
        <v>0</v>
      </c>
    </row>
    <row r="36" spans="1:19" ht="9.75" customHeight="1">
      <c r="A36" s="808" t="str">
        <f>'DATOS ETIQ'!J$6</f>
        <v/>
      </c>
      <c r="B36" s="808"/>
      <c r="C36" s="359"/>
      <c r="D36" s="808" t="str">
        <f t="shared" si="5"/>
        <v/>
      </c>
      <c r="E36" s="808"/>
      <c r="J36" s="356"/>
      <c r="N36" s="580">
        <v>33</v>
      </c>
      <c r="O36" s="580" t="str">
        <f t="shared" si="3"/>
        <v/>
      </c>
      <c r="P36" s="580" t="str">
        <f>IFERROR('FR PD 001 V1'!T38,"")</f>
        <v/>
      </c>
      <c r="Q36" s="579" t="str">
        <f t="shared" si="4"/>
        <v/>
      </c>
      <c r="R36" s="579">
        <f t="shared" si="1"/>
        <v>0</v>
      </c>
      <c r="S36" s="579">
        <f t="shared" si="2"/>
        <v>0</v>
      </c>
    </row>
    <row r="37" spans="1:19" ht="9.75" customHeight="1" thickBot="1">
      <c r="A37" s="808" t="str">
        <f>'DATOS ETIQ'!Z6</f>
        <v>ID :0   F. Nac:  00ENE00</v>
      </c>
      <c r="B37" s="808"/>
      <c r="C37" s="359"/>
      <c r="D37" s="808" t="str">
        <f t="shared" si="5"/>
        <v>ID :0   F. Nac:  00ENE00</v>
      </c>
      <c r="E37" s="808"/>
      <c r="J37" s="356"/>
      <c r="N37" s="580">
        <v>34</v>
      </c>
      <c r="O37" s="580" t="str">
        <f t="shared" si="3"/>
        <v/>
      </c>
      <c r="P37" s="580" t="str">
        <f>IFERROR('FR PD 001 V1'!T39,"")</f>
        <v/>
      </c>
      <c r="Q37" s="579" t="str">
        <f t="shared" si="4"/>
        <v/>
      </c>
      <c r="R37" s="579">
        <f t="shared" si="1"/>
        <v>0</v>
      </c>
      <c r="S37" s="579">
        <f t="shared" si="2"/>
        <v>0</v>
      </c>
    </row>
    <row r="38" spans="1:19" ht="9.75" customHeight="1">
      <c r="A38" s="360" t="e">
        <f>'DATOS ETIQ'!B$6&amp;"   "&amp;'DATOS ETIQ'!S$6</f>
        <v>#N/A</v>
      </c>
      <c r="B38" s="361" t="e">
        <f>'DATOS ETIQ'!W$6</f>
        <v>#N/A</v>
      </c>
      <c r="D38" s="360" t="e">
        <f t="shared" si="5"/>
        <v>#N/A</v>
      </c>
      <c r="E38" s="361" t="e">
        <f>B38</f>
        <v>#N/A</v>
      </c>
      <c r="G38" s="800" t="e">
        <f>'FR PD 001 V1'!T10</f>
        <v>#N/A</v>
      </c>
      <c r="J38" s="800">
        <v>5</v>
      </c>
      <c r="N38" s="580">
        <v>35</v>
      </c>
      <c r="O38" s="580" t="str">
        <f t="shared" si="3"/>
        <v/>
      </c>
      <c r="P38" s="580" t="str">
        <f>IFERROR('FR PD 001 V1'!T40,"")</f>
        <v/>
      </c>
      <c r="Q38" s="579" t="str">
        <f t="shared" si="4"/>
        <v/>
      </c>
      <c r="R38" s="579">
        <f t="shared" si="1"/>
        <v>0</v>
      </c>
      <c r="S38" s="579">
        <f t="shared" si="2"/>
        <v>0</v>
      </c>
    </row>
    <row r="39" spans="1:19" ht="9.75" customHeight="1" thickBot="1">
      <c r="A39" s="808" t="e">
        <f>'DATOS ETIQ'!U6</f>
        <v>#N/A</v>
      </c>
      <c r="B39" s="808"/>
      <c r="C39" s="359"/>
      <c r="D39" s="808" t="e">
        <f t="shared" si="5"/>
        <v>#N/A</v>
      </c>
      <c r="E39" s="808"/>
      <c r="G39" s="801"/>
      <c r="J39" s="801"/>
      <c r="N39" s="580">
        <v>36</v>
      </c>
      <c r="O39" s="580" t="str">
        <f t="shared" si="3"/>
        <v/>
      </c>
      <c r="P39" s="580" t="str">
        <f>IFERROR('FR PD 001 V1'!T41,"")</f>
        <v/>
      </c>
      <c r="Q39" s="579" t="str">
        <f t="shared" si="4"/>
        <v/>
      </c>
      <c r="R39" s="579">
        <f t="shared" si="1"/>
        <v>0</v>
      </c>
      <c r="S39" s="579">
        <f t="shared" si="2"/>
        <v>0</v>
      </c>
    </row>
    <row r="40" spans="1:19" s="364" customFormat="1" ht="9.75" customHeight="1">
      <c r="A40" s="809" t="e">
        <f ca="1">"F.Elab: "&amp;TEXT('FORMATO DIL'!$B$5,"dd/mm/yy")&amp;"       FVto: "&amp;TEXT('DATOS ETIQ'!T$6,"dd/mm/yy")</f>
        <v>#N/A</v>
      </c>
      <c r="B40" s="809"/>
      <c r="C40" s="363"/>
      <c r="D40" s="809" t="e">
        <f t="shared" ca="1" si="5"/>
        <v>#N/A</v>
      </c>
      <c r="E40" s="809"/>
      <c r="J40" s="365"/>
      <c r="N40" s="580">
        <v>37</v>
      </c>
      <c r="O40" s="580" t="str">
        <f t="shared" si="3"/>
        <v/>
      </c>
      <c r="P40" s="580" t="str">
        <f>IFERROR('FR PD 001 V1'!T42,"")</f>
        <v/>
      </c>
      <c r="Q40" s="579" t="str">
        <f t="shared" si="4"/>
        <v/>
      </c>
      <c r="R40" s="579">
        <f t="shared" si="1"/>
        <v>0</v>
      </c>
      <c r="S40" s="579">
        <f t="shared" si="2"/>
        <v>0</v>
      </c>
    </row>
    <row r="41" spans="1:19" s="364" customFormat="1" ht="9.75" customHeight="1">
      <c r="A41" s="809" t="str">
        <f>"Lt: "&amp;'DATOS ETIQ'!I$6</f>
        <v xml:space="preserve">Lt: </v>
      </c>
      <c r="B41" s="809"/>
      <c r="C41" s="363"/>
      <c r="D41" s="809" t="str">
        <f>A41</f>
        <v xml:space="preserve">Lt: </v>
      </c>
      <c r="E41" s="809"/>
      <c r="J41" s="365"/>
      <c r="N41" s="580">
        <v>38</v>
      </c>
      <c r="O41" s="580" t="str">
        <f t="shared" si="3"/>
        <v/>
      </c>
      <c r="P41" s="580" t="str">
        <f>IFERROR('FR PD 001 V1'!T43,"")</f>
        <v/>
      </c>
      <c r="Q41" s="579" t="str">
        <f t="shared" si="4"/>
        <v/>
      </c>
      <c r="R41" s="579">
        <f t="shared" si="1"/>
        <v>0</v>
      </c>
      <c r="S41" s="579">
        <f t="shared" si="2"/>
        <v>0</v>
      </c>
    </row>
    <row r="42" spans="1:19" s="366" customFormat="1" ht="9.75" customHeight="1">
      <c r="A42" s="807" t="str">
        <f>"QFP: "&amp;'DATOS ETIQ'!L$6&amp;"   QFV: "&amp;'DATOS ETIQ'!M$6</f>
        <v>QFP: JGARCIA   QFV: ADELTORO</v>
      </c>
      <c r="B42" s="807"/>
      <c r="C42" s="355"/>
      <c r="D42" s="807" t="str">
        <f t="shared" si="5"/>
        <v>QFP: JGARCIA   QFV: ADELTORO</v>
      </c>
      <c r="E42" s="807"/>
      <c r="J42" s="367"/>
      <c r="N42" s="580">
        <v>39</v>
      </c>
      <c r="O42" s="580" t="str">
        <f t="shared" si="3"/>
        <v/>
      </c>
      <c r="P42" s="580" t="str">
        <f>IFERROR('FR PD 001 V1'!T44,"")</f>
        <v/>
      </c>
      <c r="Q42" s="579" t="str">
        <f t="shared" si="4"/>
        <v/>
      </c>
      <c r="R42" s="579">
        <f t="shared" si="1"/>
        <v>0</v>
      </c>
      <c r="S42" s="579">
        <f t="shared" si="2"/>
        <v>0</v>
      </c>
    </row>
    <row r="43" spans="1:19" s="366" customFormat="1" ht="9.75" customHeight="1">
      <c r="A43" s="807" t="s">
        <v>1390</v>
      </c>
      <c r="B43" s="807"/>
      <c r="C43" s="355"/>
      <c r="D43" s="807" t="str">
        <f t="shared" si="5"/>
        <v>H. SAN JOSE CENTRO</v>
      </c>
      <c r="E43" s="807"/>
      <c r="J43" s="367"/>
      <c r="N43" s="580">
        <v>40</v>
      </c>
      <c r="O43" s="580" t="str">
        <f t="shared" si="3"/>
        <v/>
      </c>
      <c r="P43" s="580" t="str">
        <f>IFERROR('FR PD 001 V1'!T45,"")</f>
        <v/>
      </c>
      <c r="Q43" s="579" t="str">
        <f t="shared" si="4"/>
        <v/>
      </c>
      <c r="R43" s="579">
        <f t="shared" si="1"/>
        <v>0</v>
      </c>
      <c r="S43" s="579">
        <f t="shared" si="2"/>
        <v>0</v>
      </c>
    </row>
    <row r="44" spans="1:19" ht="9.75" customHeight="1">
      <c r="A44" s="808" t="str">
        <f>'DATOS ETIQ'!J$7</f>
        <v/>
      </c>
      <c r="B44" s="808"/>
      <c r="C44" s="359"/>
      <c r="D44" s="808" t="str">
        <f t="shared" si="5"/>
        <v/>
      </c>
      <c r="E44" s="808"/>
      <c r="J44" s="356"/>
      <c r="N44" s="580">
        <v>41</v>
      </c>
      <c r="O44" s="580" t="str">
        <f t="shared" si="3"/>
        <v/>
      </c>
      <c r="P44" s="580" t="str">
        <f>IFERROR('FR PD 001 V1'!T46,"")</f>
        <v/>
      </c>
      <c r="Q44" s="579" t="str">
        <f t="shared" si="4"/>
        <v/>
      </c>
      <c r="R44" s="579">
        <f t="shared" si="1"/>
        <v>0</v>
      </c>
      <c r="S44" s="579">
        <f t="shared" si="2"/>
        <v>0</v>
      </c>
    </row>
    <row r="45" spans="1:19" ht="9.75" customHeight="1" thickBot="1">
      <c r="A45" s="808" t="str">
        <f>'DATOS ETIQ'!Z7</f>
        <v>ID :0   F. Nac:  00ENE00</v>
      </c>
      <c r="B45" s="808"/>
      <c r="C45" s="359"/>
      <c r="D45" s="808" t="str">
        <f t="shared" si="5"/>
        <v>ID :0   F. Nac:  00ENE00</v>
      </c>
      <c r="E45" s="808"/>
      <c r="J45" s="356"/>
      <c r="N45" s="580">
        <v>42</v>
      </c>
      <c r="O45" s="580" t="str">
        <f t="shared" si="3"/>
        <v/>
      </c>
      <c r="P45" s="580" t="str">
        <f>IFERROR('FR PD 001 V1'!T47,"")</f>
        <v/>
      </c>
      <c r="Q45" s="579" t="str">
        <f t="shared" si="4"/>
        <v/>
      </c>
      <c r="R45" s="579">
        <f t="shared" si="1"/>
        <v>0</v>
      </c>
      <c r="S45" s="579">
        <f t="shared" si="2"/>
        <v>0</v>
      </c>
    </row>
    <row r="46" spans="1:19" ht="9.75" customHeight="1">
      <c r="A46" s="360" t="e">
        <f>'DATOS ETIQ'!B$7&amp;"   "&amp;'DATOS ETIQ'!S$7</f>
        <v>#N/A</v>
      </c>
      <c r="B46" s="361" t="e">
        <f>'DATOS ETIQ'!W$7</f>
        <v>#N/A</v>
      </c>
      <c r="D46" s="360" t="e">
        <f t="shared" si="5"/>
        <v>#N/A</v>
      </c>
      <c r="E46" s="361" t="e">
        <f>B46</f>
        <v>#N/A</v>
      </c>
      <c r="G46" s="800" t="e">
        <f>'FR PD 001 V1'!T11</f>
        <v>#N/A</v>
      </c>
      <c r="J46" s="800">
        <v>6</v>
      </c>
      <c r="N46" s="580">
        <v>43</v>
      </c>
      <c r="O46" s="580" t="str">
        <f t="shared" si="3"/>
        <v/>
      </c>
      <c r="P46" s="580" t="str">
        <f>IFERROR('FR PD 001 V1'!T48,"")</f>
        <v/>
      </c>
      <c r="Q46" s="579" t="str">
        <f t="shared" si="4"/>
        <v/>
      </c>
      <c r="R46" s="579">
        <f t="shared" si="1"/>
        <v>0</v>
      </c>
      <c r="S46" s="579">
        <f t="shared" si="2"/>
        <v>0</v>
      </c>
    </row>
    <row r="47" spans="1:19" ht="9.75" customHeight="1" thickBot="1">
      <c r="A47" s="808" t="e">
        <f>'DATOS ETIQ'!U7</f>
        <v>#N/A</v>
      </c>
      <c r="B47" s="808"/>
      <c r="C47" s="359"/>
      <c r="D47" s="808" t="e">
        <f t="shared" si="5"/>
        <v>#N/A</v>
      </c>
      <c r="E47" s="808"/>
      <c r="G47" s="801"/>
      <c r="J47" s="801"/>
      <c r="N47" s="580">
        <v>44</v>
      </c>
      <c r="O47" s="580" t="str">
        <f t="shared" si="3"/>
        <v/>
      </c>
      <c r="P47" s="580" t="str">
        <f>IFERROR('FR PD 001 V1'!T49,"")</f>
        <v/>
      </c>
      <c r="Q47" s="579" t="str">
        <f t="shared" si="4"/>
        <v/>
      </c>
      <c r="R47" s="579">
        <f t="shared" si="1"/>
        <v>0</v>
      </c>
      <c r="S47" s="579">
        <f t="shared" si="2"/>
        <v>0</v>
      </c>
    </row>
    <row r="48" spans="1:19" s="364" customFormat="1" ht="9.75" customHeight="1">
      <c r="A48" s="809" t="e">
        <f ca="1">"F.Elab: "&amp;TEXT('FORMATO DIL'!$B$5,"dd/mm/yy")&amp;"       FVto: "&amp;TEXT('DATOS ETIQ'!T$7,"dd/mm/yy")</f>
        <v>#N/A</v>
      </c>
      <c r="B48" s="809"/>
      <c r="C48" s="363"/>
      <c r="D48" s="809" t="e">
        <f t="shared" ca="1" si="5"/>
        <v>#N/A</v>
      </c>
      <c r="E48" s="809"/>
      <c r="J48" s="365"/>
      <c r="N48" s="64"/>
      <c r="O48" s="350"/>
      <c r="P48" s="64"/>
      <c r="Q48" s="64"/>
      <c r="R48" s="64"/>
      <c r="S48" s="64"/>
    </row>
    <row r="49" spans="1:19" s="364" customFormat="1" ht="9.75" customHeight="1">
      <c r="A49" s="809" t="str">
        <f>"Lt: "&amp;'DATOS ETIQ'!I$7</f>
        <v xml:space="preserve">Lt: </v>
      </c>
      <c r="B49" s="809"/>
      <c r="C49" s="363"/>
      <c r="D49" s="809" t="str">
        <f>A49</f>
        <v xml:space="preserve">Lt: </v>
      </c>
      <c r="E49" s="809"/>
      <c r="J49" s="365"/>
      <c r="N49" s="64"/>
      <c r="O49" s="350"/>
      <c r="P49" s="64"/>
      <c r="Q49" s="64"/>
      <c r="R49" s="64"/>
      <c r="S49" s="64"/>
    </row>
    <row r="50" spans="1:19" s="366" customFormat="1" ht="9.75" customHeight="1">
      <c r="A50" s="807" t="str">
        <f>"QFP: "&amp;'DATOS ETIQ'!L$7&amp;"   QFV: "&amp;'DATOS ETIQ'!M$7</f>
        <v>QFP: JGARCIA   QFV: ADELTORO</v>
      </c>
      <c r="B50" s="807"/>
      <c r="C50" s="355"/>
      <c r="D50" s="807" t="str">
        <f t="shared" si="5"/>
        <v>QFP: JGARCIA   QFV: ADELTORO</v>
      </c>
      <c r="E50" s="807"/>
      <c r="J50" s="367"/>
      <c r="N50" s="64"/>
      <c r="O50" s="350"/>
      <c r="P50" s="64"/>
      <c r="Q50" s="64"/>
      <c r="R50" s="64"/>
      <c r="S50" s="64"/>
    </row>
    <row r="51" spans="1:19" s="366" customFormat="1" ht="9.75" customHeight="1">
      <c r="A51" s="807" t="s">
        <v>1390</v>
      </c>
      <c r="B51" s="807"/>
      <c r="C51" s="355"/>
      <c r="D51" s="807" t="str">
        <f t="shared" si="5"/>
        <v>H. SAN JOSE CENTRO</v>
      </c>
      <c r="E51" s="807"/>
      <c r="J51" s="367"/>
      <c r="N51" s="64"/>
      <c r="O51" s="350"/>
      <c r="P51" s="64"/>
      <c r="Q51" s="64"/>
      <c r="R51" s="64"/>
      <c r="S51" s="64"/>
    </row>
    <row r="52" spans="1:19" ht="9.75" customHeight="1">
      <c r="A52" s="808" t="str">
        <f>'DATOS ETIQ'!J$8</f>
        <v/>
      </c>
      <c r="B52" s="808"/>
      <c r="C52" s="359"/>
      <c r="D52" s="808" t="str">
        <f t="shared" si="5"/>
        <v/>
      </c>
      <c r="E52" s="808"/>
      <c r="J52" s="356"/>
      <c r="N52" s="404"/>
      <c r="O52" s="404"/>
      <c r="P52" s="404"/>
      <c r="Q52" s="404"/>
      <c r="R52" s="404"/>
      <c r="S52" s="404"/>
    </row>
    <row r="53" spans="1:19" ht="9.75" customHeight="1" thickBot="1">
      <c r="A53" s="808" t="str">
        <f>'DATOS ETIQ'!Z8</f>
        <v>ID :0   F. Nac:  00ENE00</v>
      </c>
      <c r="B53" s="808"/>
      <c r="C53" s="359"/>
      <c r="D53" s="808" t="str">
        <f t="shared" si="5"/>
        <v>ID :0   F. Nac:  00ENE00</v>
      </c>
      <c r="E53" s="808"/>
      <c r="J53" s="356"/>
      <c r="O53" s="350"/>
    </row>
    <row r="54" spans="1:19" ht="9.75" customHeight="1">
      <c r="A54" s="360" t="e">
        <f>'DATOS ETIQ'!B$8&amp;"   "&amp;'DATOS ETIQ'!S$8</f>
        <v>#N/A</v>
      </c>
      <c r="B54" s="361" t="e">
        <f>'DATOS ETIQ'!W$8</f>
        <v>#N/A</v>
      </c>
      <c r="D54" s="360" t="e">
        <f t="shared" si="5"/>
        <v>#N/A</v>
      </c>
      <c r="E54" s="361" t="e">
        <f>B54</f>
        <v>#N/A</v>
      </c>
      <c r="G54" s="800" t="e">
        <f>'FR PD 001 V1'!T12</f>
        <v>#N/A</v>
      </c>
      <c r="J54" s="800">
        <v>7</v>
      </c>
      <c r="O54" s="350"/>
    </row>
    <row r="55" spans="1:19" ht="9.75" customHeight="1" thickBot="1">
      <c r="A55" s="808" t="e">
        <f>'DATOS ETIQ'!U8</f>
        <v>#N/A</v>
      </c>
      <c r="B55" s="808"/>
      <c r="C55" s="359"/>
      <c r="D55" s="808" t="e">
        <f t="shared" si="5"/>
        <v>#N/A</v>
      </c>
      <c r="E55" s="808"/>
      <c r="G55" s="801"/>
      <c r="J55" s="801"/>
      <c r="O55" s="350"/>
    </row>
    <row r="56" spans="1:19" s="364" customFormat="1" ht="9.75" customHeight="1">
      <c r="A56" s="809" t="e">
        <f ca="1">"F.Elab: "&amp;TEXT('FORMATO DIL'!$B$5,"dd/mm/yy")&amp;"       FVto: "&amp;TEXT('DATOS ETIQ'!T$8,"dd/mm/yy")</f>
        <v>#N/A</v>
      </c>
      <c r="B56" s="809"/>
      <c r="C56" s="363"/>
      <c r="D56" s="809" t="e">
        <f t="shared" ca="1" si="5"/>
        <v>#N/A</v>
      </c>
      <c r="E56" s="809"/>
      <c r="J56" s="365"/>
      <c r="N56" s="64"/>
      <c r="O56" s="350"/>
      <c r="P56" s="64"/>
      <c r="Q56" s="64"/>
      <c r="R56" s="64"/>
      <c r="S56" s="64"/>
    </row>
    <row r="57" spans="1:19" s="364" customFormat="1" ht="9.75" customHeight="1">
      <c r="A57" s="809" t="str">
        <f>"Lt: "&amp;'DATOS ETIQ'!I$8</f>
        <v xml:space="preserve">Lt: </v>
      </c>
      <c r="B57" s="809"/>
      <c r="C57" s="363"/>
      <c r="D57" s="809" t="str">
        <f>A57</f>
        <v xml:space="preserve">Lt: </v>
      </c>
      <c r="E57" s="809"/>
      <c r="J57" s="365"/>
      <c r="N57" s="64"/>
      <c r="O57" s="350"/>
      <c r="P57" s="64"/>
      <c r="Q57" s="64"/>
      <c r="R57" s="64"/>
      <c r="S57" s="64"/>
    </row>
    <row r="58" spans="1:19" s="366" customFormat="1" ht="9.75" customHeight="1">
      <c r="A58" s="807" t="str">
        <f>"QFP: "&amp;'DATOS ETIQ'!L$8&amp;"   QFV: "&amp;'DATOS ETIQ'!M$8</f>
        <v>QFP: JGARCIA   QFV: ADELTORO</v>
      </c>
      <c r="B58" s="807"/>
      <c r="C58" s="355"/>
      <c r="D58" s="807" t="str">
        <f t="shared" si="5"/>
        <v>QFP: JGARCIA   QFV: ADELTORO</v>
      </c>
      <c r="E58" s="807"/>
      <c r="J58" s="367"/>
      <c r="N58" s="64"/>
      <c r="O58" s="350"/>
      <c r="P58" s="64"/>
      <c r="Q58" s="64"/>
      <c r="R58" s="64"/>
      <c r="S58" s="64"/>
    </row>
    <row r="59" spans="1:19" s="366" customFormat="1" ht="9.75" customHeight="1">
      <c r="A59" s="807" t="s">
        <v>1390</v>
      </c>
      <c r="B59" s="807"/>
      <c r="C59" s="355"/>
      <c r="D59" s="807" t="str">
        <f t="shared" si="5"/>
        <v>H. SAN JOSE CENTRO</v>
      </c>
      <c r="E59" s="807"/>
      <c r="J59" s="367"/>
      <c r="N59" s="64"/>
      <c r="O59" s="350"/>
      <c r="P59" s="64"/>
      <c r="Q59" s="64"/>
      <c r="R59" s="64"/>
      <c r="S59" s="64"/>
    </row>
    <row r="60" spans="1:19" ht="9.75" customHeight="1">
      <c r="A60" s="808" t="str">
        <f>'DATOS ETIQ'!J$9</f>
        <v/>
      </c>
      <c r="B60" s="808"/>
      <c r="C60" s="359"/>
      <c r="D60" s="808" t="str">
        <f t="shared" si="5"/>
        <v/>
      </c>
      <c r="E60" s="808"/>
      <c r="J60" s="356"/>
      <c r="N60" s="404"/>
      <c r="O60" s="404"/>
      <c r="P60" s="404"/>
      <c r="Q60" s="404"/>
      <c r="R60" s="404"/>
      <c r="S60" s="404"/>
    </row>
    <row r="61" spans="1:19" ht="9.75" customHeight="1" thickBot="1">
      <c r="A61" s="808" t="str">
        <f>'DATOS ETIQ'!Z9</f>
        <v>ID :0   F. Nac:  00ENE00</v>
      </c>
      <c r="B61" s="808"/>
      <c r="C61" s="359"/>
      <c r="D61" s="808" t="str">
        <f t="shared" si="5"/>
        <v>ID :0   F. Nac:  00ENE00</v>
      </c>
      <c r="E61" s="808"/>
      <c r="J61" s="356"/>
      <c r="O61" s="350"/>
    </row>
    <row r="62" spans="1:19" ht="9.75" customHeight="1">
      <c r="A62" s="360" t="e">
        <f>'DATOS ETIQ'!B$9&amp;"   "&amp;'DATOS ETIQ'!S$9</f>
        <v>#N/A</v>
      </c>
      <c r="B62" s="361" t="e">
        <f>'DATOS ETIQ'!W$9</f>
        <v>#N/A</v>
      </c>
      <c r="D62" s="360" t="e">
        <f t="shared" si="5"/>
        <v>#N/A</v>
      </c>
      <c r="E62" s="361" t="e">
        <f>B62</f>
        <v>#N/A</v>
      </c>
      <c r="G62" s="800" t="e">
        <f>'FR PD 001 V1'!T13</f>
        <v>#N/A</v>
      </c>
      <c r="J62" s="800">
        <v>8</v>
      </c>
      <c r="O62" s="350"/>
    </row>
    <row r="63" spans="1:19" ht="9.75" customHeight="1" thickBot="1">
      <c r="A63" s="808" t="e">
        <f>'DATOS ETIQ'!U9</f>
        <v>#N/A</v>
      </c>
      <c r="B63" s="808"/>
      <c r="C63" s="359"/>
      <c r="D63" s="808" t="e">
        <f t="shared" si="5"/>
        <v>#N/A</v>
      </c>
      <c r="E63" s="808"/>
      <c r="G63" s="801"/>
      <c r="J63" s="801"/>
      <c r="O63" s="350"/>
    </row>
    <row r="64" spans="1:19" s="364" customFormat="1" ht="9.75" customHeight="1">
      <c r="A64" s="809" t="e">
        <f ca="1">"F.Elab: "&amp;TEXT('FORMATO DIL'!$B$5,"dd/mm/yy")&amp;"       FVto: "&amp;TEXT('DATOS ETIQ'!T$9,"dd/mm/yy")</f>
        <v>#N/A</v>
      </c>
      <c r="B64" s="809"/>
      <c r="C64" s="363"/>
      <c r="D64" s="809" t="e">
        <f t="shared" ca="1" si="5"/>
        <v>#N/A</v>
      </c>
      <c r="E64" s="809"/>
      <c r="J64" s="365"/>
      <c r="N64" s="64"/>
      <c r="O64" s="350"/>
      <c r="P64" s="64"/>
      <c r="Q64" s="64"/>
      <c r="R64" s="64"/>
      <c r="S64" s="64"/>
    </row>
    <row r="65" spans="1:19" s="364" customFormat="1" ht="9.75" customHeight="1">
      <c r="A65" s="809" t="str">
        <f>"Lt: "&amp;'DATOS ETIQ'!I$9</f>
        <v xml:space="preserve">Lt: </v>
      </c>
      <c r="B65" s="809"/>
      <c r="C65" s="363"/>
      <c r="D65" s="809" t="str">
        <f>A65</f>
        <v xml:space="preserve">Lt: </v>
      </c>
      <c r="E65" s="809"/>
      <c r="J65" s="365"/>
      <c r="N65" s="64"/>
      <c r="O65" s="350"/>
      <c r="P65" s="64"/>
      <c r="Q65" s="64"/>
      <c r="R65" s="64"/>
      <c r="S65" s="64"/>
    </row>
    <row r="66" spans="1:19" s="366" customFormat="1" ht="9.75" customHeight="1">
      <c r="A66" s="807" t="str">
        <f>"QFP: "&amp;'DATOS ETIQ'!L$9&amp;"   QFV: "&amp;'DATOS ETIQ'!M$9</f>
        <v>QFP: JGARCIA   QFV: ADELTORO</v>
      </c>
      <c r="B66" s="807"/>
      <c r="C66" s="355"/>
      <c r="D66" s="807" t="str">
        <f t="shared" si="5"/>
        <v>QFP: JGARCIA   QFV: ADELTORO</v>
      </c>
      <c r="E66" s="807"/>
      <c r="J66" s="367"/>
      <c r="N66" s="64"/>
      <c r="O66" s="350"/>
      <c r="P66" s="64"/>
      <c r="Q66" s="64"/>
      <c r="R66" s="64"/>
      <c r="S66" s="64"/>
    </row>
    <row r="67" spans="1:19" s="366" customFormat="1" ht="9.75" customHeight="1">
      <c r="A67" s="807" t="s">
        <v>1390</v>
      </c>
      <c r="B67" s="807"/>
      <c r="C67" s="355"/>
      <c r="D67" s="807" t="str">
        <f t="shared" si="5"/>
        <v>H. SAN JOSE CENTRO</v>
      </c>
      <c r="E67" s="807"/>
      <c r="J67" s="367"/>
      <c r="N67" s="64"/>
      <c r="O67" s="350"/>
      <c r="P67" s="64"/>
      <c r="Q67" s="64"/>
      <c r="R67" s="64"/>
      <c r="S67" s="64"/>
    </row>
    <row r="68" spans="1:19" ht="9.75" customHeight="1">
      <c r="A68" s="808" t="str">
        <f>'DATOS ETIQ'!J$10</f>
        <v/>
      </c>
      <c r="B68" s="808"/>
      <c r="C68" s="359"/>
      <c r="D68" s="808" t="str">
        <f t="shared" si="5"/>
        <v/>
      </c>
      <c r="E68" s="808"/>
      <c r="J68" s="356"/>
      <c r="N68" s="404"/>
      <c r="O68" s="404"/>
      <c r="P68" s="404"/>
      <c r="Q68" s="404"/>
      <c r="R68" s="404"/>
      <c r="S68" s="404"/>
    </row>
    <row r="69" spans="1:19" ht="9.75" customHeight="1" thickBot="1">
      <c r="A69" s="808" t="str">
        <f>'DATOS ETIQ'!Z10</f>
        <v>ID :0   F. Nac:  00ENE00</v>
      </c>
      <c r="B69" s="808"/>
      <c r="C69" s="359"/>
      <c r="D69" s="808" t="str">
        <f t="shared" si="5"/>
        <v>ID :0   F. Nac:  00ENE00</v>
      </c>
      <c r="E69" s="808"/>
      <c r="J69" s="356"/>
      <c r="O69" s="350"/>
    </row>
    <row r="70" spans="1:19" ht="9.75" customHeight="1">
      <c r="A70" s="360" t="e">
        <f>'DATOS ETIQ'!B$10&amp;"   "&amp;'DATOS ETIQ'!S$10</f>
        <v>#N/A</v>
      </c>
      <c r="B70" s="361" t="e">
        <f>'DATOS ETIQ'!W$10</f>
        <v>#N/A</v>
      </c>
      <c r="D70" s="360" t="e">
        <f t="shared" si="5"/>
        <v>#N/A</v>
      </c>
      <c r="E70" s="361" t="e">
        <f>B70</f>
        <v>#N/A</v>
      </c>
      <c r="G70" s="800" t="e">
        <f>'FR PD 001 V1'!T14</f>
        <v>#N/A</v>
      </c>
      <c r="J70" s="800">
        <v>9</v>
      </c>
      <c r="O70" s="350"/>
    </row>
    <row r="71" spans="1:19" ht="9.75" customHeight="1" thickBot="1">
      <c r="A71" s="808" t="e">
        <f>'DATOS ETIQ'!U10</f>
        <v>#N/A</v>
      </c>
      <c r="B71" s="808"/>
      <c r="C71" s="359"/>
      <c r="D71" s="808" t="e">
        <f t="shared" si="5"/>
        <v>#N/A</v>
      </c>
      <c r="E71" s="808"/>
      <c r="G71" s="801"/>
      <c r="J71" s="801"/>
      <c r="O71" s="350"/>
    </row>
    <row r="72" spans="1:19" s="364" customFormat="1" ht="9.75" customHeight="1">
      <c r="A72" s="809" t="e">
        <f ca="1">"F.Elab: "&amp;TEXT('FORMATO DIL'!$B$5,"dd/mm/yy")&amp;"       FVto: "&amp;TEXT('DATOS ETIQ'!T$10,"dd/mm/yy")</f>
        <v>#N/A</v>
      </c>
      <c r="B72" s="809"/>
      <c r="C72" s="363"/>
      <c r="D72" s="809" t="e">
        <f t="shared" ca="1" si="5"/>
        <v>#N/A</v>
      </c>
      <c r="E72" s="809"/>
      <c r="J72" s="365"/>
      <c r="N72" s="64"/>
      <c r="O72" s="350"/>
      <c r="P72" s="64"/>
      <c r="Q72" s="64"/>
      <c r="R72" s="64"/>
      <c r="S72" s="64"/>
    </row>
    <row r="73" spans="1:19" s="364" customFormat="1" ht="9.75" customHeight="1">
      <c r="A73" s="809" t="str">
        <f>"Lt: "&amp;'DATOS ETIQ'!I$10</f>
        <v xml:space="preserve">Lt: </v>
      </c>
      <c r="B73" s="809"/>
      <c r="C73" s="363"/>
      <c r="D73" s="809" t="str">
        <f>A73</f>
        <v xml:space="preserve">Lt: </v>
      </c>
      <c r="E73" s="809"/>
      <c r="J73" s="365"/>
      <c r="N73" s="64"/>
      <c r="O73" s="350"/>
      <c r="P73" s="64"/>
      <c r="Q73" s="64"/>
      <c r="R73" s="64"/>
      <c r="S73" s="64"/>
    </row>
    <row r="74" spans="1:19" s="366" customFormat="1" ht="9.75" customHeight="1">
      <c r="A74" s="807" t="str">
        <f>"QFP: "&amp;'DATOS ETIQ'!L$10&amp;"   QFV: "&amp;'DATOS ETIQ'!M$10</f>
        <v>QFP: JGARCIA   QFV: ADELTORO</v>
      </c>
      <c r="B74" s="807"/>
      <c r="C74" s="355"/>
      <c r="D74" s="807" t="str">
        <f t="shared" si="5"/>
        <v>QFP: JGARCIA   QFV: ADELTORO</v>
      </c>
      <c r="E74" s="807"/>
      <c r="J74" s="367"/>
      <c r="N74" s="64"/>
      <c r="O74" s="350"/>
      <c r="P74" s="64"/>
      <c r="Q74" s="64"/>
      <c r="R74" s="64"/>
      <c r="S74" s="64"/>
    </row>
    <row r="75" spans="1:19" s="366" customFormat="1" ht="9.75" customHeight="1">
      <c r="A75" s="807" t="s">
        <v>1390</v>
      </c>
      <c r="B75" s="807"/>
      <c r="C75" s="355"/>
      <c r="D75" s="807" t="str">
        <f t="shared" si="5"/>
        <v>H. SAN JOSE CENTRO</v>
      </c>
      <c r="E75" s="807"/>
      <c r="J75" s="367"/>
      <c r="N75" s="64"/>
      <c r="O75" s="350"/>
      <c r="P75" s="64"/>
      <c r="Q75" s="64"/>
      <c r="R75" s="64"/>
      <c r="S75" s="64"/>
    </row>
    <row r="76" spans="1:19" ht="9.75" customHeight="1">
      <c r="A76" s="808" t="str">
        <f>'DATOS ETIQ'!J$11</f>
        <v/>
      </c>
      <c r="B76" s="808"/>
      <c r="C76" s="359"/>
      <c r="D76" s="808" t="str">
        <f t="shared" si="5"/>
        <v/>
      </c>
      <c r="E76" s="808"/>
      <c r="J76" s="356"/>
      <c r="N76" s="404"/>
      <c r="O76" s="404"/>
      <c r="P76" s="404"/>
      <c r="Q76" s="404"/>
      <c r="R76" s="404"/>
      <c r="S76" s="404"/>
    </row>
    <row r="77" spans="1:19" ht="9.75" customHeight="1" thickBot="1">
      <c r="A77" s="808" t="str">
        <f>'DATOS ETIQ'!Z11</f>
        <v>ID :0   F. Nac:  00ENE00</v>
      </c>
      <c r="B77" s="808"/>
      <c r="C77" s="359"/>
      <c r="D77" s="808" t="str">
        <f t="shared" si="5"/>
        <v>ID :0   F. Nac:  00ENE00</v>
      </c>
      <c r="E77" s="808"/>
      <c r="J77" s="356"/>
      <c r="O77" s="350"/>
    </row>
    <row r="78" spans="1:19" ht="9.75" customHeight="1">
      <c r="A78" s="360" t="e">
        <f>'DATOS ETIQ'!B$11&amp;"   "&amp;'DATOS ETIQ'!S$11</f>
        <v>#N/A</v>
      </c>
      <c r="B78" s="361" t="e">
        <f>'DATOS ETIQ'!W$11</f>
        <v>#N/A</v>
      </c>
      <c r="D78" s="360" t="e">
        <f t="shared" si="5"/>
        <v>#N/A</v>
      </c>
      <c r="E78" s="361" t="e">
        <f>B78</f>
        <v>#N/A</v>
      </c>
      <c r="G78" s="800" t="e">
        <f>'FR PD 001 V1'!T15</f>
        <v>#N/A</v>
      </c>
      <c r="J78" s="800">
        <v>10</v>
      </c>
      <c r="O78" s="350"/>
    </row>
    <row r="79" spans="1:19" ht="9.75" customHeight="1" thickBot="1">
      <c r="A79" s="808" t="e">
        <f>'DATOS ETIQ'!U11</f>
        <v>#N/A</v>
      </c>
      <c r="B79" s="808"/>
      <c r="C79" s="359"/>
      <c r="D79" s="808" t="e">
        <f t="shared" si="5"/>
        <v>#N/A</v>
      </c>
      <c r="E79" s="808"/>
      <c r="G79" s="801"/>
      <c r="J79" s="801"/>
      <c r="O79" s="350"/>
    </row>
    <row r="80" spans="1:19" s="364" customFormat="1" ht="9.75" customHeight="1">
      <c r="A80" s="809" t="e">
        <f ca="1">"F.Elab: "&amp;TEXT('FORMATO DIL'!$B$5,"dd/mm/yy")&amp;"       FVto: "&amp;TEXT('DATOS ETIQ'!T$11,"dd/mm/yy")</f>
        <v>#N/A</v>
      </c>
      <c r="B80" s="809"/>
      <c r="C80" s="363"/>
      <c r="D80" s="809" t="e">
        <f t="shared" ca="1" si="5"/>
        <v>#N/A</v>
      </c>
      <c r="E80" s="809"/>
      <c r="J80" s="365"/>
      <c r="N80" s="64"/>
      <c r="O80" s="350"/>
      <c r="P80" s="64"/>
      <c r="Q80" s="64"/>
      <c r="R80" s="64"/>
      <c r="S80" s="64"/>
    </row>
    <row r="81" spans="1:19" s="364" customFormat="1" ht="9.75" customHeight="1">
      <c r="A81" s="809" t="str">
        <f>"Lt: "&amp;'DATOS ETIQ'!I$11</f>
        <v xml:space="preserve">Lt: </v>
      </c>
      <c r="B81" s="809"/>
      <c r="C81" s="363"/>
      <c r="D81" s="809" t="str">
        <f>A81</f>
        <v xml:space="preserve">Lt: </v>
      </c>
      <c r="E81" s="809"/>
      <c r="J81" s="365"/>
      <c r="N81" s="64"/>
      <c r="O81" s="350"/>
      <c r="P81" s="64"/>
      <c r="Q81" s="64"/>
      <c r="R81" s="64"/>
      <c r="S81" s="64"/>
    </row>
    <row r="82" spans="1:19" s="366" customFormat="1" ht="9.75" customHeight="1">
      <c r="A82" s="807" t="str">
        <f>"QFP: "&amp;'DATOS ETIQ'!L$11&amp;"   QFV: "&amp;'DATOS ETIQ'!M$11</f>
        <v>QFP: JGARCIA   QFV: ADELTORO</v>
      </c>
      <c r="B82" s="807"/>
      <c r="C82" s="355"/>
      <c r="D82" s="807" t="str">
        <f t="shared" si="5"/>
        <v>QFP: JGARCIA   QFV: ADELTORO</v>
      </c>
      <c r="E82" s="807"/>
      <c r="J82" s="367"/>
      <c r="N82" s="64"/>
      <c r="O82" s="350"/>
      <c r="P82" s="64"/>
      <c r="Q82" s="64"/>
      <c r="R82" s="64"/>
      <c r="S82" s="64"/>
    </row>
    <row r="83" spans="1:19" s="366" customFormat="1" ht="9.75" customHeight="1">
      <c r="A83" s="807" t="s">
        <v>1390</v>
      </c>
      <c r="B83" s="807"/>
      <c r="C83" s="355"/>
      <c r="D83" s="807" t="str">
        <f t="shared" si="5"/>
        <v>H. SAN JOSE CENTRO</v>
      </c>
      <c r="E83" s="807"/>
      <c r="J83" s="367"/>
      <c r="N83" s="64"/>
      <c r="O83" s="350"/>
      <c r="P83" s="64"/>
      <c r="Q83" s="64"/>
      <c r="R83" s="64"/>
      <c r="S83" s="64"/>
    </row>
    <row r="84" spans="1:19" ht="9.75" customHeight="1">
      <c r="A84" s="808" t="str">
        <f>'DATOS ETIQ'!J$12</f>
        <v/>
      </c>
      <c r="B84" s="808"/>
      <c r="C84" s="359"/>
      <c r="D84" s="808" t="str">
        <f t="shared" si="5"/>
        <v/>
      </c>
      <c r="E84" s="808"/>
      <c r="J84" s="356"/>
      <c r="N84" s="404"/>
      <c r="O84" s="404"/>
      <c r="P84" s="404"/>
      <c r="Q84" s="404"/>
      <c r="R84" s="404"/>
      <c r="S84" s="404"/>
    </row>
    <row r="85" spans="1:19" ht="9.75" customHeight="1" thickBot="1">
      <c r="A85" s="808" t="str">
        <f>'DATOS ETIQ'!Z12</f>
        <v>ID :0   F. Nac:  00ENE00</v>
      </c>
      <c r="B85" s="808"/>
      <c r="C85" s="359"/>
      <c r="D85" s="808" t="str">
        <f t="shared" si="5"/>
        <v>ID :0   F. Nac:  00ENE00</v>
      </c>
      <c r="E85" s="808"/>
      <c r="J85" s="356"/>
      <c r="O85" s="350"/>
    </row>
    <row r="86" spans="1:19" ht="9.75" customHeight="1">
      <c r="A86" s="360" t="e">
        <f>'DATOS ETIQ'!B$12&amp;"   "&amp;'DATOS ETIQ'!S$12</f>
        <v>#N/A</v>
      </c>
      <c r="B86" s="361" t="e">
        <f>'DATOS ETIQ'!W$12</f>
        <v>#N/A</v>
      </c>
      <c r="D86" s="360" t="e">
        <f t="shared" si="5"/>
        <v>#N/A</v>
      </c>
      <c r="E86" s="361" t="e">
        <f>B86</f>
        <v>#N/A</v>
      </c>
      <c r="G86" s="800" t="e">
        <f>'FR PD 001 V1'!T16</f>
        <v>#N/A</v>
      </c>
      <c r="J86" s="800">
        <v>11</v>
      </c>
      <c r="O86" s="350"/>
    </row>
    <row r="87" spans="1:19" ht="9.75" customHeight="1" thickBot="1">
      <c r="A87" s="808" t="e">
        <f>'DATOS ETIQ'!U12</f>
        <v>#N/A</v>
      </c>
      <c r="B87" s="808"/>
      <c r="C87" s="359"/>
      <c r="D87" s="808" t="e">
        <f t="shared" si="5"/>
        <v>#N/A</v>
      </c>
      <c r="E87" s="808"/>
      <c r="G87" s="801"/>
      <c r="J87" s="801"/>
      <c r="O87" s="350"/>
    </row>
    <row r="88" spans="1:19" s="364" customFormat="1" ht="9.75" customHeight="1">
      <c r="A88" s="809" t="e">
        <f ca="1">"F.Elab: "&amp;TEXT('FORMATO DIL'!$B$5,"dd/mm/yy")&amp;"       FVto: "&amp;TEXT('DATOS ETIQ'!T$12,"dd/mm/yy")</f>
        <v>#N/A</v>
      </c>
      <c r="B88" s="809"/>
      <c r="C88" s="363"/>
      <c r="D88" s="809" t="e">
        <f t="shared" ca="1" si="5"/>
        <v>#N/A</v>
      </c>
      <c r="E88" s="809"/>
      <c r="J88" s="365"/>
      <c r="N88" s="64"/>
      <c r="O88" s="350"/>
      <c r="P88" s="64"/>
      <c r="Q88" s="64"/>
      <c r="R88" s="64"/>
      <c r="S88" s="64"/>
    </row>
    <row r="89" spans="1:19" s="364" customFormat="1" ht="9.75" customHeight="1">
      <c r="A89" s="809" t="str">
        <f>"Lt: "&amp;'DATOS ETIQ'!I$12</f>
        <v xml:space="preserve">Lt: </v>
      </c>
      <c r="B89" s="809"/>
      <c r="C89" s="363"/>
      <c r="D89" s="809" t="str">
        <f>A89</f>
        <v xml:space="preserve">Lt: </v>
      </c>
      <c r="E89" s="809"/>
      <c r="J89" s="365"/>
      <c r="N89" s="64"/>
      <c r="O89" s="350"/>
      <c r="P89" s="64"/>
      <c r="Q89" s="64"/>
      <c r="R89" s="64"/>
      <c r="S89" s="64"/>
    </row>
    <row r="90" spans="1:19" s="366" customFormat="1" ht="9.75" customHeight="1">
      <c r="A90" s="807" t="str">
        <f>"QFP: "&amp;'DATOS ETIQ'!L$12&amp;"   QFV: "&amp;'DATOS ETIQ'!M$12</f>
        <v>QFP: JGARCIA   QFV: ADELTORO</v>
      </c>
      <c r="B90" s="807"/>
      <c r="C90" s="355"/>
      <c r="D90" s="807" t="str">
        <f t="shared" si="5"/>
        <v>QFP: JGARCIA   QFV: ADELTORO</v>
      </c>
      <c r="E90" s="807"/>
      <c r="J90" s="367"/>
      <c r="N90" s="64"/>
      <c r="O90" s="350"/>
      <c r="P90" s="64"/>
      <c r="Q90" s="64"/>
      <c r="R90" s="64"/>
      <c r="S90" s="64"/>
    </row>
    <row r="91" spans="1:19" s="366" customFormat="1" ht="9.75" customHeight="1">
      <c r="A91" s="807" t="s">
        <v>1390</v>
      </c>
      <c r="B91" s="807"/>
      <c r="C91" s="355"/>
      <c r="D91" s="807" t="str">
        <f t="shared" ref="D91:D163" si="6">A91</f>
        <v>H. SAN JOSE CENTRO</v>
      </c>
      <c r="E91" s="807"/>
      <c r="J91" s="367"/>
      <c r="N91" s="64"/>
      <c r="O91" s="350"/>
      <c r="P91" s="64"/>
      <c r="Q91" s="64"/>
      <c r="R91" s="64"/>
      <c r="S91" s="64"/>
    </row>
    <row r="92" spans="1:19" ht="9.75" customHeight="1">
      <c r="A92" s="808" t="str">
        <f>'DATOS ETIQ'!J$13</f>
        <v/>
      </c>
      <c r="B92" s="808"/>
      <c r="C92" s="359"/>
      <c r="D92" s="808" t="str">
        <f t="shared" si="6"/>
        <v/>
      </c>
      <c r="E92" s="808"/>
      <c r="J92" s="356"/>
      <c r="N92" s="404"/>
      <c r="O92" s="404"/>
      <c r="P92" s="404"/>
      <c r="Q92" s="404"/>
      <c r="R92" s="404"/>
      <c r="S92" s="404"/>
    </row>
    <row r="93" spans="1:19" ht="9.75" customHeight="1" thickBot="1">
      <c r="A93" s="808" t="str">
        <f>'DATOS ETIQ'!Z13</f>
        <v>ID :0   F. Nac:  00ENE00</v>
      </c>
      <c r="B93" s="808"/>
      <c r="C93" s="359"/>
      <c r="D93" s="808" t="str">
        <f t="shared" si="6"/>
        <v>ID :0   F. Nac:  00ENE00</v>
      </c>
      <c r="E93" s="808"/>
      <c r="J93" s="356"/>
      <c r="O93" s="350"/>
    </row>
    <row r="94" spans="1:19" ht="9.75" customHeight="1">
      <c r="A94" s="360" t="e">
        <f>'DATOS ETIQ'!B$13&amp;"   "&amp;'DATOS ETIQ'!S$13</f>
        <v>#N/A</v>
      </c>
      <c r="B94" s="361" t="e">
        <f>'DATOS ETIQ'!W$13</f>
        <v>#N/A</v>
      </c>
      <c r="D94" s="360" t="e">
        <f t="shared" si="6"/>
        <v>#N/A</v>
      </c>
      <c r="E94" s="361" t="e">
        <f>B94</f>
        <v>#N/A</v>
      </c>
      <c r="G94" s="800" t="e">
        <f>'FR PD 001 V1'!T17</f>
        <v>#N/A</v>
      </c>
      <c r="J94" s="800">
        <v>12</v>
      </c>
      <c r="O94" s="350"/>
    </row>
    <row r="95" spans="1:19" ht="9.75" customHeight="1" thickBot="1">
      <c r="A95" s="808" t="e">
        <f>'DATOS ETIQ'!U13</f>
        <v>#N/A</v>
      </c>
      <c r="B95" s="808"/>
      <c r="C95" s="359"/>
      <c r="D95" s="808" t="e">
        <f t="shared" si="6"/>
        <v>#N/A</v>
      </c>
      <c r="E95" s="808"/>
      <c r="G95" s="801"/>
      <c r="J95" s="801"/>
      <c r="O95" s="350"/>
    </row>
    <row r="96" spans="1:19" s="364" customFormat="1" ht="9.75" customHeight="1">
      <c r="A96" s="809" t="e">
        <f ca="1">"F.Elab: "&amp;TEXT('FORMATO DIL'!$B$5,"dd/mm/yy")&amp;"       FVto: "&amp;TEXT('DATOS ETIQ'!T$13,"dd/mm/yy")</f>
        <v>#N/A</v>
      </c>
      <c r="B96" s="809"/>
      <c r="C96" s="363"/>
      <c r="D96" s="809" t="e">
        <f t="shared" ca="1" si="6"/>
        <v>#N/A</v>
      </c>
      <c r="E96" s="809"/>
      <c r="J96" s="365"/>
      <c r="N96" s="64"/>
      <c r="O96" s="350"/>
      <c r="P96" s="64"/>
      <c r="Q96" s="64"/>
      <c r="R96" s="64"/>
      <c r="S96" s="64"/>
    </row>
    <row r="97" spans="1:19" s="364" customFormat="1" ht="9.75" customHeight="1">
      <c r="A97" s="809" t="str">
        <f>"Lt: "&amp;'DATOS ETIQ'!I$13</f>
        <v xml:space="preserve">Lt: </v>
      </c>
      <c r="B97" s="809"/>
      <c r="C97" s="363"/>
      <c r="D97" s="809" t="str">
        <f>A97</f>
        <v xml:space="preserve">Lt: </v>
      </c>
      <c r="E97" s="809"/>
      <c r="J97" s="365"/>
      <c r="N97" s="64"/>
      <c r="O97" s="350"/>
      <c r="P97" s="64"/>
      <c r="Q97" s="64"/>
      <c r="R97" s="64"/>
      <c r="S97" s="64"/>
    </row>
    <row r="98" spans="1:19" s="366" customFormat="1" ht="9.75" customHeight="1">
      <c r="A98" s="807" t="str">
        <f>"QFP: "&amp;'DATOS ETIQ'!L$13&amp;"   QFV: "&amp;'DATOS ETIQ'!M$13</f>
        <v>QFP: JGARCIA   QFV: ADELTORO</v>
      </c>
      <c r="B98" s="807"/>
      <c r="C98" s="355"/>
      <c r="D98" s="807" t="str">
        <f t="shared" si="6"/>
        <v>QFP: JGARCIA   QFV: ADELTORO</v>
      </c>
      <c r="E98" s="807"/>
      <c r="J98" s="367"/>
      <c r="N98" s="64"/>
      <c r="O98" s="350"/>
      <c r="P98" s="64"/>
      <c r="Q98" s="64"/>
      <c r="R98" s="64"/>
      <c r="S98" s="64"/>
    </row>
    <row r="99" spans="1:19" s="366" customFormat="1" ht="9.75" customHeight="1">
      <c r="A99" s="807" t="s">
        <v>1390</v>
      </c>
      <c r="B99" s="807"/>
      <c r="C99" s="355"/>
      <c r="D99" s="807" t="str">
        <f t="shared" si="6"/>
        <v>H. SAN JOSE CENTRO</v>
      </c>
      <c r="E99" s="807"/>
      <c r="J99" s="367"/>
      <c r="N99" s="64"/>
      <c r="O99" s="350"/>
      <c r="P99" s="64"/>
      <c r="Q99" s="64"/>
      <c r="R99" s="64"/>
      <c r="S99" s="64"/>
    </row>
    <row r="100" spans="1:19" ht="9.75" customHeight="1">
      <c r="A100" s="808" t="str">
        <f>'DATOS ETIQ'!J$14</f>
        <v/>
      </c>
      <c r="B100" s="808"/>
      <c r="C100" s="359"/>
      <c r="D100" s="808" t="str">
        <f t="shared" si="6"/>
        <v/>
      </c>
      <c r="E100" s="808"/>
      <c r="J100" s="356"/>
      <c r="N100" s="404"/>
      <c r="O100" s="404"/>
      <c r="P100" s="404"/>
      <c r="Q100" s="404"/>
      <c r="R100" s="404"/>
      <c r="S100" s="404"/>
    </row>
    <row r="101" spans="1:19" ht="9.75" customHeight="1" thickBot="1">
      <c r="A101" s="808" t="str">
        <f>'DATOS ETIQ'!Z14</f>
        <v>ID :0   F. Nac:  00ENE00</v>
      </c>
      <c r="B101" s="808"/>
      <c r="C101" s="359"/>
      <c r="D101" s="808" t="str">
        <f t="shared" si="6"/>
        <v>ID :0   F. Nac:  00ENE00</v>
      </c>
      <c r="E101" s="808"/>
      <c r="J101" s="356"/>
      <c r="O101" s="350"/>
    </row>
    <row r="102" spans="1:19" ht="9.75" customHeight="1">
      <c r="A102" s="360" t="e">
        <f>'DATOS ETIQ'!B$14&amp;"   "&amp;'DATOS ETIQ'!S$14</f>
        <v>#N/A</v>
      </c>
      <c r="B102" s="361" t="e">
        <f>'DATOS ETIQ'!W$14</f>
        <v>#N/A</v>
      </c>
      <c r="D102" s="360" t="e">
        <f t="shared" si="6"/>
        <v>#N/A</v>
      </c>
      <c r="E102" s="361" t="e">
        <f>B102</f>
        <v>#N/A</v>
      </c>
      <c r="G102" s="800" t="e">
        <f>'FR PD 001 V1'!T18</f>
        <v>#N/A</v>
      </c>
      <c r="J102" s="800">
        <v>13</v>
      </c>
      <c r="O102" s="350"/>
    </row>
    <row r="103" spans="1:19" ht="9.75" customHeight="1" thickBot="1">
      <c r="A103" s="808" t="e">
        <f>'DATOS ETIQ'!U14</f>
        <v>#N/A</v>
      </c>
      <c r="B103" s="808"/>
      <c r="C103" s="359"/>
      <c r="D103" s="808" t="e">
        <f t="shared" si="6"/>
        <v>#N/A</v>
      </c>
      <c r="E103" s="808"/>
      <c r="G103" s="801"/>
      <c r="J103" s="801"/>
      <c r="O103" s="350"/>
    </row>
    <row r="104" spans="1:19" s="364" customFormat="1" ht="9.75" customHeight="1">
      <c r="A104" s="809" t="e">
        <f ca="1">"F.Elab: "&amp;TEXT('FORMATO DIL'!$B$5,"dd/mm/yy")&amp;"       FVto: "&amp;TEXT('DATOS ETIQ'!T$14,"dd/mm/yy")</f>
        <v>#N/A</v>
      </c>
      <c r="B104" s="809"/>
      <c r="C104" s="363"/>
      <c r="D104" s="809" t="e">
        <f t="shared" ca="1" si="6"/>
        <v>#N/A</v>
      </c>
      <c r="E104" s="809"/>
      <c r="J104" s="365"/>
      <c r="N104" s="64"/>
      <c r="O104" s="350"/>
      <c r="P104" s="64"/>
      <c r="Q104" s="64"/>
      <c r="R104" s="64"/>
      <c r="S104" s="64"/>
    </row>
    <row r="105" spans="1:19" s="364" customFormat="1" ht="9.75" customHeight="1">
      <c r="A105" s="809" t="str">
        <f>"Lt: "&amp;'DATOS ETIQ'!I$14</f>
        <v xml:space="preserve">Lt: </v>
      </c>
      <c r="B105" s="809"/>
      <c r="C105" s="363"/>
      <c r="D105" s="809" t="str">
        <f>A105</f>
        <v xml:space="preserve">Lt: </v>
      </c>
      <c r="E105" s="809"/>
      <c r="J105" s="365"/>
      <c r="N105" s="64"/>
      <c r="O105" s="350"/>
      <c r="P105" s="64"/>
      <c r="Q105" s="64"/>
      <c r="R105" s="64"/>
      <c r="S105" s="64"/>
    </row>
    <row r="106" spans="1:19" s="366" customFormat="1" ht="9.75" customHeight="1">
      <c r="A106" s="807" t="str">
        <f>"QFP: "&amp;'DATOS ETIQ'!L$14&amp;"   QFV: "&amp;'DATOS ETIQ'!M$14</f>
        <v>QFP: JGARCIA   QFV: ADELTORO</v>
      </c>
      <c r="B106" s="807"/>
      <c r="C106" s="355"/>
      <c r="D106" s="807" t="str">
        <f t="shared" si="6"/>
        <v>QFP: JGARCIA   QFV: ADELTORO</v>
      </c>
      <c r="E106" s="807"/>
      <c r="J106" s="367"/>
      <c r="N106" s="64"/>
      <c r="O106" s="350"/>
      <c r="P106" s="64"/>
      <c r="Q106" s="64"/>
      <c r="R106" s="64"/>
      <c r="S106" s="64"/>
    </row>
    <row r="107" spans="1:19" s="366" customFormat="1" ht="9.75" customHeight="1">
      <c r="A107" s="807" t="s">
        <v>1390</v>
      </c>
      <c r="B107" s="807"/>
      <c r="C107" s="355"/>
      <c r="D107" s="807" t="str">
        <f t="shared" si="6"/>
        <v>H. SAN JOSE CENTRO</v>
      </c>
      <c r="E107" s="807"/>
      <c r="J107" s="367"/>
      <c r="N107" s="64"/>
      <c r="O107" s="350"/>
      <c r="P107" s="64"/>
      <c r="Q107" s="64"/>
      <c r="R107" s="64"/>
      <c r="S107" s="64"/>
    </row>
    <row r="108" spans="1:19" ht="9.75" customHeight="1">
      <c r="A108" s="808" t="str">
        <f>'DATOS ETIQ'!J$15</f>
        <v/>
      </c>
      <c r="B108" s="808"/>
      <c r="C108" s="359"/>
      <c r="D108" s="808" t="str">
        <f t="shared" si="6"/>
        <v/>
      </c>
      <c r="E108" s="808"/>
      <c r="J108" s="356"/>
      <c r="N108" s="404"/>
      <c r="O108" s="404"/>
      <c r="P108" s="404"/>
      <c r="Q108" s="404"/>
      <c r="R108" s="404"/>
      <c r="S108" s="404"/>
    </row>
    <row r="109" spans="1:19" ht="9.75" customHeight="1" thickBot="1">
      <c r="A109" s="808" t="str">
        <f>'DATOS ETIQ'!Z15</f>
        <v>ID :0   F. Nac:  00ENE00</v>
      </c>
      <c r="B109" s="808"/>
      <c r="C109" s="359"/>
      <c r="D109" s="808" t="str">
        <f t="shared" si="6"/>
        <v>ID :0   F. Nac:  00ENE00</v>
      </c>
      <c r="E109" s="808"/>
      <c r="J109" s="356"/>
      <c r="O109" s="350"/>
    </row>
    <row r="110" spans="1:19" ht="9.75" customHeight="1">
      <c r="A110" s="360" t="e">
        <f>'DATOS ETIQ'!B$15&amp;"   "&amp;'DATOS ETIQ'!S$15</f>
        <v>#N/A</v>
      </c>
      <c r="B110" s="361" t="e">
        <f>'DATOS ETIQ'!W$15</f>
        <v>#N/A</v>
      </c>
      <c r="D110" s="360" t="e">
        <f t="shared" si="6"/>
        <v>#N/A</v>
      </c>
      <c r="E110" s="361" t="e">
        <f>B110</f>
        <v>#N/A</v>
      </c>
      <c r="G110" s="800" t="e">
        <f>'FR PD 001 V1'!T19</f>
        <v>#N/A</v>
      </c>
      <c r="J110" s="800">
        <v>14</v>
      </c>
      <c r="O110" s="350"/>
    </row>
    <row r="111" spans="1:19" ht="9.75" customHeight="1" thickBot="1">
      <c r="A111" s="808" t="e">
        <f>'DATOS ETIQ'!U15</f>
        <v>#N/A</v>
      </c>
      <c r="B111" s="808"/>
      <c r="C111" s="359"/>
      <c r="D111" s="808" t="e">
        <f t="shared" si="6"/>
        <v>#N/A</v>
      </c>
      <c r="E111" s="808"/>
      <c r="G111" s="801"/>
      <c r="J111" s="801"/>
      <c r="O111" s="350"/>
    </row>
    <row r="112" spans="1:19" s="364" customFormat="1" ht="9.75" customHeight="1">
      <c r="A112" s="809" t="e">
        <f ca="1">"F.Elab: "&amp;TEXT('FORMATO DIL'!$B$5,"dd/mm/yy")&amp;"       FVto: "&amp;TEXT('DATOS ETIQ'!T$15,"dd/mm/yy")</f>
        <v>#N/A</v>
      </c>
      <c r="B112" s="809"/>
      <c r="C112" s="363"/>
      <c r="D112" s="809" t="e">
        <f t="shared" ca="1" si="6"/>
        <v>#N/A</v>
      </c>
      <c r="E112" s="809"/>
      <c r="J112" s="365"/>
      <c r="N112" s="64"/>
      <c r="O112" s="350"/>
      <c r="P112" s="64"/>
      <c r="Q112" s="64"/>
      <c r="R112" s="64"/>
      <c r="S112" s="64"/>
    </row>
    <row r="113" spans="1:19" s="364" customFormat="1" ht="9.75" customHeight="1">
      <c r="A113" s="809" t="str">
        <f>"Lt: "&amp;'DATOS ETIQ'!I$15</f>
        <v xml:space="preserve">Lt: </v>
      </c>
      <c r="B113" s="809"/>
      <c r="C113" s="363"/>
      <c r="D113" s="809" t="str">
        <f>A113</f>
        <v xml:space="preserve">Lt: </v>
      </c>
      <c r="E113" s="809"/>
      <c r="J113" s="365"/>
      <c r="N113" s="64"/>
      <c r="O113" s="350"/>
      <c r="P113" s="64"/>
      <c r="Q113" s="64"/>
      <c r="R113" s="64"/>
      <c r="S113" s="64"/>
    </row>
    <row r="114" spans="1:19" s="366" customFormat="1" ht="9.75" customHeight="1">
      <c r="A114" s="807" t="str">
        <f>"QFP: "&amp;'DATOS ETIQ'!L$15&amp;"   QFV: "&amp;'DATOS ETIQ'!M$15</f>
        <v>QFP: JGARCIA   QFV: ADELTORO</v>
      </c>
      <c r="B114" s="807"/>
      <c r="C114" s="355"/>
      <c r="D114" s="807" t="str">
        <f t="shared" si="6"/>
        <v>QFP: JGARCIA   QFV: ADELTORO</v>
      </c>
      <c r="E114" s="807"/>
      <c r="J114" s="367"/>
      <c r="N114" s="64"/>
      <c r="O114" s="350"/>
      <c r="P114" s="64"/>
      <c r="Q114" s="64"/>
      <c r="R114" s="64"/>
      <c r="S114" s="64"/>
    </row>
    <row r="115" spans="1:19" s="366" customFormat="1" ht="9.75" customHeight="1">
      <c r="A115" s="807" t="s">
        <v>1390</v>
      </c>
      <c r="B115" s="807"/>
      <c r="C115" s="355"/>
      <c r="D115" s="807" t="str">
        <f t="shared" si="6"/>
        <v>H. SAN JOSE CENTRO</v>
      </c>
      <c r="E115" s="807"/>
      <c r="J115" s="367"/>
      <c r="N115" s="64"/>
      <c r="O115" s="350"/>
      <c r="P115" s="64"/>
      <c r="Q115" s="64"/>
      <c r="R115" s="64"/>
      <c r="S115" s="64"/>
    </row>
    <row r="116" spans="1:19" ht="9.75" customHeight="1">
      <c r="A116" s="808" t="str">
        <f>'DATOS ETIQ'!J$16</f>
        <v/>
      </c>
      <c r="B116" s="808"/>
      <c r="C116" s="359"/>
      <c r="D116" s="808" t="str">
        <f t="shared" si="6"/>
        <v/>
      </c>
      <c r="E116" s="808"/>
      <c r="J116" s="356"/>
      <c r="N116" s="404"/>
      <c r="O116" s="404"/>
      <c r="P116" s="404"/>
      <c r="Q116" s="404"/>
      <c r="R116" s="404"/>
      <c r="S116" s="404"/>
    </row>
    <row r="117" spans="1:19" ht="9.75" customHeight="1" thickBot="1">
      <c r="A117" s="808" t="str">
        <f>'DATOS ETIQ'!Z16</f>
        <v>ID :0   F. Nac:  00ENE00</v>
      </c>
      <c r="B117" s="808"/>
      <c r="C117" s="359"/>
      <c r="D117" s="808" t="str">
        <f t="shared" si="6"/>
        <v>ID :0   F. Nac:  00ENE00</v>
      </c>
      <c r="E117" s="808"/>
      <c r="J117" s="356"/>
      <c r="O117" s="350"/>
    </row>
    <row r="118" spans="1:19" ht="9.75" customHeight="1">
      <c r="A118" s="360" t="e">
        <f>'DATOS ETIQ'!B$16&amp;"   "&amp;'DATOS ETIQ'!S$16</f>
        <v>#N/A</v>
      </c>
      <c r="B118" s="361" t="e">
        <f>'DATOS ETIQ'!W$16</f>
        <v>#N/A</v>
      </c>
      <c r="D118" s="360" t="e">
        <f t="shared" si="6"/>
        <v>#N/A</v>
      </c>
      <c r="E118" s="361" t="e">
        <f>B118</f>
        <v>#N/A</v>
      </c>
      <c r="G118" s="800" t="e">
        <f>'FR PD 001 V1'!T20</f>
        <v>#N/A</v>
      </c>
      <c r="J118" s="800">
        <v>15</v>
      </c>
      <c r="O118" s="350"/>
    </row>
    <row r="119" spans="1:19" ht="9.75" customHeight="1" thickBot="1">
      <c r="A119" s="808" t="e">
        <f>'DATOS ETIQ'!U16</f>
        <v>#N/A</v>
      </c>
      <c r="B119" s="808"/>
      <c r="C119" s="359"/>
      <c r="D119" s="808" t="e">
        <f t="shared" si="6"/>
        <v>#N/A</v>
      </c>
      <c r="E119" s="808"/>
      <c r="G119" s="801"/>
      <c r="J119" s="801"/>
      <c r="O119" s="350"/>
    </row>
    <row r="120" spans="1:19" s="364" customFormat="1" ht="9.75" customHeight="1">
      <c r="A120" s="809" t="e">
        <f ca="1">"F.Elab: "&amp;TEXT('FORMATO DIL'!$B$5,"dd/mm/yy")&amp;"       FVto: "&amp;TEXT('DATOS ETIQ'!T$16,"dd/mm/yy")</f>
        <v>#N/A</v>
      </c>
      <c r="B120" s="809"/>
      <c r="C120" s="363"/>
      <c r="D120" s="809" t="e">
        <f t="shared" ca="1" si="6"/>
        <v>#N/A</v>
      </c>
      <c r="E120" s="809"/>
      <c r="J120" s="365"/>
      <c r="N120" s="64"/>
      <c r="O120" s="350"/>
      <c r="P120" s="64"/>
      <c r="Q120" s="64"/>
      <c r="R120" s="64"/>
      <c r="S120" s="64"/>
    </row>
    <row r="121" spans="1:19" s="364" customFormat="1" ht="9.75" customHeight="1">
      <c r="A121" s="809" t="str">
        <f>"Lt: "&amp;'DATOS ETIQ'!I$16</f>
        <v xml:space="preserve">Lt: </v>
      </c>
      <c r="B121" s="809"/>
      <c r="C121" s="363"/>
      <c r="D121" s="809" t="str">
        <f>A121</f>
        <v xml:space="preserve">Lt: </v>
      </c>
      <c r="E121" s="809"/>
      <c r="J121" s="365"/>
      <c r="N121" s="64"/>
      <c r="O121" s="350"/>
      <c r="P121" s="64"/>
      <c r="Q121" s="64"/>
      <c r="R121" s="64"/>
      <c r="S121" s="64"/>
    </row>
    <row r="122" spans="1:19" s="366" customFormat="1" ht="9.75" customHeight="1">
      <c r="A122" s="807" t="str">
        <f>"QFP: "&amp;'DATOS ETIQ'!L$16&amp;"   QFV: "&amp;'DATOS ETIQ'!M$16</f>
        <v>QFP: JGARCIA   QFV: ADELTORO</v>
      </c>
      <c r="B122" s="807"/>
      <c r="C122" s="355"/>
      <c r="D122" s="807" t="str">
        <f t="shared" si="6"/>
        <v>QFP: JGARCIA   QFV: ADELTORO</v>
      </c>
      <c r="E122" s="807"/>
      <c r="J122" s="367"/>
      <c r="N122" s="64"/>
      <c r="O122" s="350"/>
      <c r="P122" s="64"/>
      <c r="Q122" s="64"/>
      <c r="R122" s="64"/>
      <c r="S122" s="64"/>
    </row>
    <row r="123" spans="1:19" s="366" customFormat="1" ht="9.75" customHeight="1">
      <c r="A123" s="807" t="s">
        <v>1390</v>
      </c>
      <c r="B123" s="807"/>
      <c r="C123" s="355"/>
      <c r="D123" s="807" t="str">
        <f t="shared" si="6"/>
        <v>H. SAN JOSE CENTRO</v>
      </c>
      <c r="E123" s="807"/>
      <c r="J123" s="367"/>
      <c r="N123" s="64"/>
      <c r="O123" s="350"/>
      <c r="P123" s="64"/>
      <c r="Q123" s="64"/>
      <c r="R123" s="64"/>
      <c r="S123" s="64"/>
    </row>
    <row r="124" spans="1:19" ht="9.75" customHeight="1">
      <c r="A124" s="808" t="str">
        <f>'DATOS ETIQ'!J$17</f>
        <v/>
      </c>
      <c r="B124" s="808"/>
      <c r="C124" s="359"/>
      <c r="D124" s="808" t="str">
        <f t="shared" si="6"/>
        <v/>
      </c>
      <c r="E124" s="808"/>
      <c r="J124" s="356"/>
      <c r="N124" s="404"/>
      <c r="O124" s="404"/>
      <c r="P124" s="404"/>
      <c r="Q124" s="404"/>
      <c r="R124" s="404"/>
      <c r="S124" s="404"/>
    </row>
    <row r="125" spans="1:19" ht="9.75" customHeight="1" thickBot="1">
      <c r="A125" s="808" t="str">
        <f>'DATOS ETIQ'!Z17</f>
        <v>ID :0   F. Nac:  00ENE00</v>
      </c>
      <c r="B125" s="808"/>
      <c r="C125" s="359"/>
      <c r="D125" s="808" t="str">
        <f t="shared" si="6"/>
        <v>ID :0   F. Nac:  00ENE00</v>
      </c>
      <c r="E125" s="808"/>
      <c r="J125" s="356"/>
      <c r="O125" s="350"/>
    </row>
    <row r="126" spans="1:19" ht="9.75" customHeight="1">
      <c r="A126" s="360" t="e">
        <f>'DATOS ETIQ'!B$17&amp;"   "&amp;'DATOS ETIQ'!S$17</f>
        <v>#N/A</v>
      </c>
      <c r="B126" s="361" t="e">
        <f>'DATOS ETIQ'!W$17</f>
        <v>#N/A</v>
      </c>
      <c r="D126" s="360" t="e">
        <f t="shared" si="6"/>
        <v>#N/A</v>
      </c>
      <c r="E126" s="361" t="e">
        <f>B126</f>
        <v>#N/A</v>
      </c>
      <c r="G126" s="800" t="e">
        <f>'FR PD 001 V1'!T21</f>
        <v>#N/A</v>
      </c>
      <c r="J126" s="800">
        <v>16</v>
      </c>
      <c r="O126" s="350"/>
    </row>
    <row r="127" spans="1:19" ht="9.75" customHeight="1" thickBot="1">
      <c r="A127" s="808" t="e">
        <f>'DATOS ETIQ'!U17</f>
        <v>#N/A</v>
      </c>
      <c r="B127" s="808"/>
      <c r="C127" s="359"/>
      <c r="D127" s="808" t="e">
        <f t="shared" si="6"/>
        <v>#N/A</v>
      </c>
      <c r="E127" s="808"/>
      <c r="G127" s="801"/>
      <c r="J127" s="801"/>
      <c r="O127" s="350"/>
    </row>
    <row r="128" spans="1:19" s="364" customFormat="1" ht="9.75" customHeight="1">
      <c r="A128" s="809" t="e">
        <f ca="1">"F.Elab: "&amp;TEXT('FORMATO DIL'!$B$5,"dd/mm/yy")&amp;"       FVto: "&amp;TEXT('DATOS ETIQ'!T$17,"dd/mm/yy")</f>
        <v>#N/A</v>
      </c>
      <c r="B128" s="809"/>
      <c r="C128" s="363"/>
      <c r="D128" s="809" t="e">
        <f t="shared" ca="1" si="6"/>
        <v>#N/A</v>
      </c>
      <c r="E128" s="809"/>
      <c r="J128" s="365"/>
      <c r="N128" s="64"/>
      <c r="O128" s="350"/>
      <c r="P128" s="64"/>
      <c r="Q128" s="64"/>
      <c r="R128" s="64"/>
      <c r="S128" s="64"/>
    </row>
    <row r="129" spans="1:19" s="364" customFormat="1" ht="9.75" customHeight="1">
      <c r="A129" s="809" t="str">
        <f>"Lt: "&amp;'DATOS ETIQ'!I$17</f>
        <v xml:space="preserve">Lt: </v>
      </c>
      <c r="B129" s="809"/>
      <c r="C129" s="363"/>
      <c r="D129" s="809" t="str">
        <f>A129</f>
        <v xml:space="preserve">Lt: </v>
      </c>
      <c r="E129" s="809"/>
      <c r="J129" s="365"/>
      <c r="N129" s="64"/>
      <c r="O129" s="350"/>
      <c r="P129" s="64"/>
      <c r="Q129" s="64"/>
      <c r="R129" s="64"/>
      <c r="S129" s="64"/>
    </row>
    <row r="130" spans="1:19" s="366" customFormat="1" ht="9.75" customHeight="1">
      <c r="A130" s="807" t="str">
        <f>"QFP: "&amp;'DATOS ETIQ'!L$17&amp;"   QFV: "&amp;'DATOS ETIQ'!M$17</f>
        <v>QFP: JGARCIA   QFV: ADELTORO</v>
      </c>
      <c r="B130" s="807"/>
      <c r="C130" s="355"/>
      <c r="D130" s="807" t="str">
        <f t="shared" si="6"/>
        <v>QFP: JGARCIA   QFV: ADELTORO</v>
      </c>
      <c r="E130" s="807"/>
      <c r="J130" s="367"/>
      <c r="N130" s="64"/>
      <c r="O130" s="350"/>
      <c r="P130" s="64"/>
      <c r="Q130" s="64"/>
      <c r="R130" s="64"/>
      <c r="S130" s="64"/>
    </row>
    <row r="131" spans="1:19" s="366" customFormat="1" ht="9.75" customHeight="1">
      <c r="A131" s="807" t="s">
        <v>1390</v>
      </c>
      <c r="B131" s="807"/>
      <c r="C131" s="355"/>
      <c r="D131" s="807" t="str">
        <f t="shared" si="6"/>
        <v>H. SAN JOSE CENTRO</v>
      </c>
      <c r="E131" s="807"/>
      <c r="J131" s="367"/>
      <c r="N131" s="64"/>
      <c r="O131" s="350"/>
      <c r="P131" s="64"/>
      <c r="Q131" s="64"/>
      <c r="R131" s="64"/>
      <c r="S131" s="64"/>
    </row>
    <row r="132" spans="1:19" ht="9.75" customHeight="1">
      <c r="A132" s="808" t="str">
        <f>'DATOS ETIQ'!J$18</f>
        <v/>
      </c>
      <c r="B132" s="808"/>
      <c r="C132" s="359"/>
      <c r="D132" s="808" t="str">
        <f t="shared" si="6"/>
        <v/>
      </c>
      <c r="E132" s="808"/>
      <c r="J132" s="356"/>
      <c r="N132" s="404"/>
      <c r="O132" s="404"/>
      <c r="P132" s="404"/>
      <c r="Q132" s="404"/>
      <c r="R132" s="404"/>
      <c r="S132" s="404"/>
    </row>
    <row r="133" spans="1:19" ht="9.75" customHeight="1" thickBot="1">
      <c r="A133" s="808" t="str">
        <f>'DATOS ETIQ'!Z18</f>
        <v>ID :0   F. Nac:  00ENE00</v>
      </c>
      <c r="B133" s="808"/>
      <c r="C133" s="359"/>
      <c r="D133" s="808" t="str">
        <f t="shared" si="6"/>
        <v>ID :0   F. Nac:  00ENE00</v>
      </c>
      <c r="E133" s="808"/>
      <c r="J133" s="356"/>
      <c r="O133" s="350"/>
    </row>
    <row r="134" spans="1:19" ht="9.75" customHeight="1">
      <c r="A134" s="360" t="e">
        <f>'DATOS ETIQ'!B$18&amp;"   "&amp;'DATOS ETIQ'!S$18</f>
        <v>#N/A</v>
      </c>
      <c r="B134" s="361" t="e">
        <f>'DATOS ETIQ'!W$18</f>
        <v>#N/A</v>
      </c>
      <c r="D134" s="360" t="e">
        <f t="shared" si="6"/>
        <v>#N/A</v>
      </c>
      <c r="E134" s="361" t="e">
        <f>B134</f>
        <v>#N/A</v>
      </c>
      <c r="G134" s="800" t="e">
        <f>'FR PD 001 V1'!T22</f>
        <v>#N/A</v>
      </c>
      <c r="J134" s="800">
        <v>17</v>
      </c>
      <c r="O134" s="350"/>
    </row>
    <row r="135" spans="1:19" ht="9.75" customHeight="1" thickBot="1">
      <c r="A135" s="808" t="e">
        <f>'DATOS ETIQ'!U18</f>
        <v>#N/A</v>
      </c>
      <c r="B135" s="808"/>
      <c r="C135" s="359"/>
      <c r="D135" s="808" t="e">
        <f t="shared" si="6"/>
        <v>#N/A</v>
      </c>
      <c r="E135" s="808"/>
      <c r="G135" s="801"/>
      <c r="J135" s="801"/>
      <c r="O135" s="350"/>
    </row>
    <row r="136" spans="1:19" s="364" customFormat="1" ht="9.75" customHeight="1">
      <c r="A136" s="809" t="e">
        <f ca="1">"F.Elab: "&amp;TEXT('FORMATO DIL'!$B$5,"dd/mm/yy")&amp;"       FVto: "&amp;TEXT('DATOS ETIQ'!T$18,"dd/mm/yy")</f>
        <v>#N/A</v>
      </c>
      <c r="B136" s="809"/>
      <c r="C136" s="363"/>
      <c r="D136" s="809" t="e">
        <f t="shared" ca="1" si="6"/>
        <v>#N/A</v>
      </c>
      <c r="E136" s="809"/>
      <c r="J136" s="365"/>
      <c r="N136" s="64"/>
      <c r="O136" s="350"/>
      <c r="P136" s="64"/>
      <c r="Q136" s="64"/>
      <c r="R136" s="64"/>
      <c r="S136" s="64"/>
    </row>
    <row r="137" spans="1:19" s="364" customFormat="1" ht="9.75" customHeight="1">
      <c r="A137" s="809" t="str">
        <f>"Lt: "&amp;'DATOS ETIQ'!I$18</f>
        <v xml:space="preserve">Lt: </v>
      </c>
      <c r="B137" s="809"/>
      <c r="C137" s="363"/>
      <c r="D137" s="809" t="str">
        <f>A137</f>
        <v xml:space="preserve">Lt: </v>
      </c>
      <c r="E137" s="809"/>
      <c r="J137" s="365"/>
      <c r="N137" s="64"/>
      <c r="O137" s="350"/>
      <c r="P137" s="64"/>
      <c r="Q137" s="64"/>
      <c r="R137" s="64"/>
      <c r="S137" s="64"/>
    </row>
    <row r="138" spans="1:19" s="366" customFormat="1" ht="9.75" customHeight="1">
      <c r="A138" s="807" t="str">
        <f>"QFP: "&amp;'DATOS ETIQ'!L$18&amp;"   QFV: "&amp;'DATOS ETIQ'!M$18</f>
        <v>QFP: JGARCIA   QFV: ADELTORO</v>
      </c>
      <c r="B138" s="807"/>
      <c r="C138" s="355"/>
      <c r="D138" s="807" t="str">
        <f t="shared" si="6"/>
        <v>QFP: JGARCIA   QFV: ADELTORO</v>
      </c>
      <c r="E138" s="807"/>
      <c r="J138" s="367"/>
      <c r="N138" s="64"/>
      <c r="O138" s="350"/>
      <c r="P138" s="64"/>
      <c r="Q138" s="64"/>
      <c r="R138" s="64"/>
      <c r="S138" s="64"/>
    </row>
    <row r="139" spans="1:19" s="366" customFormat="1" ht="9.75" customHeight="1">
      <c r="A139" s="807" t="s">
        <v>1390</v>
      </c>
      <c r="B139" s="807"/>
      <c r="C139" s="355"/>
      <c r="D139" s="807" t="str">
        <f t="shared" si="6"/>
        <v>H. SAN JOSE CENTRO</v>
      </c>
      <c r="E139" s="807"/>
      <c r="J139" s="367"/>
      <c r="N139" s="64"/>
      <c r="O139" s="350"/>
      <c r="P139" s="64"/>
      <c r="Q139" s="64"/>
      <c r="R139" s="64"/>
      <c r="S139" s="64"/>
    </row>
    <row r="140" spans="1:19" ht="9.75" customHeight="1">
      <c r="A140" s="808" t="str">
        <f>'DATOS ETIQ'!J$19</f>
        <v/>
      </c>
      <c r="B140" s="808"/>
      <c r="C140" s="359"/>
      <c r="D140" s="808" t="str">
        <f t="shared" si="6"/>
        <v/>
      </c>
      <c r="E140" s="808"/>
      <c r="J140" s="356"/>
      <c r="N140" s="404"/>
      <c r="O140" s="404"/>
      <c r="P140" s="404"/>
      <c r="Q140" s="404"/>
      <c r="R140" s="404"/>
      <c r="S140" s="404"/>
    </row>
    <row r="141" spans="1:19" ht="9.75" customHeight="1" thickBot="1">
      <c r="A141" s="808" t="str">
        <f>'DATOS ETIQ'!Z19</f>
        <v>ID :0   F. Nac:  00ENE00</v>
      </c>
      <c r="B141" s="808"/>
      <c r="C141" s="359"/>
      <c r="D141" s="808" t="str">
        <f t="shared" si="6"/>
        <v>ID :0   F. Nac:  00ENE00</v>
      </c>
      <c r="E141" s="808"/>
      <c r="J141" s="356"/>
      <c r="O141" s="350"/>
    </row>
    <row r="142" spans="1:19" ht="9.75" customHeight="1">
      <c r="A142" s="360" t="e">
        <f>'DATOS ETIQ'!B$19&amp;"   "&amp;'DATOS ETIQ'!S$19</f>
        <v>#N/A</v>
      </c>
      <c r="B142" s="361" t="e">
        <f>'DATOS ETIQ'!W$19</f>
        <v>#N/A</v>
      </c>
      <c r="D142" s="360" t="e">
        <f t="shared" si="6"/>
        <v>#N/A</v>
      </c>
      <c r="E142" s="361" t="e">
        <f>B142</f>
        <v>#N/A</v>
      </c>
      <c r="G142" s="800" t="e">
        <f>'FR PD 001 V1'!T23</f>
        <v>#N/A</v>
      </c>
      <c r="J142" s="800">
        <v>18</v>
      </c>
      <c r="O142" s="350"/>
    </row>
    <row r="143" spans="1:19" ht="9.75" customHeight="1" thickBot="1">
      <c r="A143" s="808" t="e">
        <f>'DATOS ETIQ'!U19</f>
        <v>#N/A</v>
      </c>
      <c r="B143" s="808"/>
      <c r="C143" s="359"/>
      <c r="D143" s="808" t="e">
        <f t="shared" si="6"/>
        <v>#N/A</v>
      </c>
      <c r="E143" s="808"/>
      <c r="G143" s="801"/>
      <c r="J143" s="801"/>
      <c r="O143" s="350"/>
    </row>
    <row r="144" spans="1:19" s="364" customFormat="1" ht="9.75" customHeight="1">
      <c r="A144" s="809" t="e">
        <f ca="1">"F.Elab: "&amp;TEXT('FORMATO DIL'!$B$5,"dd/mm/yy")&amp;"       FVto: "&amp;TEXT('DATOS ETIQ'!T$19,"dd/mm/yy")</f>
        <v>#N/A</v>
      </c>
      <c r="B144" s="809"/>
      <c r="C144" s="363"/>
      <c r="D144" s="809" t="e">
        <f t="shared" ca="1" si="6"/>
        <v>#N/A</v>
      </c>
      <c r="E144" s="809"/>
      <c r="J144" s="365"/>
      <c r="N144" s="64"/>
      <c r="O144" s="350"/>
      <c r="P144" s="64"/>
      <c r="Q144" s="64"/>
      <c r="R144" s="64"/>
      <c r="S144" s="64"/>
    </row>
    <row r="145" spans="1:19" s="364" customFormat="1" ht="9.75" customHeight="1">
      <c r="A145" s="809" t="str">
        <f>"Lt: "&amp;'DATOS ETIQ'!I$19</f>
        <v xml:space="preserve">Lt: </v>
      </c>
      <c r="B145" s="809"/>
      <c r="C145" s="363"/>
      <c r="D145" s="809" t="str">
        <f>A145</f>
        <v xml:space="preserve">Lt: </v>
      </c>
      <c r="E145" s="809"/>
      <c r="J145" s="365"/>
      <c r="N145" s="64"/>
      <c r="O145" s="350"/>
      <c r="P145" s="64"/>
      <c r="Q145" s="64"/>
      <c r="R145" s="64"/>
      <c r="S145" s="64"/>
    </row>
    <row r="146" spans="1:19" s="366" customFormat="1" ht="9.75" customHeight="1">
      <c r="A146" s="807" t="str">
        <f>"QFP: "&amp;'DATOS ETIQ'!L$19&amp;"   QFV: "&amp;'DATOS ETIQ'!M$19</f>
        <v>QFP: JGARCIA   QFV: ADELTORO</v>
      </c>
      <c r="B146" s="807"/>
      <c r="C146" s="355"/>
      <c r="D146" s="807" t="str">
        <f t="shared" si="6"/>
        <v>QFP: JGARCIA   QFV: ADELTORO</v>
      </c>
      <c r="E146" s="807"/>
      <c r="J146" s="367"/>
      <c r="N146" s="64"/>
      <c r="O146" s="350"/>
      <c r="P146" s="64"/>
      <c r="Q146" s="64"/>
      <c r="R146" s="64"/>
      <c r="S146" s="64"/>
    </row>
    <row r="147" spans="1:19" s="366" customFormat="1" ht="9.75" customHeight="1">
      <c r="A147" s="807" t="s">
        <v>1390</v>
      </c>
      <c r="B147" s="807"/>
      <c r="C147" s="355"/>
      <c r="D147" s="807" t="str">
        <f t="shared" si="6"/>
        <v>H. SAN JOSE CENTRO</v>
      </c>
      <c r="E147" s="807"/>
      <c r="J147" s="367"/>
      <c r="N147" s="64"/>
      <c r="O147" s="350"/>
      <c r="P147" s="64"/>
      <c r="Q147" s="64"/>
      <c r="R147" s="64"/>
      <c r="S147" s="64"/>
    </row>
    <row r="148" spans="1:19" ht="9.75" customHeight="1">
      <c r="A148" s="808" t="str">
        <f>'DATOS ETIQ'!J$20</f>
        <v/>
      </c>
      <c r="B148" s="808"/>
      <c r="C148" s="359"/>
      <c r="D148" s="808" t="str">
        <f t="shared" si="6"/>
        <v/>
      </c>
      <c r="E148" s="808"/>
      <c r="J148" s="356"/>
      <c r="N148" s="404"/>
      <c r="O148" s="404"/>
      <c r="P148" s="404"/>
      <c r="Q148" s="404"/>
      <c r="R148" s="404"/>
      <c r="S148" s="404"/>
    </row>
    <row r="149" spans="1:19" ht="9.75" customHeight="1" thickBot="1">
      <c r="A149" s="808" t="str">
        <f>'DATOS ETIQ'!Z20</f>
        <v>ID :0   F. Nac:  00ENE00</v>
      </c>
      <c r="B149" s="808"/>
      <c r="C149" s="359"/>
      <c r="D149" s="808" t="str">
        <f t="shared" si="6"/>
        <v>ID :0   F. Nac:  00ENE00</v>
      </c>
      <c r="E149" s="808"/>
      <c r="J149" s="356"/>
      <c r="O149" s="350"/>
    </row>
    <row r="150" spans="1:19" ht="9.75" customHeight="1">
      <c r="A150" s="360" t="e">
        <f>'DATOS ETIQ'!B$20&amp;"   "&amp;'DATOS ETIQ'!S$20</f>
        <v>#N/A</v>
      </c>
      <c r="B150" s="361" t="e">
        <f>'DATOS ETIQ'!W$20</f>
        <v>#N/A</v>
      </c>
      <c r="D150" s="360" t="e">
        <f t="shared" si="6"/>
        <v>#N/A</v>
      </c>
      <c r="E150" s="361" t="e">
        <f>B150</f>
        <v>#N/A</v>
      </c>
      <c r="G150" s="800" t="e">
        <f>'FR PD 001 V1'!T24</f>
        <v>#N/A</v>
      </c>
      <c r="J150" s="800">
        <v>19</v>
      </c>
      <c r="O150" s="350"/>
    </row>
    <row r="151" spans="1:19" ht="9.75" customHeight="1" thickBot="1">
      <c r="A151" s="808" t="e">
        <f>'DATOS ETIQ'!U20</f>
        <v>#N/A</v>
      </c>
      <c r="B151" s="808"/>
      <c r="C151" s="359"/>
      <c r="D151" s="808" t="e">
        <f t="shared" si="6"/>
        <v>#N/A</v>
      </c>
      <c r="E151" s="808"/>
      <c r="G151" s="801"/>
      <c r="J151" s="801"/>
      <c r="O151" s="350"/>
    </row>
    <row r="152" spans="1:19" s="364" customFormat="1" ht="9.75" customHeight="1">
      <c r="A152" s="809" t="e">
        <f ca="1">"F.Elab: "&amp;TEXT('FORMATO DIL'!$B$5,"dd/mm/yy")&amp;"       FVto: "&amp;TEXT('DATOS ETIQ'!T$20,"dd/mm/yy")</f>
        <v>#N/A</v>
      </c>
      <c r="B152" s="809"/>
      <c r="C152" s="363"/>
      <c r="D152" s="809" t="e">
        <f t="shared" ca="1" si="6"/>
        <v>#N/A</v>
      </c>
      <c r="E152" s="809"/>
      <c r="J152" s="365"/>
      <c r="N152" s="64"/>
      <c r="O152" s="64"/>
      <c r="P152" s="64"/>
      <c r="Q152" s="64"/>
      <c r="R152" s="64"/>
      <c r="S152" s="64"/>
    </row>
    <row r="153" spans="1:19" s="364" customFormat="1" ht="9.75" customHeight="1">
      <c r="A153" s="809" t="str">
        <f>"Lt: "&amp;'DATOS ETIQ'!I$20</f>
        <v xml:space="preserve">Lt: </v>
      </c>
      <c r="B153" s="809"/>
      <c r="C153" s="363"/>
      <c r="D153" s="809" t="str">
        <f>A153</f>
        <v xml:space="preserve">Lt: </v>
      </c>
      <c r="E153" s="809"/>
      <c r="J153" s="365"/>
      <c r="N153" s="64"/>
      <c r="O153" s="64"/>
      <c r="P153" s="64"/>
      <c r="Q153" s="64"/>
      <c r="R153" s="64"/>
      <c r="S153" s="64"/>
    </row>
    <row r="154" spans="1:19" s="366" customFormat="1" ht="9.75" customHeight="1">
      <c r="A154" s="807" t="str">
        <f>"QFP: "&amp;'DATOS ETIQ'!L$20&amp;"   QFV: "&amp;'DATOS ETIQ'!M$20</f>
        <v>QFP: JGARCIA   QFV: ADELTORO</v>
      </c>
      <c r="B154" s="807"/>
      <c r="C154" s="355"/>
      <c r="D154" s="807" t="str">
        <f t="shared" si="6"/>
        <v>QFP: JGARCIA   QFV: ADELTORO</v>
      </c>
      <c r="E154" s="807"/>
      <c r="J154" s="367"/>
      <c r="N154" s="64"/>
      <c r="O154" s="64"/>
      <c r="P154" s="64"/>
      <c r="Q154" s="64"/>
      <c r="R154" s="64"/>
      <c r="S154" s="64"/>
    </row>
    <row r="155" spans="1:19" s="366" customFormat="1" ht="9.75" customHeight="1">
      <c r="A155" s="807" t="s">
        <v>1390</v>
      </c>
      <c r="B155" s="807"/>
      <c r="C155" s="355"/>
      <c r="D155" s="807" t="str">
        <f t="shared" si="6"/>
        <v>H. SAN JOSE CENTRO</v>
      </c>
      <c r="E155" s="807"/>
      <c r="J155" s="367"/>
      <c r="N155" s="64"/>
      <c r="O155" s="64"/>
      <c r="P155" s="64"/>
      <c r="Q155" s="64"/>
      <c r="R155" s="64"/>
      <c r="S155" s="64"/>
    </row>
    <row r="156" spans="1:19" ht="9.75" customHeight="1">
      <c r="A156" s="808" t="str">
        <f>'DATOS ETIQ'!J$21</f>
        <v/>
      </c>
      <c r="B156" s="808"/>
      <c r="C156" s="359"/>
      <c r="D156" s="808" t="str">
        <f t="shared" si="6"/>
        <v/>
      </c>
      <c r="E156" s="808"/>
      <c r="J156" s="356"/>
      <c r="N156" s="404"/>
      <c r="O156" s="404"/>
      <c r="P156" s="404"/>
      <c r="Q156" s="404"/>
      <c r="R156" s="404"/>
      <c r="S156" s="404"/>
    </row>
    <row r="157" spans="1:19" ht="9.75" customHeight="1" thickBot="1">
      <c r="A157" s="808" t="str">
        <f>'DATOS ETIQ'!Z21</f>
        <v>ID :0   F. Nac:  00ENE00</v>
      </c>
      <c r="B157" s="808"/>
      <c r="C157" s="359"/>
      <c r="D157" s="808" t="str">
        <f t="shared" si="6"/>
        <v>ID :0   F. Nac:  00ENE00</v>
      </c>
      <c r="E157" s="808"/>
      <c r="J157" s="356"/>
    </row>
    <row r="158" spans="1:19" ht="9.75" customHeight="1">
      <c r="A158" s="360" t="e">
        <f>'DATOS ETIQ'!B$21&amp;"   "&amp;'DATOS ETIQ'!S$21</f>
        <v>#N/A</v>
      </c>
      <c r="B158" s="361" t="e">
        <f>'DATOS ETIQ'!W$21</f>
        <v>#N/A</v>
      </c>
      <c r="D158" s="360" t="e">
        <f t="shared" si="6"/>
        <v>#N/A</v>
      </c>
      <c r="E158" s="361" t="e">
        <f>B158</f>
        <v>#N/A</v>
      </c>
      <c r="G158" s="800" t="e">
        <f>'FR PD 001 V1'!T25</f>
        <v>#N/A</v>
      </c>
      <c r="J158" s="800">
        <v>20</v>
      </c>
    </row>
    <row r="159" spans="1:19" ht="9.75" customHeight="1" thickBot="1">
      <c r="A159" s="808" t="e">
        <f>'DATOS ETIQ'!U21</f>
        <v>#N/A</v>
      </c>
      <c r="B159" s="808"/>
      <c r="C159" s="359"/>
      <c r="D159" s="808" t="e">
        <f t="shared" si="6"/>
        <v>#N/A</v>
      </c>
      <c r="E159" s="808"/>
      <c r="G159" s="801"/>
      <c r="J159" s="801"/>
    </row>
    <row r="160" spans="1:19" s="364" customFormat="1" ht="9.75" customHeight="1">
      <c r="A160" s="809" t="e">
        <f ca="1">"F.Elab: "&amp;TEXT('FORMATO DIL'!$B$5,"dd/mm/yy")&amp;"       FVto: "&amp;TEXT('DATOS ETIQ'!T$21,"dd/mm/yy")</f>
        <v>#N/A</v>
      </c>
      <c r="B160" s="809"/>
      <c r="C160" s="363"/>
      <c r="D160" s="809" t="e">
        <f t="shared" ca="1" si="6"/>
        <v>#N/A</v>
      </c>
      <c r="E160" s="809"/>
      <c r="J160" s="365"/>
      <c r="N160" s="64"/>
      <c r="O160" s="64"/>
      <c r="P160" s="64"/>
      <c r="Q160" s="64"/>
      <c r="R160" s="64"/>
      <c r="S160" s="64"/>
    </row>
    <row r="161" spans="1:19" s="364" customFormat="1" ht="9.75" customHeight="1">
      <c r="A161" s="809" t="str">
        <f>"Lt: "&amp;'DATOS ETIQ'!I$21</f>
        <v xml:space="preserve">Lt: </v>
      </c>
      <c r="B161" s="809"/>
      <c r="C161" s="363"/>
      <c r="D161" s="809" t="str">
        <f>A161</f>
        <v xml:space="preserve">Lt: </v>
      </c>
      <c r="E161" s="809"/>
      <c r="J161" s="365"/>
      <c r="N161" s="64"/>
      <c r="O161" s="64"/>
      <c r="P161" s="64"/>
      <c r="Q161" s="64"/>
      <c r="R161" s="64"/>
      <c r="S161" s="64"/>
    </row>
    <row r="162" spans="1:19" s="366" customFormat="1" ht="9.75" customHeight="1">
      <c r="A162" s="807" t="str">
        <f>"QFP: "&amp;'DATOS ETIQ'!L$21&amp;"   QFV: "&amp;'DATOS ETIQ'!M$21</f>
        <v>QFP: JGARCIA   QFV: ADELTORO</v>
      </c>
      <c r="B162" s="807"/>
      <c r="C162" s="355"/>
      <c r="D162" s="807" t="str">
        <f t="shared" si="6"/>
        <v>QFP: JGARCIA   QFV: ADELTORO</v>
      </c>
      <c r="E162" s="807"/>
      <c r="J162" s="367"/>
      <c r="N162" s="64"/>
      <c r="O162" s="64"/>
      <c r="P162" s="64"/>
      <c r="Q162" s="64"/>
      <c r="R162" s="64"/>
      <c r="S162" s="64"/>
    </row>
    <row r="163" spans="1:19" s="366" customFormat="1" ht="9.75" customHeight="1">
      <c r="A163" s="807" t="s">
        <v>1390</v>
      </c>
      <c r="B163" s="807"/>
      <c r="C163" s="355"/>
      <c r="D163" s="807" t="str">
        <f t="shared" si="6"/>
        <v>H. SAN JOSE CENTRO</v>
      </c>
      <c r="E163" s="807"/>
      <c r="J163" s="367"/>
      <c r="N163" s="64"/>
      <c r="O163" s="64"/>
      <c r="P163" s="64"/>
      <c r="Q163" s="64"/>
      <c r="R163" s="64"/>
      <c r="S163" s="64"/>
    </row>
    <row r="164" spans="1:19" ht="9.75" customHeight="1">
      <c r="A164" s="808" t="str">
        <f>'DATOS ETIQ'!J$22</f>
        <v/>
      </c>
      <c r="B164" s="808"/>
      <c r="C164" s="359"/>
      <c r="D164" s="808" t="str">
        <f t="shared" ref="D164:D236" si="7">A164</f>
        <v/>
      </c>
      <c r="E164" s="808"/>
      <c r="J164" s="356"/>
      <c r="N164" s="404"/>
      <c r="O164" s="404"/>
      <c r="P164" s="404"/>
      <c r="Q164" s="404"/>
      <c r="R164" s="404"/>
      <c r="S164" s="404"/>
    </row>
    <row r="165" spans="1:19" ht="9.75" customHeight="1" thickBot="1">
      <c r="A165" s="808" t="str">
        <f>'DATOS ETIQ'!Z22</f>
        <v>ID :0   F. Nac:  00ENE00</v>
      </c>
      <c r="B165" s="808"/>
      <c r="C165" s="359"/>
      <c r="D165" s="808" t="str">
        <f t="shared" si="7"/>
        <v>ID :0   F. Nac:  00ENE00</v>
      </c>
      <c r="E165" s="808"/>
      <c r="J165" s="356"/>
    </row>
    <row r="166" spans="1:19" ht="9.75" customHeight="1">
      <c r="A166" s="360" t="e">
        <f>'DATOS ETIQ'!B$22&amp;"   "&amp;'DATOS ETIQ'!S$22</f>
        <v>#N/A</v>
      </c>
      <c r="B166" s="361" t="e">
        <f>'DATOS ETIQ'!W$22</f>
        <v>#N/A</v>
      </c>
      <c r="D166" s="360" t="e">
        <f t="shared" si="7"/>
        <v>#N/A</v>
      </c>
      <c r="E166" s="361" t="e">
        <f>B166</f>
        <v>#N/A</v>
      </c>
      <c r="G166" s="800" t="e">
        <f>'FR PD 001 V1'!T26</f>
        <v>#N/A</v>
      </c>
      <c r="J166" s="800">
        <v>21</v>
      </c>
    </row>
    <row r="167" spans="1:19" ht="9.75" customHeight="1" thickBot="1">
      <c r="A167" s="808" t="e">
        <f>'DATOS ETIQ'!U22</f>
        <v>#N/A</v>
      </c>
      <c r="B167" s="808"/>
      <c r="C167" s="359"/>
      <c r="D167" s="808" t="e">
        <f t="shared" si="7"/>
        <v>#N/A</v>
      </c>
      <c r="E167" s="808"/>
      <c r="G167" s="801"/>
      <c r="J167" s="801"/>
    </row>
    <row r="168" spans="1:19" s="364" customFormat="1" ht="9.75" customHeight="1">
      <c r="A168" s="809" t="e">
        <f ca="1">"F.Elab: "&amp;TEXT('FORMATO DIL'!$B$5,"dd/mm/yy")&amp;"       FVto: "&amp;TEXT('DATOS ETIQ'!T$22,"dd/mm/yy")</f>
        <v>#N/A</v>
      </c>
      <c r="B168" s="809"/>
      <c r="C168" s="363"/>
      <c r="D168" s="809" t="e">
        <f t="shared" ca="1" si="7"/>
        <v>#N/A</v>
      </c>
      <c r="E168" s="809"/>
      <c r="J168" s="365"/>
      <c r="N168" s="64"/>
      <c r="O168" s="64"/>
      <c r="P168" s="64"/>
      <c r="Q168" s="64"/>
      <c r="R168" s="64"/>
      <c r="S168" s="64"/>
    </row>
    <row r="169" spans="1:19" s="364" customFormat="1" ht="9.75" customHeight="1">
      <c r="A169" s="809" t="str">
        <f>"Lt: "&amp;'DATOS ETIQ'!I$22</f>
        <v xml:space="preserve">Lt: </v>
      </c>
      <c r="B169" s="809"/>
      <c r="C169" s="363"/>
      <c r="D169" s="809" t="str">
        <f>A169</f>
        <v xml:space="preserve">Lt: </v>
      </c>
      <c r="E169" s="809"/>
      <c r="J169" s="365"/>
      <c r="N169" s="64"/>
      <c r="O169" s="64"/>
      <c r="P169" s="64"/>
      <c r="Q169" s="64"/>
      <c r="R169" s="64"/>
      <c r="S169" s="64"/>
    </row>
    <row r="170" spans="1:19" s="366" customFormat="1" ht="9.75" customHeight="1">
      <c r="A170" s="807" t="str">
        <f>"QFP: "&amp;'DATOS ETIQ'!L$22&amp;"   QFV: "&amp;'DATOS ETIQ'!M$22</f>
        <v>QFP: JGARCIA   QFV: ADELTORO</v>
      </c>
      <c r="B170" s="807"/>
      <c r="C170" s="355"/>
      <c r="D170" s="807" t="str">
        <f t="shared" si="7"/>
        <v>QFP: JGARCIA   QFV: ADELTORO</v>
      </c>
      <c r="E170" s="807"/>
      <c r="J170" s="367"/>
      <c r="N170" s="64"/>
      <c r="O170" s="64"/>
      <c r="P170" s="64"/>
      <c r="Q170" s="64"/>
      <c r="R170" s="64"/>
      <c r="S170" s="64"/>
    </row>
    <row r="171" spans="1:19" s="366" customFormat="1" ht="9.75" customHeight="1">
      <c r="A171" s="807" t="s">
        <v>1390</v>
      </c>
      <c r="B171" s="807"/>
      <c r="C171" s="355"/>
      <c r="D171" s="807" t="str">
        <f t="shared" si="7"/>
        <v>H. SAN JOSE CENTRO</v>
      </c>
      <c r="E171" s="807"/>
      <c r="J171" s="367"/>
      <c r="N171" s="64"/>
      <c r="O171" s="64"/>
      <c r="P171" s="64"/>
      <c r="Q171" s="64"/>
      <c r="R171" s="64"/>
      <c r="S171" s="64"/>
    </row>
    <row r="172" spans="1:19" ht="9.75" customHeight="1">
      <c r="A172" s="808" t="str">
        <f>'DATOS ETIQ'!J$23</f>
        <v/>
      </c>
      <c r="B172" s="808"/>
      <c r="C172" s="359"/>
      <c r="D172" s="808" t="str">
        <f t="shared" si="7"/>
        <v/>
      </c>
      <c r="E172" s="808"/>
      <c r="J172" s="356"/>
      <c r="N172" s="404"/>
      <c r="O172" s="404"/>
      <c r="P172" s="404"/>
      <c r="Q172" s="404"/>
      <c r="R172" s="404"/>
      <c r="S172" s="404"/>
    </row>
    <row r="173" spans="1:19" ht="9.75" customHeight="1" thickBot="1">
      <c r="A173" s="808" t="str">
        <f>'DATOS ETIQ'!Z23</f>
        <v>ID :0   F. Nac:  00ENE00</v>
      </c>
      <c r="B173" s="808"/>
      <c r="C173" s="359"/>
      <c r="D173" s="808" t="str">
        <f t="shared" si="7"/>
        <v>ID :0   F. Nac:  00ENE00</v>
      </c>
      <c r="E173" s="808"/>
      <c r="J173" s="356"/>
    </row>
    <row r="174" spans="1:19" ht="9.75" customHeight="1">
      <c r="A174" s="360" t="e">
        <f>'DATOS ETIQ'!B$23&amp;"   "&amp;'DATOS ETIQ'!S$23</f>
        <v>#N/A</v>
      </c>
      <c r="B174" s="361" t="e">
        <f>'DATOS ETIQ'!W$23</f>
        <v>#N/A</v>
      </c>
      <c r="D174" s="360" t="e">
        <f t="shared" si="7"/>
        <v>#N/A</v>
      </c>
      <c r="E174" s="361" t="e">
        <f>B174</f>
        <v>#N/A</v>
      </c>
      <c r="G174" s="800" t="e">
        <f>'FR PD 001 V1'!T27</f>
        <v>#N/A</v>
      </c>
      <c r="J174" s="800">
        <v>22</v>
      </c>
    </row>
    <row r="175" spans="1:19" ht="9.75" customHeight="1" thickBot="1">
      <c r="A175" s="808" t="e">
        <f>'DATOS ETIQ'!U23</f>
        <v>#N/A</v>
      </c>
      <c r="B175" s="808"/>
      <c r="C175" s="359"/>
      <c r="D175" s="808" t="e">
        <f t="shared" si="7"/>
        <v>#N/A</v>
      </c>
      <c r="E175" s="808"/>
      <c r="G175" s="801"/>
      <c r="J175" s="801"/>
    </row>
    <row r="176" spans="1:19" s="364" customFormat="1" ht="9.75" customHeight="1">
      <c r="A176" s="809" t="e">
        <f ca="1">"F.Elab: "&amp;TEXT('FORMATO DIL'!$B$5,"dd/mm/yy")&amp;"       FVto: "&amp;TEXT('DATOS ETIQ'!T$23,"dd/mm/yy")</f>
        <v>#N/A</v>
      </c>
      <c r="B176" s="809"/>
      <c r="C176" s="363"/>
      <c r="D176" s="809" t="e">
        <f t="shared" ca="1" si="7"/>
        <v>#N/A</v>
      </c>
      <c r="E176" s="809"/>
      <c r="J176" s="365"/>
      <c r="N176" s="64"/>
      <c r="O176" s="64"/>
      <c r="P176" s="64"/>
      <c r="Q176" s="64"/>
      <c r="R176" s="64"/>
      <c r="S176" s="64"/>
    </row>
    <row r="177" spans="1:19" s="364" customFormat="1" ht="9.75" customHeight="1">
      <c r="A177" s="809" t="str">
        <f>"Lt: "&amp;'DATOS ETIQ'!I$23</f>
        <v xml:space="preserve">Lt: </v>
      </c>
      <c r="B177" s="809"/>
      <c r="C177" s="363"/>
      <c r="D177" s="809" t="str">
        <f>A177</f>
        <v xml:space="preserve">Lt: </v>
      </c>
      <c r="E177" s="809"/>
      <c r="J177" s="365"/>
      <c r="N177" s="64"/>
      <c r="O177" s="64"/>
      <c r="P177" s="64"/>
      <c r="Q177" s="64"/>
      <c r="R177" s="64"/>
      <c r="S177" s="64"/>
    </row>
    <row r="178" spans="1:19" s="366" customFormat="1" ht="9.75" customHeight="1">
      <c r="A178" s="807" t="str">
        <f>"QFP: "&amp;'DATOS ETIQ'!L$23&amp;"   QFV: "&amp;'DATOS ETIQ'!M$23</f>
        <v>QFP: JGARCIA   QFV: ADELTORO</v>
      </c>
      <c r="B178" s="807"/>
      <c r="C178" s="355"/>
      <c r="D178" s="807" t="str">
        <f t="shared" si="7"/>
        <v>QFP: JGARCIA   QFV: ADELTORO</v>
      </c>
      <c r="E178" s="807"/>
      <c r="J178" s="367"/>
      <c r="N178" s="64"/>
      <c r="O178" s="64"/>
      <c r="P178" s="64"/>
      <c r="Q178" s="64"/>
      <c r="R178" s="64"/>
      <c r="S178" s="64"/>
    </row>
    <row r="179" spans="1:19" s="366" customFormat="1" ht="9.75" customHeight="1">
      <c r="A179" s="807" t="s">
        <v>1390</v>
      </c>
      <c r="B179" s="807"/>
      <c r="C179" s="355"/>
      <c r="D179" s="807" t="str">
        <f t="shared" si="7"/>
        <v>H. SAN JOSE CENTRO</v>
      </c>
      <c r="E179" s="807"/>
      <c r="J179" s="367"/>
      <c r="N179" s="64"/>
      <c r="O179" s="64"/>
      <c r="P179" s="64"/>
      <c r="Q179" s="64"/>
      <c r="R179" s="64"/>
      <c r="S179" s="64"/>
    </row>
    <row r="180" spans="1:19" ht="9.75" customHeight="1">
      <c r="A180" s="808" t="str">
        <f>'DATOS ETIQ'!J$24</f>
        <v/>
      </c>
      <c r="B180" s="808"/>
      <c r="C180" s="359"/>
      <c r="D180" s="808" t="str">
        <f t="shared" si="7"/>
        <v/>
      </c>
      <c r="E180" s="808"/>
      <c r="J180" s="356"/>
      <c r="N180" s="404"/>
      <c r="O180" s="404"/>
      <c r="P180" s="404"/>
      <c r="Q180" s="404"/>
      <c r="R180" s="404"/>
      <c r="S180" s="404"/>
    </row>
    <row r="181" spans="1:19" ht="9.75" customHeight="1" thickBot="1">
      <c r="A181" s="808" t="str">
        <f>'DATOS ETIQ'!Z24</f>
        <v>ID :0   F. Nac:  00ENE00</v>
      </c>
      <c r="B181" s="808"/>
      <c r="C181" s="359"/>
      <c r="D181" s="808" t="str">
        <f t="shared" si="7"/>
        <v>ID :0   F. Nac:  00ENE00</v>
      </c>
      <c r="E181" s="808"/>
      <c r="J181" s="356"/>
    </row>
    <row r="182" spans="1:19" ht="9.75" customHeight="1">
      <c r="A182" s="360" t="e">
        <f>'DATOS ETIQ'!B$24&amp;"   "&amp;'DATOS ETIQ'!S$24</f>
        <v>#N/A</v>
      </c>
      <c r="B182" s="361" t="e">
        <f>'DATOS ETIQ'!W$24</f>
        <v>#N/A</v>
      </c>
      <c r="D182" s="360" t="e">
        <f t="shared" si="7"/>
        <v>#N/A</v>
      </c>
      <c r="E182" s="361" t="e">
        <f>B182</f>
        <v>#N/A</v>
      </c>
      <c r="G182" s="800" t="e">
        <f>'FR PD 001 V1'!T28</f>
        <v>#N/A</v>
      </c>
      <c r="J182" s="800">
        <v>23</v>
      </c>
    </row>
    <row r="183" spans="1:19" ht="9.75" customHeight="1" thickBot="1">
      <c r="A183" s="808" t="e">
        <f>'DATOS ETIQ'!U24</f>
        <v>#N/A</v>
      </c>
      <c r="B183" s="808"/>
      <c r="C183" s="359"/>
      <c r="D183" s="808" t="e">
        <f t="shared" si="7"/>
        <v>#N/A</v>
      </c>
      <c r="E183" s="808"/>
      <c r="G183" s="801"/>
      <c r="J183" s="801"/>
    </row>
    <row r="184" spans="1:19" s="364" customFormat="1" ht="9.75" customHeight="1">
      <c r="A184" s="809" t="e">
        <f ca="1">"F.Elab: "&amp;TEXT('FORMATO DIL'!$B$5,"dd/mm/yy")&amp;"       FVto: "&amp;TEXT('DATOS ETIQ'!T$24,"dd/mm/yy")</f>
        <v>#N/A</v>
      </c>
      <c r="B184" s="809"/>
      <c r="C184" s="363"/>
      <c r="D184" s="809" t="e">
        <f t="shared" ca="1" si="7"/>
        <v>#N/A</v>
      </c>
      <c r="E184" s="809"/>
      <c r="J184" s="365"/>
      <c r="N184" s="64"/>
      <c r="O184" s="64"/>
      <c r="P184" s="64"/>
      <c r="Q184" s="64"/>
      <c r="R184" s="64"/>
      <c r="S184" s="64"/>
    </row>
    <row r="185" spans="1:19" s="364" customFormat="1" ht="9.75" customHeight="1">
      <c r="A185" s="809" t="str">
        <f>"Lt: "&amp;'DATOS ETIQ'!I$24</f>
        <v xml:space="preserve">Lt: </v>
      </c>
      <c r="B185" s="809"/>
      <c r="C185" s="363"/>
      <c r="D185" s="809" t="str">
        <f>A185</f>
        <v xml:space="preserve">Lt: </v>
      </c>
      <c r="E185" s="809"/>
      <c r="J185" s="365"/>
      <c r="N185" s="64"/>
      <c r="O185" s="64"/>
      <c r="P185" s="64"/>
      <c r="Q185" s="64"/>
      <c r="R185" s="64"/>
      <c r="S185" s="64"/>
    </row>
    <row r="186" spans="1:19" s="366" customFormat="1" ht="9.75" customHeight="1">
      <c r="A186" s="807" t="str">
        <f>"QFP: "&amp;'DATOS ETIQ'!L$24&amp;"   QFV: "&amp;'DATOS ETIQ'!M$24</f>
        <v>QFP: JGARCIA   QFV: ADELTORO</v>
      </c>
      <c r="B186" s="807"/>
      <c r="C186" s="355"/>
      <c r="D186" s="807" t="str">
        <f t="shared" si="7"/>
        <v>QFP: JGARCIA   QFV: ADELTORO</v>
      </c>
      <c r="E186" s="807"/>
      <c r="J186" s="367"/>
      <c r="N186" s="64"/>
      <c r="O186" s="64"/>
      <c r="P186" s="64"/>
      <c r="Q186" s="64"/>
      <c r="R186" s="64"/>
      <c r="S186" s="64"/>
    </row>
    <row r="187" spans="1:19" s="366" customFormat="1" ht="9.75" customHeight="1">
      <c r="A187" s="807" t="s">
        <v>1390</v>
      </c>
      <c r="B187" s="807"/>
      <c r="C187" s="355"/>
      <c r="D187" s="807" t="str">
        <f t="shared" si="7"/>
        <v>H. SAN JOSE CENTRO</v>
      </c>
      <c r="E187" s="807"/>
      <c r="J187" s="367"/>
      <c r="N187" s="64"/>
      <c r="O187" s="64"/>
      <c r="P187" s="64"/>
      <c r="Q187" s="64"/>
      <c r="R187" s="64"/>
      <c r="S187" s="64"/>
    </row>
    <row r="188" spans="1:19" ht="9.75" customHeight="1">
      <c r="A188" s="808" t="str">
        <f>'DATOS ETIQ'!J$25</f>
        <v/>
      </c>
      <c r="B188" s="808"/>
      <c r="C188" s="359"/>
      <c r="D188" s="808" t="str">
        <f t="shared" si="7"/>
        <v/>
      </c>
      <c r="E188" s="808"/>
      <c r="J188" s="356"/>
      <c r="N188" s="404"/>
      <c r="O188" s="404"/>
      <c r="P188" s="404"/>
      <c r="Q188" s="404"/>
      <c r="R188" s="404"/>
      <c r="S188" s="404"/>
    </row>
    <row r="189" spans="1:19" ht="9.75" customHeight="1" thickBot="1">
      <c r="A189" s="808" t="str">
        <f>'DATOS ETIQ'!Z25</f>
        <v>ID :0   F. Nac:  00ENE00</v>
      </c>
      <c r="B189" s="808"/>
      <c r="C189" s="359"/>
      <c r="D189" s="808" t="str">
        <f t="shared" si="7"/>
        <v>ID :0   F. Nac:  00ENE00</v>
      </c>
      <c r="E189" s="808"/>
      <c r="J189" s="356"/>
    </row>
    <row r="190" spans="1:19" ht="9.75" customHeight="1">
      <c r="A190" s="360" t="e">
        <f>'DATOS ETIQ'!B$25&amp;"   "&amp;'DATOS ETIQ'!S$25</f>
        <v>#N/A</v>
      </c>
      <c r="B190" s="361" t="e">
        <f>'DATOS ETIQ'!W$25</f>
        <v>#N/A</v>
      </c>
      <c r="D190" s="360" t="e">
        <f t="shared" si="7"/>
        <v>#N/A</v>
      </c>
      <c r="E190" s="361" t="e">
        <f>B190</f>
        <v>#N/A</v>
      </c>
      <c r="G190" s="800" t="e">
        <f>'FR PD 001 V1'!T29</f>
        <v>#N/A</v>
      </c>
      <c r="J190" s="800">
        <v>24</v>
      </c>
    </row>
    <row r="191" spans="1:19" ht="9.75" customHeight="1" thickBot="1">
      <c r="A191" s="808" t="e">
        <f>'DATOS ETIQ'!U25</f>
        <v>#N/A</v>
      </c>
      <c r="B191" s="808"/>
      <c r="C191" s="359"/>
      <c r="D191" s="808" t="e">
        <f t="shared" si="7"/>
        <v>#N/A</v>
      </c>
      <c r="E191" s="808"/>
      <c r="G191" s="801"/>
      <c r="J191" s="801"/>
    </row>
    <row r="192" spans="1:19" s="364" customFormat="1" ht="9.75" customHeight="1">
      <c r="A192" s="809" t="e">
        <f ca="1">"F.Elab: "&amp;TEXT('FORMATO DIL'!$B$5,"dd/mm/yy")&amp;"       FVto: "&amp;TEXT('DATOS ETIQ'!T$25,"dd/mm/yy")</f>
        <v>#N/A</v>
      </c>
      <c r="B192" s="809"/>
      <c r="C192" s="363"/>
      <c r="D192" s="809" t="e">
        <f t="shared" ca="1" si="7"/>
        <v>#N/A</v>
      </c>
      <c r="E192" s="809"/>
      <c r="J192" s="365"/>
      <c r="N192" s="64"/>
      <c r="O192" s="64"/>
      <c r="P192" s="64"/>
      <c r="Q192" s="64"/>
      <c r="R192" s="64"/>
      <c r="S192" s="64"/>
    </row>
    <row r="193" spans="1:19" s="364" customFormat="1" ht="9.75" customHeight="1">
      <c r="A193" s="809" t="str">
        <f>"Lt: "&amp;'DATOS ETIQ'!I$25</f>
        <v xml:space="preserve">Lt: </v>
      </c>
      <c r="B193" s="809"/>
      <c r="C193" s="363"/>
      <c r="D193" s="809" t="str">
        <f>A193</f>
        <v xml:space="preserve">Lt: </v>
      </c>
      <c r="E193" s="809"/>
      <c r="J193" s="365"/>
      <c r="N193" s="64"/>
      <c r="O193" s="64"/>
      <c r="P193" s="64"/>
      <c r="Q193" s="64"/>
      <c r="R193" s="64"/>
      <c r="S193" s="64"/>
    </row>
    <row r="194" spans="1:19" s="366" customFormat="1" ht="9.75" customHeight="1">
      <c r="A194" s="807" t="str">
        <f>"QFP: "&amp;'DATOS ETIQ'!L$25&amp;"   QFV: "&amp;'DATOS ETIQ'!M$25</f>
        <v>QFP: JGARCIA   QFV: ADELTORO</v>
      </c>
      <c r="B194" s="807"/>
      <c r="C194" s="355"/>
      <c r="D194" s="807" t="str">
        <f t="shared" si="7"/>
        <v>QFP: JGARCIA   QFV: ADELTORO</v>
      </c>
      <c r="E194" s="807"/>
      <c r="J194" s="367"/>
      <c r="N194" s="64"/>
      <c r="O194" s="64"/>
      <c r="P194" s="64"/>
      <c r="Q194" s="64"/>
      <c r="R194" s="64"/>
      <c r="S194" s="64"/>
    </row>
    <row r="195" spans="1:19" s="366" customFormat="1" ht="9.75" customHeight="1">
      <c r="A195" s="807" t="s">
        <v>1390</v>
      </c>
      <c r="B195" s="807"/>
      <c r="C195" s="355"/>
      <c r="D195" s="807" t="str">
        <f t="shared" si="7"/>
        <v>H. SAN JOSE CENTRO</v>
      </c>
      <c r="E195" s="807"/>
      <c r="J195" s="367"/>
      <c r="N195" s="64"/>
      <c r="O195" s="64"/>
      <c r="P195" s="64"/>
      <c r="Q195" s="64"/>
      <c r="R195" s="64"/>
      <c r="S195" s="64"/>
    </row>
    <row r="196" spans="1:19" ht="9.75" customHeight="1">
      <c r="A196" s="808" t="str">
        <f>'DATOS ETIQ'!J$26</f>
        <v/>
      </c>
      <c r="B196" s="808"/>
      <c r="C196" s="359"/>
      <c r="D196" s="808" t="str">
        <f t="shared" si="7"/>
        <v/>
      </c>
      <c r="E196" s="808"/>
      <c r="J196" s="356"/>
      <c r="N196" s="404"/>
      <c r="O196" s="404"/>
      <c r="P196" s="404"/>
      <c r="Q196" s="404"/>
      <c r="R196" s="404"/>
      <c r="S196" s="404"/>
    </row>
    <row r="197" spans="1:19" ht="9.75" customHeight="1" thickBot="1">
      <c r="A197" s="808" t="str">
        <f>'DATOS ETIQ'!Z26</f>
        <v>ID :0   F. Nac:  00ENE00</v>
      </c>
      <c r="B197" s="808"/>
      <c r="C197" s="359"/>
      <c r="D197" s="808" t="str">
        <f t="shared" si="7"/>
        <v>ID :0   F. Nac:  00ENE00</v>
      </c>
      <c r="E197" s="808"/>
      <c r="J197" s="356"/>
    </row>
    <row r="198" spans="1:19" ht="9.75" customHeight="1">
      <c r="A198" s="360" t="e">
        <f>'DATOS ETIQ'!B$26&amp;"   "&amp;'DATOS ETIQ'!S$26</f>
        <v>#N/A</v>
      </c>
      <c r="B198" s="361" t="e">
        <f>'DATOS ETIQ'!W$26</f>
        <v>#N/A</v>
      </c>
      <c r="D198" s="360" t="e">
        <f t="shared" si="7"/>
        <v>#N/A</v>
      </c>
      <c r="E198" s="361" t="e">
        <f>B198</f>
        <v>#N/A</v>
      </c>
      <c r="G198" s="800" t="e">
        <f>'FR PD 001 V1'!T30</f>
        <v>#N/A</v>
      </c>
      <c r="J198" s="800">
        <v>25</v>
      </c>
    </row>
    <row r="199" spans="1:19" ht="9.75" customHeight="1" thickBot="1">
      <c r="A199" s="808" t="e">
        <f>'DATOS ETIQ'!U26</f>
        <v>#N/A</v>
      </c>
      <c r="B199" s="808"/>
      <c r="C199" s="359"/>
      <c r="D199" s="808" t="e">
        <f t="shared" si="7"/>
        <v>#N/A</v>
      </c>
      <c r="E199" s="808"/>
      <c r="G199" s="801"/>
      <c r="J199" s="801"/>
    </row>
    <row r="200" spans="1:19" s="364" customFormat="1" ht="9.75" customHeight="1">
      <c r="A200" s="809" t="e">
        <f ca="1">"F.Elab: "&amp;TEXT('FORMATO DIL'!$B$5,"dd/mm/yy")&amp;"       FVto: "&amp;TEXT('DATOS ETIQ'!T$26,"dd/mm/yy")</f>
        <v>#N/A</v>
      </c>
      <c r="B200" s="809"/>
      <c r="C200" s="363"/>
      <c r="D200" s="809" t="e">
        <f t="shared" ca="1" si="7"/>
        <v>#N/A</v>
      </c>
      <c r="E200" s="809"/>
      <c r="J200" s="365"/>
      <c r="N200" s="64"/>
      <c r="O200" s="64"/>
      <c r="P200" s="64"/>
      <c r="Q200" s="64"/>
      <c r="R200" s="64"/>
      <c r="S200" s="64"/>
    </row>
    <row r="201" spans="1:19" s="364" customFormat="1" ht="9.75" customHeight="1">
      <c r="A201" s="809" t="str">
        <f>"Lt: "&amp;'DATOS ETIQ'!I$26</f>
        <v xml:space="preserve">Lt: </v>
      </c>
      <c r="B201" s="809"/>
      <c r="C201" s="363"/>
      <c r="D201" s="809" t="str">
        <f>A201</f>
        <v xml:space="preserve">Lt: </v>
      </c>
      <c r="E201" s="809"/>
      <c r="J201" s="365"/>
      <c r="N201" s="64"/>
      <c r="O201" s="64"/>
      <c r="P201" s="64"/>
      <c r="Q201" s="64"/>
      <c r="R201" s="64"/>
      <c r="S201" s="64"/>
    </row>
    <row r="202" spans="1:19" s="366" customFormat="1" ht="9.75" customHeight="1">
      <c r="A202" s="807" t="str">
        <f>"QFP: "&amp;'DATOS ETIQ'!L$26&amp;"   QFV: "&amp;'DATOS ETIQ'!M$26</f>
        <v>QFP: JGARCIA   QFV: ADELTORO</v>
      </c>
      <c r="B202" s="807"/>
      <c r="C202" s="355"/>
      <c r="D202" s="807" t="str">
        <f t="shared" si="7"/>
        <v>QFP: JGARCIA   QFV: ADELTORO</v>
      </c>
      <c r="E202" s="807"/>
      <c r="J202" s="367"/>
      <c r="N202" s="64"/>
      <c r="O202" s="64"/>
      <c r="P202" s="64"/>
      <c r="Q202" s="64"/>
      <c r="R202" s="64"/>
      <c r="S202" s="64"/>
    </row>
    <row r="203" spans="1:19" s="366" customFormat="1" ht="9.75" customHeight="1">
      <c r="A203" s="807" t="s">
        <v>1390</v>
      </c>
      <c r="B203" s="807"/>
      <c r="C203" s="355"/>
      <c r="D203" s="807" t="str">
        <f t="shared" si="7"/>
        <v>H. SAN JOSE CENTRO</v>
      </c>
      <c r="E203" s="807"/>
      <c r="J203" s="367"/>
      <c r="N203" s="64"/>
      <c r="O203" s="64"/>
      <c r="P203" s="64"/>
      <c r="Q203" s="64"/>
      <c r="R203" s="64"/>
      <c r="S203" s="64"/>
    </row>
    <row r="204" spans="1:19" ht="9.75" customHeight="1">
      <c r="A204" s="808" t="str">
        <f>'DATOS ETIQ'!J$27</f>
        <v/>
      </c>
      <c r="B204" s="808"/>
      <c r="C204" s="359"/>
      <c r="D204" s="808" t="str">
        <f t="shared" si="7"/>
        <v/>
      </c>
      <c r="E204" s="808"/>
      <c r="J204" s="356"/>
      <c r="N204" s="404"/>
      <c r="O204" s="404"/>
      <c r="P204" s="404"/>
      <c r="Q204" s="404"/>
      <c r="R204" s="404"/>
      <c r="S204" s="404"/>
    </row>
    <row r="205" spans="1:19" ht="9.75" customHeight="1" thickBot="1">
      <c r="A205" s="808" t="str">
        <f>'DATOS ETIQ'!Z27</f>
        <v>ID :0   F. Nac:  00ENE00</v>
      </c>
      <c r="B205" s="808"/>
      <c r="C205" s="359"/>
      <c r="D205" s="808" t="str">
        <f t="shared" si="7"/>
        <v>ID :0   F. Nac:  00ENE00</v>
      </c>
      <c r="E205" s="808"/>
      <c r="J205" s="356"/>
    </row>
    <row r="206" spans="1:19" ht="9.75" customHeight="1">
      <c r="A206" s="360" t="e">
        <f>'DATOS ETIQ'!B$27&amp;"   "&amp;'DATOS ETIQ'!S$27</f>
        <v>#N/A</v>
      </c>
      <c r="B206" s="361" t="e">
        <f>'DATOS ETIQ'!W$27</f>
        <v>#N/A</v>
      </c>
      <c r="D206" s="360" t="e">
        <f t="shared" si="7"/>
        <v>#N/A</v>
      </c>
      <c r="E206" s="361" t="e">
        <f>B206</f>
        <v>#N/A</v>
      </c>
      <c r="G206" s="800" t="e">
        <f>'FR PD 001 V1'!T31</f>
        <v>#N/A</v>
      </c>
      <c r="J206" s="800">
        <v>26</v>
      </c>
    </row>
    <row r="207" spans="1:19" ht="9.75" customHeight="1" thickBot="1">
      <c r="A207" s="808" t="e">
        <f>'DATOS ETIQ'!U27</f>
        <v>#N/A</v>
      </c>
      <c r="B207" s="808"/>
      <c r="C207" s="359"/>
      <c r="D207" s="808" t="e">
        <f t="shared" si="7"/>
        <v>#N/A</v>
      </c>
      <c r="E207" s="808"/>
      <c r="G207" s="801"/>
      <c r="J207" s="801"/>
    </row>
    <row r="208" spans="1:19" s="364" customFormat="1" ht="9.75" customHeight="1">
      <c r="A208" s="809" t="e">
        <f ca="1">"F.Elab: "&amp;TEXT('FORMATO DIL'!$B$5,"dd/mm/yy")&amp;"       FVto: "&amp;TEXT('DATOS ETIQ'!T$27,"dd/mm/yy")</f>
        <v>#N/A</v>
      </c>
      <c r="B208" s="809"/>
      <c r="C208" s="363"/>
      <c r="D208" s="809" t="e">
        <f t="shared" ca="1" si="7"/>
        <v>#N/A</v>
      </c>
      <c r="E208" s="809"/>
      <c r="J208" s="365"/>
      <c r="N208" s="64"/>
      <c r="O208" s="64"/>
      <c r="P208" s="64"/>
      <c r="Q208" s="64"/>
      <c r="R208" s="64"/>
      <c r="S208" s="64"/>
    </row>
    <row r="209" spans="1:19" s="364" customFormat="1" ht="9.75" customHeight="1">
      <c r="A209" s="809" t="str">
        <f>"Lt: "&amp;'DATOS ETIQ'!I$27</f>
        <v xml:space="preserve">Lt: </v>
      </c>
      <c r="B209" s="809"/>
      <c r="C209" s="363"/>
      <c r="D209" s="809" t="str">
        <f>A209</f>
        <v xml:space="preserve">Lt: </v>
      </c>
      <c r="E209" s="809"/>
      <c r="J209" s="365"/>
      <c r="N209" s="64"/>
      <c r="O209" s="64"/>
      <c r="P209" s="64"/>
      <c r="Q209" s="64"/>
      <c r="R209" s="64"/>
      <c r="S209" s="64"/>
    </row>
    <row r="210" spans="1:19" s="366" customFormat="1" ht="9.75" customHeight="1">
      <c r="A210" s="807" t="str">
        <f>"QFP: "&amp;'DATOS ETIQ'!L$27&amp;"   QFV: "&amp;'DATOS ETIQ'!M$27</f>
        <v>QFP: JGARCIA   QFV: ADELTORO</v>
      </c>
      <c r="B210" s="807"/>
      <c r="C210" s="355"/>
      <c r="D210" s="807" t="str">
        <f t="shared" si="7"/>
        <v>QFP: JGARCIA   QFV: ADELTORO</v>
      </c>
      <c r="E210" s="807"/>
      <c r="J210" s="367"/>
      <c r="N210" s="64"/>
      <c r="O210" s="64"/>
      <c r="P210" s="64"/>
      <c r="Q210" s="64"/>
      <c r="R210" s="64"/>
      <c r="S210" s="64"/>
    </row>
    <row r="211" spans="1:19" s="366" customFormat="1" ht="9.75" customHeight="1">
      <c r="A211" s="807" t="s">
        <v>1390</v>
      </c>
      <c r="B211" s="807"/>
      <c r="C211" s="355"/>
      <c r="D211" s="807" t="str">
        <f t="shared" si="7"/>
        <v>H. SAN JOSE CENTRO</v>
      </c>
      <c r="E211" s="807"/>
      <c r="J211" s="367"/>
      <c r="N211" s="64"/>
      <c r="O211" s="64"/>
      <c r="P211" s="64"/>
      <c r="Q211" s="64"/>
      <c r="R211" s="64"/>
      <c r="S211" s="64"/>
    </row>
    <row r="212" spans="1:19" ht="9.75" customHeight="1">
      <c r="A212" s="808" t="str">
        <f>'DATOS ETIQ'!J$28</f>
        <v/>
      </c>
      <c r="B212" s="808"/>
      <c r="C212" s="359"/>
      <c r="D212" s="808" t="str">
        <f t="shared" si="7"/>
        <v/>
      </c>
      <c r="E212" s="808"/>
      <c r="J212" s="356"/>
      <c r="N212" s="404"/>
      <c r="O212" s="404"/>
      <c r="P212" s="404"/>
      <c r="Q212" s="404"/>
      <c r="R212" s="404"/>
      <c r="S212" s="404"/>
    </row>
    <row r="213" spans="1:19" ht="9.75" customHeight="1" thickBot="1">
      <c r="A213" s="808" t="str">
        <f>'DATOS ETIQ'!Z28</f>
        <v>ID :0   F. Nac:  00ENE00</v>
      </c>
      <c r="B213" s="808"/>
      <c r="C213" s="359"/>
      <c r="D213" s="808" t="str">
        <f t="shared" si="7"/>
        <v>ID :0   F. Nac:  00ENE00</v>
      </c>
      <c r="E213" s="808"/>
      <c r="J213" s="356"/>
    </row>
    <row r="214" spans="1:19" ht="9.75" customHeight="1">
      <c r="A214" s="360" t="e">
        <f>'DATOS ETIQ'!B$28&amp;"   "&amp;'DATOS ETIQ'!S$28</f>
        <v>#N/A</v>
      </c>
      <c r="B214" s="361" t="e">
        <f>'DATOS ETIQ'!W$28</f>
        <v>#N/A</v>
      </c>
      <c r="D214" s="360" t="e">
        <f t="shared" si="7"/>
        <v>#N/A</v>
      </c>
      <c r="E214" s="361" t="e">
        <f>B214</f>
        <v>#N/A</v>
      </c>
      <c r="G214" s="800" t="e">
        <f>'FR PD 001 V1'!T32</f>
        <v>#N/A</v>
      </c>
      <c r="J214" s="800">
        <v>27</v>
      </c>
    </row>
    <row r="215" spans="1:19" ht="9.75" customHeight="1" thickBot="1">
      <c r="A215" s="808" t="e">
        <f>'DATOS ETIQ'!U28</f>
        <v>#N/A</v>
      </c>
      <c r="B215" s="808"/>
      <c r="C215" s="359"/>
      <c r="D215" s="808" t="e">
        <f t="shared" si="7"/>
        <v>#N/A</v>
      </c>
      <c r="E215" s="808"/>
      <c r="G215" s="801"/>
      <c r="J215" s="801"/>
    </row>
    <row r="216" spans="1:19" s="364" customFormat="1" ht="9.75" customHeight="1">
      <c r="A216" s="809" t="e">
        <f ca="1">"F.Elab: "&amp;TEXT('FORMATO DIL'!$B$5,"dd/mm/yy")&amp;"       FVto: "&amp;TEXT('DATOS ETIQ'!T$28,"dd/mm/yy")</f>
        <v>#N/A</v>
      </c>
      <c r="B216" s="809"/>
      <c r="C216" s="363"/>
      <c r="D216" s="809" t="e">
        <f t="shared" ca="1" si="7"/>
        <v>#N/A</v>
      </c>
      <c r="E216" s="809"/>
      <c r="J216" s="365"/>
      <c r="N216" s="64"/>
      <c r="O216" s="64"/>
      <c r="P216" s="64"/>
      <c r="Q216" s="64"/>
      <c r="R216" s="64"/>
      <c r="S216" s="64"/>
    </row>
    <row r="217" spans="1:19" s="364" customFormat="1" ht="9.75" customHeight="1">
      <c r="A217" s="809" t="str">
        <f>"Lt: "&amp;'DATOS ETIQ'!I$28</f>
        <v xml:space="preserve">Lt: </v>
      </c>
      <c r="B217" s="809"/>
      <c r="C217" s="363"/>
      <c r="D217" s="809" t="str">
        <f>A217</f>
        <v xml:space="preserve">Lt: </v>
      </c>
      <c r="E217" s="809"/>
      <c r="J217" s="365"/>
      <c r="N217" s="64"/>
      <c r="O217" s="64"/>
      <c r="P217" s="64"/>
      <c r="Q217" s="64"/>
      <c r="R217" s="64"/>
      <c r="S217" s="64"/>
    </row>
    <row r="218" spans="1:19" s="366" customFormat="1" ht="9.75" customHeight="1">
      <c r="A218" s="807" t="str">
        <f>"QFP: "&amp;'DATOS ETIQ'!L$28&amp;"   QFV: "&amp;'DATOS ETIQ'!M$28</f>
        <v>QFP: JGARCIA   QFV: ADELTORO</v>
      </c>
      <c r="B218" s="807"/>
      <c r="C218" s="355"/>
      <c r="D218" s="807" t="str">
        <f t="shared" si="7"/>
        <v>QFP: JGARCIA   QFV: ADELTORO</v>
      </c>
      <c r="E218" s="807"/>
      <c r="J218" s="367"/>
      <c r="N218" s="64"/>
      <c r="O218" s="64"/>
      <c r="P218" s="64"/>
      <c r="Q218" s="64"/>
      <c r="R218" s="64"/>
      <c r="S218" s="64"/>
    </row>
    <row r="219" spans="1:19" s="366" customFormat="1" ht="9.75" customHeight="1">
      <c r="A219" s="807" t="s">
        <v>1390</v>
      </c>
      <c r="B219" s="807"/>
      <c r="C219" s="355"/>
      <c r="D219" s="807" t="str">
        <f t="shared" si="7"/>
        <v>H. SAN JOSE CENTRO</v>
      </c>
      <c r="E219" s="807"/>
      <c r="J219" s="367"/>
      <c r="N219" s="64"/>
      <c r="O219" s="64"/>
      <c r="P219" s="64"/>
      <c r="Q219" s="64"/>
      <c r="R219" s="64"/>
      <c r="S219" s="64"/>
    </row>
    <row r="220" spans="1:19" ht="9.75" customHeight="1">
      <c r="A220" s="808" t="str">
        <f>'DATOS ETIQ'!J$29</f>
        <v/>
      </c>
      <c r="B220" s="808"/>
      <c r="C220" s="359"/>
      <c r="D220" s="808" t="str">
        <f t="shared" si="7"/>
        <v/>
      </c>
      <c r="E220" s="808"/>
      <c r="J220" s="356"/>
      <c r="N220" s="404"/>
      <c r="O220" s="404"/>
      <c r="P220" s="404"/>
      <c r="Q220" s="404"/>
      <c r="R220" s="404"/>
      <c r="S220" s="404"/>
    </row>
    <row r="221" spans="1:19" ht="9.75" customHeight="1" thickBot="1">
      <c r="A221" s="808" t="str">
        <f>'DATOS ETIQ'!Z29</f>
        <v>ID :0   F. Nac:  00ENE00</v>
      </c>
      <c r="B221" s="808"/>
      <c r="C221" s="359"/>
      <c r="D221" s="808" t="str">
        <f t="shared" si="7"/>
        <v>ID :0   F. Nac:  00ENE00</v>
      </c>
      <c r="E221" s="808"/>
      <c r="J221" s="356"/>
    </row>
    <row r="222" spans="1:19" ht="9.75" customHeight="1">
      <c r="A222" s="360" t="e">
        <f>'DATOS ETIQ'!B$29&amp;"   "&amp;'DATOS ETIQ'!S$29</f>
        <v>#N/A</v>
      </c>
      <c r="B222" s="361" t="e">
        <f>'DATOS ETIQ'!W$29</f>
        <v>#N/A</v>
      </c>
      <c r="D222" s="360" t="e">
        <f t="shared" si="7"/>
        <v>#N/A</v>
      </c>
      <c r="E222" s="361" t="e">
        <f>B222</f>
        <v>#N/A</v>
      </c>
      <c r="G222" s="800" t="e">
        <f>'FR PD 001 V1'!T33</f>
        <v>#N/A</v>
      </c>
      <c r="J222" s="800">
        <v>28</v>
      </c>
    </row>
    <row r="223" spans="1:19" ht="9.75" customHeight="1" thickBot="1">
      <c r="A223" s="808" t="e">
        <f>'DATOS ETIQ'!U29</f>
        <v>#N/A</v>
      </c>
      <c r="B223" s="808"/>
      <c r="C223" s="359"/>
      <c r="D223" s="808" t="e">
        <f t="shared" si="7"/>
        <v>#N/A</v>
      </c>
      <c r="E223" s="808"/>
      <c r="G223" s="801"/>
      <c r="J223" s="801"/>
    </row>
    <row r="224" spans="1:19" s="364" customFormat="1" ht="9.75" customHeight="1">
      <c r="A224" s="809" t="e">
        <f ca="1">"F.Elab: "&amp;TEXT('FORMATO DIL'!$B$5,"dd/mm/yy")&amp;"       FVto: "&amp;TEXT('DATOS ETIQ'!T$29,"dd/mm/yy")</f>
        <v>#N/A</v>
      </c>
      <c r="B224" s="809"/>
      <c r="C224" s="363"/>
      <c r="D224" s="809" t="e">
        <f t="shared" ca="1" si="7"/>
        <v>#N/A</v>
      </c>
      <c r="E224" s="809"/>
      <c r="J224" s="365"/>
      <c r="N224" s="64"/>
      <c r="O224" s="64"/>
      <c r="P224" s="64"/>
      <c r="Q224" s="64"/>
      <c r="R224" s="64"/>
      <c r="S224" s="64"/>
    </row>
    <row r="225" spans="1:19" s="364" customFormat="1" ht="9.75" customHeight="1">
      <c r="A225" s="809" t="str">
        <f>"Lt: "&amp;'DATOS ETIQ'!I$29</f>
        <v xml:space="preserve">Lt: </v>
      </c>
      <c r="B225" s="809"/>
      <c r="C225" s="363"/>
      <c r="D225" s="809" t="str">
        <f>A225</f>
        <v xml:space="preserve">Lt: </v>
      </c>
      <c r="E225" s="809"/>
      <c r="J225" s="365"/>
      <c r="N225" s="64"/>
      <c r="O225" s="64"/>
      <c r="P225" s="64"/>
      <c r="Q225" s="64"/>
      <c r="R225" s="64"/>
      <c r="S225" s="64"/>
    </row>
    <row r="226" spans="1:19" s="366" customFormat="1" ht="9.75" customHeight="1">
      <c r="A226" s="807" t="str">
        <f>"QFP: "&amp;'DATOS ETIQ'!L$29&amp;"   QFV: "&amp;'DATOS ETIQ'!M$29</f>
        <v>QFP: JGARCIA   QFV: ADELTORO</v>
      </c>
      <c r="B226" s="807"/>
      <c r="C226" s="355"/>
      <c r="D226" s="807" t="str">
        <f t="shared" si="7"/>
        <v>QFP: JGARCIA   QFV: ADELTORO</v>
      </c>
      <c r="E226" s="807"/>
      <c r="J226" s="367"/>
      <c r="N226" s="64"/>
      <c r="O226" s="64"/>
      <c r="P226" s="64"/>
      <c r="Q226" s="64"/>
      <c r="R226" s="64"/>
      <c r="S226" s="64"/>
    </row>
    <row r="227" spans="1:19" s="366" customFormat="1" ht="9.75" customHeight="1">
      <c r="A227" s="807" t="s">
        <v>1390</v>
      </c>
      <c r="B227" s="807"/>
      <c r="C227" s="355"/>
      <c r="D227" s="807" t="str">
        <f t="shared" si="7"/>
        <v>H. SAN JOSE CENTRO</v>
      </c>
      <c r="E227" s="807"/>
      <c r="J227" s="367"/>
      <c r="N227" s="64"/>
      <c r="O227" s="64"/>
      <c r="P227" s="64"/>
      <c r="Q227" s="64"/>
      <c r="R227" s="64"/>
      <c r="S227" s="64"/>
    </row>
    <row r="228" spans="1:19" ht="9.75" customHeight="1">
      <c r="A228" s="808" t="str">
        <f>'DATOS ETIQ'!J$30</f>
        <v/>
      </c>
      <c r="B228" s="808"/>
      <c r="C228" s="359"/>
      <c r="D228" s="808" t="str">
        <f t="shared" si="7"/>
        <v/>
      </c>
      <c r="E228" s="808"/>
      <c r="J228" s="356"/>
      <c r="N228" s="404"/>
      <c r="O228" s="404"/>
      <c r="P228" s="404"/>
      <c r="Q228" s="404"/>
      <c r="R228" s="404"/>
      <c r="S228" s="404"/>
    </row>
    <row r="229" spans="1:19" ht="9.75" customHeight="1" thickBot="1">
      <c r="A229" s="808" t="str">
        <f>'DATOS ETIQ'!Z30</f>
        <v>ID :0   F. Nac:  00ENE00</v>
      </c>
      <c r="B229" s="808"/>
      <c r="C229" s="359"/>
      <c r="D229" s="808" t="str">
        <f t="shared" si="7"/>
        <v>ID :0   F. Nac:  00ENE00</v>
      </c>
      <c r="E229" s="808"/>
      <c r="J229" s="356"/>
    </row>
    <row r="230" spans="1:19" ht="9.75" customHeight="1">
      <c r="A230" s="360" t="e">
        <f>'DATOS ETIQ'!B$30&amp;"   "&amp;'DATOS ETIQ'!S$30</f>
        <v>#N/A</v>
      </c>
      <c r="B230" s="361" t="e">
        <f>'DATOS ETIQ'!W$30</f>
        <v>#N/A</v>
      </c>
      <c r="D230" s="360" t="e">
        <f t="shared" si="7"/>
        <v>#N/A</v>
      </c>
      <c r="E230" s="361" t="e">
        <f>B230</f>
        <v>#N/A</v>
      </c>
      <c r="G230" s="800" t="e">
        <f>'FR PD 001 V1'!T34</f>
        <v>#N/A</v>
      </c>
      <c r="J230" s="800">
        <v>29</v>
      </c>
    </row>
    <row r="231" spans="1:19" ht="9.75" customHeight="1" thickBot="1">
      <c r="A231" s="808" t="e">
        <f>'DATOS ETIQ'!U30</f>
        <v>#N/A</v>
      </c>
      <c r="B231" s="808"/>
      <c r="C231" s="359"/>
      <c r="D231" s="808" t="e">
        <f t="shared" si="7"/>
        <v>#N/A</v>
      </c>
      <c r="E231" s="808"/>
      <c r="G231" s="801"/>
      <c r="J231" s="801"/>
    </row>
    <row r="232" spans="1:19" s="364" customFormat="1" ht="9.75" customHeight="1">
      <c r="A232" s="809" t="e">
        <f ca="1">"F.Elab: "&amp;TEXT('FORMATO DIL'!$B$5,"dd/mm/yy")&amp;"       FVto: "&amp;TEXT('DATOS ETIQ'!T$30,"dd/mm/yy")</f>
        <v>#N/A</v>
      </c>
      <c r="B232" s="809"/>
      <c r="C232" s="363"/>
      <c r="D232" s="809" t="e">
        <f t="shared" ca="1" si="7"/>
        <v>#N/A</v>
      </c>
      <c r="E232" s="809"/>
      <c r="J232" s="365"/>
      <c r="N232" s="64"/>
      <c r="O232" s="64"/>
      <c r="P232" s="64"/>
      <c r="Q232" s="64"/>
      <c r="R232" s="64"/>
      <c r="S232" s="64"/>
    </row>
    <row r="233" spans="1:19" s="364" customFormat="1" ht="9.75" customHeight="1">
      <c r="A233" s="809" t="str">
        <f>"Lt: "&amp;'DATOS ETIQ'!I$30</f>
        <v xml:space="preserve">Lt: </v>
      </c>
      <c r="B233" s="809"/>
      <c r="C233" s="363"/>
      <c r="D233" s="809" t="str">
        <f>A233</f>
        <v xml:space="preserve">Lt: </v>
      </c>
      <c r="E233" s="809"/>
      <c r="J233" s="365"/>
      <c r="N233" s="64"/>
      <c r="O233" s="64"/>
      <c r="P233" s="64"/>
      <c r="Q233" s="64"/>
      <c r="R233" s="64"/>
      <c r="S233" s="64"/>
    </row>
    <row r="234" spans="1:19" s="366" customFormat="1" ht="9.75" customHeight="1">
      <c r="A234" s="807" t="str">
        <f>"QFP: "&amp;'DATOS ETIQ'!L$30&amp;"   QFV: "&amp;'DATOS ETIQ'!M$30</f>
        <v>QFP: JGARCIA   QFV: ADELTORO</v>
      </c>
      <c r="B234" s="807"/>
      <c r="C234" s="355"/>
      <c r="D234" s="807" t="str">
        <f t="shared" si="7"/>
        <v>QFP: JGARCIA   QFV: ADELTORO</v>
      </c>
      <c r="E234" s="807"/>
      <c r="J234" s="367"/>
      <c r="N234" s="64"/>
      <c r="O234" s="64"/>
      <c r="P234" s="64"/>
      <c r="Q234" s="64"/>
      <c r="R234" s="64"/>
      <c r="S234" s="64"/>
    </row>
    <row r="235" spans="1:19" s="366" customFormat="1" ht="9.75" customHeight="1">
      <c r="A235" s="807" t="s">
        <v>1390</v>
      </c>
      <c r="B235" s="807"/>
      <c r="C235" s="355"/>
      <c r="D235" s="807" t="str">
        <f t="shared" si="7"/>
        <v>H. SAN JOSE CENTRO</v>
      </c>
      <c r="E235" s="807"/>
      <c r="J235" s="367"/>
      <c r="N235" s="64"/>
      <c r="O235" s="64"/>
      <c r="P235" s="64"/>
      <c r="Q235" s="64"/>
      <c r="R235" s="64"/>
      <c r="S235" s="64"/>
    </row>
    <row r="236" spans="1:19" ht="9.75" customHeight="1">
      <c r="A236" s="808" t="str">
        <f>'DATOS ETIQ'!J$31</f>
        <v/>
      </c>
      <c r="B236" s="808"/>
      <c r="C236" s="359"/>
      <c r="D236" s="808" t="str">
        <f t="shared" si="7"/>
        <v/>
      </c>
      <c r="E236" s="808"/>
      <c r="J236" s="356"/>
      <c r="N236" s="404"/>
      <c r="O236" s="404"/>
      <c r="P236" s="404"/>
      <c r="Q236" s="404"/>
      <c r="R236" s="404"/>
      <c r="S236" s="404"/>
    </row>
    <row r="237" spans="1:19" ht="9.75" customHeight="1" thickBot="1">
      <c r="A237" s="808" t="str">
        <f>'DATOS ETIQ'!Z31</f>
        <v>ID :0   F. Nac:  00ENE00</v>
      </c>
      <c r="B237" s="808"/>
      <c r="C237" s="359"/>
      <c r="D237" s="808" t="str">
        <f t="shared" ref="D237:D309" si="8">A237</f>
        <v>ID :0   F. Nac:  00ENE00</v>
      </c>
      <c r="E237" s="808"/>
      <c r="J237" s="356"/>
    </row>
    <row r="238" spans="1:19" ht="9.75" customHeight="1">
      <c r="A238" s="360" t="e">
        <f>'DATOS ETIQ'!B$31&amp;"   "&amp;'DATOS ETIQ'!S$31</f>
        <v>#N/A</v>
      </c>
      <c r="B238" s="361" t="e">
        <f>'DATOS ETIQ'!W$31</f>
        <v>#N/A</v>
      </c>
      <c r="D238" s="360" t="e">
        <f t="shared" si="8"/>
        <v>#N/A</v>
      </c>
      <c r="E238" s="361" t="e">
        <f>B238</f>
        <v>#N/A</v>
      </c>
      <c r="G238" s="800" t="e">
        <f>'FR PD 001 V1'!T35</f>
        <v>#N/A</v>
      </c>
      <c r="J238" s="800">
        <v>30</v>
      </c>
    </row>
    <row r="239" spans="1:19" ht="9.75" customHeight="1" thickBot="1">
      <c r="A239" s="808" t="e">
        <f>'DATOS ETIQ'!U31</f>
        <v>#N/A</v>
      </c>
      <c r="B239" s="808"/>
      <c r="C239" s="359"/>
      <c r="D239" s="808" t="e">
        <f t="shared" si="8"/>
        <v>#N/A</v>
      </c>
      <c r="E239" s="808"/>
      <c r="G239" s="801"/>
      <c r="J239" s="801"/>
    </row>
    <row r="240" spans="1:19" s="364" customFormat="1" ht="9.75" customHeight="1">
      <c r="A240" s="809" t="e">
        <f ca="1">"F.Elab: "&amp;TEXT('FORMATO DIL'!$B$5,"dd/mm/yy")&amp;"       FVto: "&amp;TEXT('DATOS ETIQ'!T$31,"dd/mm/yy")</f>
        <v>#N/A</v>
      </c>
      <c r="B240" s="809"/>
      <c r="C240" s="363"/>
      <c r="D240" s="809" t="e">
        <f t="shared" ca="1" si="8"/>
        <v>#N/A</v>
      </c>
      <c r="E240" s="809"/>
      <c r="J240" s="365"/>
      <c r="N240" s="64"/>
      <c r="O240" s="64"/>
      <c r="P240" s="64"/>
      <c r="Q240" s="64"/>
      <c r="R240" s="64"/>
      <c r="S240" s="64"/>
    </row>
    <row r="241" spans="1:19" s="364" customFormat="1" ht="9.75" customHeight="1">
      <c r="A241" s="809" t="str">
        <f>"Lt: "&amp;'DATOS ETIQ'!I$31</f>
        <v xml:space="preserve">Lt: </v>
      </c>
      <c r="B241" s="809"/>
      <c r="C241" s="363"/>
      <c r="D241" s="809" t="str">
        <f>A241</f>
        <v xml:space="preserve">Lt: </v>
      </c>
      <c r="E241" s="809"/>
      <c r="J241" s="365"/>
      <c r="N241" s="64"/>
      <c r="O241" s="64"/>
      <c r="P241" s="64"/>
      <c r="Q241" s="64"/>
      <c r="R241" s="64"/>
      <c r="S241" s="64"/>
    </row>
    <row r="242" spans="1:19" s="366" customFormat="1" ht="9.75" customHeight="1">
      <c r="A242" s="807" t="str">
        <f>"QFP: "&amp;'DATOS ETIQ'!L$31&amp;"   QFV: "&amp;'DATOS ETIQ'!M$31</f>
        <v>QFP: JGARCIA   QFV: ADELTORO</v>
      </c>
      <c r="B242" s="807"/>
      <c r="C242" s="355"/>
      <c r="D242" s="807" t="str">
        <f t="shared" si="8"/>
        <v>QFP: JGARCIA   QFV: ADELTORO</v>
      </c>
      <c r="E242" s="807"/>
      <c r="J242" s="367"/>
      <c r="N242" s="64"/>
      <c r="O242" s="64"/>
      <c r="P242" s="64"/>
      <c r="Q242" s="64"/>
      <c r="R242" s="64"/>
      <c r="S242" s="64"/>
    </row>
    <row r="243" spans="1:19" s="366" customFormat="1" ht="9.75" customHeight="1">
      <c r="A243" s="807" t="s">
        <v>1390</v>
      </c>
      <c r="B243" s="807"/>
      <c r="C243" s="355"/>
      <c r="D243" s="807" t="str">
        <f t="shared" si="8"/>
        <v>H. SAN JOSE CENTRO</v>
      </c>
      <c r="E243" s="807"/>
      <c r="J243" s="367"/>
      <c r="N243" s="64"/>
      <c r="O243" s="64"/>
      <c r="P243" s="64"/>
      <c r="Q243" s="64"/>
      <c r="R243" s="64"/>
      <c r="S243" s="64"/>
    </row>
    <row r="244" spans="1:19" ht="9.75" customHeight="1">
      <c r="A244" s="808" t="str">
        <f>'DATOS ETIQ'!J$32</f>
        <v/>
      </c>
      <c r="B244" s="808"/>
      <c r="C244" s="359"/>
      <c r="D244" s="808" t="str">
        <f t="shared" si="8"/>
        <v/>
      </c>
      <c r="E244" s="808"/>
      <c r="J244" s="356"/>
      <c r="N244" s="404"/>
      <c r="O244" s="404"/>
      <c r="P244" s="404"/>
      <c r="Q244" s="404"/>
      <c r="R244" s="404"/>
      <c r="S244" s="404"/>
    </row>
    <row r="245" spans="1:19" ht="9.75" customHeight="1" thickBot="1">
      <c r="A245" s="808" t="str">
        <f>'DATOS ETIQ'!Z32</f>
        <v>ID :0   F. Nac:  00ENE00</v>
      </c>
      <c r="B245" s="808"/>
      <c r="C245" s="359"/>
      <c r="D245" s="808" t="str">
        <f t="shared" si="8"/>
        <v>ID :0   F. Nac:  00ENE00</v>
      </c>
      <c r="E245" s="808"/>
      <c r="J245" s="356"/>
    </row>
    <row r="246" spans="1:19" ht="9.75" customHeight="1">
      <c r="A246" s="360" t="e">
        <f>'DATOS ETIQ'!B$32&amp;"   "&amp;'DATOS ETIQ'!S$32</f>
        <v>#N/A</v>
      </c>
      <c r="B246" s="361" t="e">
        <f>'DATOS ETIQ'!W$32</f>
        <v>#N/A</v>
      </c>
      <c r="D246" s="360" t="e">
        <f t="shared" si="8"/>
        <v>#N/A</v>
      </c>
      <c r="E246" s="361" t="e">
        <f>B246</f>
        <v>#N/A</v>
      </c>
      <c r="G246" s="800" t="e">
        <f>'FR PD 001 V1'!T36</f>
        <v>#N/A</v>
      </c>
      <c r="J246" s="800">
        <v>31</v>
      </c>
    </row>
    <row r="247" spans="1:19" ht="9.75" customHeight="1" thickBot="1">
      <c r="A247" s="808" t="e">
        <f>'DATOS ETIQ'!U32</f>
        <v>#N/A</v>
      </c>
      <c r="B247" s="808"/>
      <c r="C247" s="359"/>
      <c r="D247" s="808" t="e">
        <f t="shared" si="8"/>
        <v>#N/A</v>
      </c>
      <c r="E247" s="808"/>
      <c r="G247" s="801"/>
      <c r="J247" s="801"/>
    </row>
    <row r="248" spans="1:19" s="364" customFormat="1" ht="9.75" customHeight="1">
      <c r="A248" s="809" t="e">
        <f ca="1">"F.Elab: "&amp;TEXT('FORMATO DIL'!$B$5,"dd/mm/yy")&amp;"       FVto: "&amp;TEXT('DATOS ETIQ'!T$32,"dd/mm/yy")</f>
        <v>#N/A</v>
      </c>
      <c r="B248" s="809"/>
      <c r="C248" s="363"/>
      <c r="D248" s="809" t="e">
        <f t="shared" ca="1" si="8"/>
        <v>#N/A</v>
      </c>
      <c r="E248" s="809"/>
      <c r="J248" s="365"/>
      <c r="N248" s="64"/>
      <c r="O248" s="64"/>
      <c r="P248" s="64"/>
      <c r="Q248" s="64"/>
      <c r="R248" s="64"/>
      <c r="S248" s="64"/>
    </row>
    <row r="249" spans="1:19" s="364" customFormat="1" ht="9.75" customHeight="1">
      <c r="A249" s="809" t="str">
        <f>"Lt: "&amp;'DATOS ETIQ'!I$32</f>
        <v xml:space="preserve">Lt: </v>
      </c>
      <c r="B249" s="809"/>
      <c r="C249" s="363"/>
      <c r="D249" s="809" t="str">
        <f>A249</f>
        <v xml:space="preserve">Lt: </v>
      </c>
      <c r="E249" s="809"/>
      <c r="J249" s="365"/>
      <c r="N249" s="64"/>
      <c r="O249" s="64"/>
      <c r="P249" s="64"/>
      <c r="Q249" s="64"/>
      <c r="R249" s="64"/>
      <c r="S249" s="64"/>
    </row>
    <row r="250" spans="1:19" s="366" customFormat="1" ht="9.75" customHeight="1">
      <c r="A250" s="807" t="str">
        <f>"QFP: "&amp;'DATOS ETIQ'!L$32&amp;"   QFV: "&amp;'DATOS ETIQ'!M$32</f>
        <v>QFP: JGARCIA   QFV: ADELTORO</v>
      </c>
      <c r="B250" s="807"/>
      <c r="C250" s="355"/>
      <c r="D250" s="807" t="str">
        <f t="shared" si="8"/>
        <v>QFP: JGARCIA   QFV: ADELTORO</v>
      </c>
      <c r="E250" s="807"/>
      <c r="J250" s="367"/>
      <c r="N250" s="64"/>
      <c r="O250" s="64"/>
      <c r="P250" s="64"/>
      <c r="Q250" s="64"/>
      <c r="R250" s="64"/>
      <c r="S250" s="64"/>
    </row>
    <row r="251" spans="1:19" s="366" customFormat="1" ht="9.75" customHeight="1">
      <c r="A251" s="807" t="s">
        <v>1390</v>
      </c>
      <c r="B251" s="807"/>
      <c r="C251" s="355"/>
      <c r="D251" s="807" t="str">
        <f t="shared" si="8"/>
        <v>H. SAN JOSE CENTRO</v>
      </c>
      <c r="E251" s="807"/>
      <c r="J251" s="367"/>
      <c r="N251" s="64"/>
      <c r="O251" s="64"/>
      <c r="P251" s="64"/>
      <c r="Q251" s="64"/>
      <c r="R251" s="64"/>
      <c r="S251" s="64"/>
    </row>
    <row r="252" spans="1:19" ht="9.75" customHeight="1">
      <c r="A252" s="808" t="str">
        <f>'DATOS ETIQ'!J$33</f>
        <v/>
      </c>
      <c r="B252" s="808"/>
      <c r="C252" s="359"/>
      <c r="D252" s="808" t="str">
        <f t="shared" si="8"/>
        <v/>
      </c>
      <c r="E252" s="808"/>
      <c r="J252" s="356"/>
      <c r="N252" s="404"/>
      <c r="O252" s="404"/>
      <c r="P252" s="404"/>
      <c r="Q252" s="404"/>
      <c r="R252" s="404"/>
      <c r="S252" s="404"/>
    </row>
    <row r="253" spans="1:19" ht="9.75" customHeight="1" thickBot="1">
      <c r="A253" s="808" t="str">
        <f>'DATOS ETIQ'!Z33</f>
        <v>ID :0   F. Nac:  00ENE00</v>
      </c>
      <c r="B253" s="808"/>
      <c r="C253" s="359"/>
      <c r="D253" s="808" t="str">
        <f t="shared" si="8"/>
        <v>ID :0   F. Nac:  00ENE00</v>
      </c>
      <c r="E253" s="808"/>
      <c r="J253" s="356"/>
    </row>
    <row r="254" spans="1:19" ht="9.75" customHeight="1">
      <c r="A254" s="360" t="e">
        <f>'DATOS ETIQ'!B$33&amp;"   "&amp;'DATOS ETIQ'!S$33</f>
        <v>#N/A</v>
      </c>
      <c r="B254" s="361" t="e">
        <f>'DATOS ETIQ'!W$33</f>
        <v>#N/A</v>
      </c>
      <c r="D254" s="360" t="e">
        <f t="shared" si="8"/>
        <v>#N/A</v>
      </c>
      <c r="E254" s="361" t="e">
        <f>B254</f>
        <v>#N/A</v>
      </c>
      <c r="G254" s="800" t="e">
        <f>'FR PD 001 V1'!T37</f>
        <v>#N/A</v>
      </c>
      <c r="J254" s="800">
        <v>32</v>
      </c>
    </row>
    <row r="255" spans="1:19" ht="9.75" customHeight="1" thickBot="1">
      <c r="A255" s="808" t="e">
        <f>'DATOS ETIQ'!U33</f>
        <v>#N/A</v>
      </c>
      <c r="B255" s="808"/>
      <c r="C255" s="359"/>
      <c r="D255" s="808" t="e">
        <f t="shared" si="8"/>
        <v>#N/A</v>
      </c>
      <c r="E255" s="808"/>
      <c r="G255" s="801"/>
      <c r="J255" s="801"/>
    </row>
    <row r="256" spans="1:19" s="364" customFormat="1" ht="9.75" customHeight="1">
      <c r="A256" s="809" t="e">
        <f ca="1">"F.Elab: "&amp;TEXT('FORMATO DIL'!$B$5,"dd/mm/yy")&amp;"       FVto: "&amp;TEXT('DATOS ETIQ'!T$33,"dd/mm/yy")</f>
        <v>#N/A</v>
      </c>
      <c r="B256" s="809"/>
      <c r="C256" s="363"/>
      <c r="D256" s="809" t="e">
        <f t="shared" ca="1" si="8"/>
        <v>#N/A</v>
      </c>
      <c r="E256" s="809"/>
      <c r="J256" s="365"/>
      <c r="N256" s="64"/>
      <c r="O256" s="64"/>
      <c r="P256" s="64"/>
      <c r="Q256" s="64"/>
      <c r="R256" s="64"/>
      <c r="S256" s="64"/>
    </row>
    <row r="257" spans="1:19" s="364" customFormat="1" ht="9.75" customHeight="1">
      <c r="A257" s="809" t="str">
        <f>"Lt: "&amp;'DATOS ETIQ'!I$33</f>
        <v xml:space="preserve">Lt: </v>
      </c>
      <c r="B257" s="809"/>
      <c r="C257" s="363"/>
      <c r="D257" s="809" t="str">
        <f>A257</f>
        <v xml:space="preserve">Lt: </v>
      </c>
      <c r="E257" s="809"/>
      <c r="J257" s="365"/>
      <c r="N257" s="64"/>
      <c r="O257" s="64"/>
      <c r="P257" s="64"/>
      <c r="Q257" s="64"/>
      <c r="R257" s="64"/>
      <c r="S257" s="64"/>
    </row>
    <row r="258" spans="1:19" s="366" customFormat="1" ht="9.75" customHeight="1">
      <c r="A258" s="807" t="str">
        <f>"QFP: "&amp;'DATOS ETIQ'!L$33&amp;"   QFV: "&amp;'DATOS ETIQ'!M$33</f>
        <v>QFP: JGARCIA   QFV: ADELTORO</v>
      </c>
      <c r="B258" s="807"/>
      <c r="C258" s="355"/>
      <c r="D258" s="807" t="str">
        <f t="shared" si="8"/>
        <v>QFP: JGARCIA   QFV: ADELTORO</v>
      </c>
      <c r="E258" s="807"/>
      <c r="J258" s="367"/>
      <c r="N258" s="64"/>
      <c r="O258" s="64"/>
      <c r="P258" s="64"/>
      <c r="Q258" s="64"/>
      <c r="R258" s="64"/>
      <c r="S258" s="64"/>
    </row>
    <row r="259" spans="1:19" s="366" customFormat="1" ht="9.75" customHeight="1">
      <c r="A259" s="807" t="s">
        <v>1390</v>
      </c>
      <c r="B259" s="807"/>
      <c r="C259" s="355"/>
      <c r="D259" s="807" t="str">
        <f t="shared" si="8"/>
        <v>H. SAN JOSE CENTRO</v>
      </c>
      <c r="E259" s="807"/>
      <c r="J259" s="367"/>
      <c r="N259" s="64"/>
      <c r="O259" s="64"/>
      <c r="P259" s="64"/>
      <c r="Q259" s="64"/>
      <c r="R259" s="64"/>
      <c r="S259" s="64"/>
    </row>
    <row r="260" spans="1:19" ht="9.75" customHeight="1">
      <c r="A260" s="808" t="str">
        <f>'DATOS ETIQ'!J$34</f>
        <v/>
      </c>
      <c r="B260" s="808"/>
      <c r="C260" s="359"/>
      <c r="D260" s="808" t="str">
        <f t="shared" si="8"/>
        <v/>
      </c>
      <c r="E260" s="808"/>
      <c r="J260" s="356"/>
      <c r="N260" s="404"/>
      <c r="O260" s="404"/>
      <c r="P260" s="404"/>
      <c r="Q260" s="404"/>
      <c r="R260" s="404"/>
      <c r="S260" s="404"/>
    </row>
    <row r="261" spans="1:19" ht="9.75" customHeight="1" thickBot="1">
      <c r="A261" s="808" t="str">
        <f>'DATOS ETIQ'!Z34</f>
        <v>ID :0   F. Nac:  00ENE00</v>
      </c>
      <c r="B261" s="808"/>
      <c r="C261" s="359"/>
      <c r="D261" s="808" t="str">
        <f t="shared" si="8"/>
        <v>ID :0   F. Nac:  00ENE00</v>
      </c>
      <c r="E261" s="808"/>
      <c r="J261" s="356"/>
    </row>
    <row r="262" spans="1:19" ht="9.75" customHeight="1">
      <c r="A262" s="360" t="e">
        <f>'DATOS ETIQ'!B$34&amp;"   "&amp;'DATOS ETIQ'!S$34</f>
        <v>#N/A</v>
      </c>
      <c r="B262" s="361" t="e">
        <f>'DATOS ETIQ'!W$34</f>
        <v>#N/A</v>
      </c>
      <c r="D262" s="360" t="e">
        <f t="shared" si="8"/>
        <v>#N/A</v>
      </c>
      <c r="E262" s="361" t="e">
        <f>B262</f>
        <v>#N/A</v>
      </c>
      <c r="G262" s="800" t="e">
        <f>'FR PD 001 V1'!T38</f>
        <v>#N/A</v>
      </c>
      <c r="J262" s="800">
        <v>33</v>
      </c>
    </row>
    <row r="263" spans="1:19" ht="9.75" customHeight="1" thickBot="1">
      <c r="A263" s="808" t="e">
        <f>'DATOS ETIQ'!U34</f>
        <v>#N/A</v>
      </c>
      <c r="B263" s="808"/>
      <c r="C263" s="359"/>
      <c r="D263" s="808" t="e">
        <f t="shared" si="8"/>
        <v>#N/A</v>
      </c>
      <c r="E263" s="808"/>
      <c r="G263" s="801"/>
      <c r="J263" s="801"/>
    </row>
    <row r="264" spans="1:19" s="364" customFormat="1" ht="9.75" customHeight="1">
      <c r="A264" s="809" t="e">
        <f ca="1">"F.Elab: "&amp;TEXT('FORMATO DIL'!$B$5,"dd/mm/yy")&amp;"       FVto: "&amp;TEXT('DATOS ETIQ'!T$34,"dd/mm/yy")</f>
        <v>#N/A</v>
      </c>
      <c r="B264" s="809"/>
      <c r="C264" s="363"/>
      <c r="D264" s="809" t="e">
        <f t="shared" ca="1" si="8"/>
        <v>#N/A</v>
      </c>
      <c r="E264" s="809"/>
      <c r="J264" s="365"/>
      <c r="N264" s="64"/>
      <c r="O264" s="64"/>
      <c r="P264" s="64"/>
      <c r="Q264" s="64"/>
      <c r="R264" s="64"/>
      <c r="S264" s="64"/>
    </row>
    <row r="265" spans="1:19" s="364" customFormat="1" ht="9.75" customHeight="1">
      <c r="A265" s="809" t="str">
        <f>"Lt: "&amp;'DATOS ETIQ'!I$34</f>
        <v xml:space="preserve">Lt: </v>
      </c>
      <c r="B265" s="809"/>
      <c r="C265" s="363"/>
      <c r="D265" s="809" t="str">
        <f>A265</f>
        <v xml:space="preserve">Lt: </v>
      </c>
      <c r="E265" s="809"/>
      <c r="J265" s="365"/>
      <c r="N265" s="64"/>
      <c r="O265" s="64"/>
      <c r="P265" s="64"/>
      <c r="Q265" s="64"/>
      <c r="R265" s="64"/>
      <c r="S265" s="64"/>
    </row>
    <row r="266" spans="1:19" s="366" customFormat="1" ht="9.75" customHeight="1">
      <c r="A266" s="807" t="str">
        <f>"QFP: "&amp;'DATOS ETIQ'!L$34&amp;"   QFV: "&amp;'DATOS ETIQ'!M$34</f>
        <v>QFP: JGARCIA   QFV: ADELTORO</v>
      </c>
      <c r="B266" s="807"/>
      <c r="C266" s="355"/>
      <c r="D266" s="807" t="str">
        <f t="shared" si="8"/>
        <v>QFP: JGARCIA   QFV: ADELTORO</v>
      </c>
      <c r="E266" s="807"/>
      <c r="J266" s="367"/>
      <c r="N266" s="64"/>
      <c r="O266" s="64"/>
      <c r="P266" s="64"/>
      <c r="Q266" s="64"/>
      <c r="R266" s="64"/>
      <c r="S266" s="64"/>
    </row>
    <row r="267" spans="1:19" s="366" customFormat="1" ht="9.75" customHeight="1">
      <c r="A267" s="807" t="s">
        <v>1390</v>
      </c>
      <c r="B267" s="807"/>
      <c r="C267" s="355"/>
      <c r="D267" s="807" t="str">
        <f t="shared" si="8"/>
        <v>H. SAN JOSE CENTRO</v>
      </c>
      <c r="E267" s="807"/>
      <c r="J267" s="367"/>
      <c r="N267" s="64"/>
      <c r="O267" s="64"/>
      <c r="P267" s="64"/>
      <c r="Q267" s="64"/>
      <c r="R267" s="64"/>
      <c r="S267" s="64"/>
    </row>
    <row r="268" spans="1:19" ht="9.75" customHeight="1">
      <c r="A268" s="808" t="str">
        <f>'DATOS ETIQ'!J$35</f>
        <v/>
      </c>
      <c r="B268" s="808"/>
      <c r="C268" s="359"/>
      <c r="D268" s="808" t="str">
        <f t="shared" si="8"/>
        <v/>
      </c>
      <c r="E268" s="808"/>
      <c r="J268" s="356"/>
      <c r="N268" s="404"/>
      <c r="O268" s="404"/>
      <c r="P268" s="404"/>
      <c r="Q268" s="404"/>
      <c r="R268" s="404"/>
      <c r="S268" s="404"/>
    </row>
    <row r="269" spans="1:19" ht="9.75" customHeight="1" thickBot="1">
      <c r="A269" s="808" t="str">
        <f>'DATOS ETIQ'!Z35</f>
        <v>ID :0   F. Nac:  00ENE00</v>
      </c>
      <c r="B269" s="808"/>
      <c r="C269" s="359"/>
      <c r="D269" s="808" t="str">
        <f t="shared" si="8"/>
        <v>ID :0   F. Nac:  00ENE00</v>
      </c>
      <c r="E269" s="808"/>
      <c r="J269" s="356"/>
    </row>
    <row r="270" spans="1:19" ht="9.75" customHeight="1">
      <c r="A270" s="360" t="e">
        <f>'DATOS ETIQ'!B$35&amp;"   "&amp;'DATOS ETIQ'!S$35</f>
        <v>#N/A</v>
      </c>
      <c r="B270" s="361" t="e">
        <f>'DATOS ETIQ'!W$35</f>
        <v>#N/A</v>
      </c>
      <c r="D270" s="360" t="e">
        <f t="shared" si="8"/>
        <v>#N/A</v>
      </c>
      <c r="E270" s="361" t="e">
        <f>B270</f>
        <v>#N/A</v>
      </c>
      <c r="G270" s="800" t="e">
        <f>'FR PD 001 V1'!T39</f>
        <v>#N/A</v>
      </c>
      <c r="J270" s="800">
        <v>34</v>
      </c>
    </row>
    <row r="271" spans="1:19" ht="9.75" customHeight="1" thickBot="1">
      <c r="A271" s="808" t="e">
        <f>'DATOS ETIQ'!U35</f>
        <v>#N/A</v>
      </c>
      <c r="B271" s="808"/>
      <c r="C271" s="359"/>
      <c r="D271" s="808" t="e">
        <f t="shared" si="8"/>
        <v>#N/A</v>
      </c>
      <c r="E271" s="808"/>
      <c r="G271" s="801"/>
      <c r="J271" s="801"/>
    </row>
    <row r="272" spans="1:19" s="364" customFormat="1" ht="9.75" customHeight="1">
      <c r="A272" s="809" t="e">
        <f ca="1">"F.Elab: "&amp;TEXT('FORMATO DIL'!$B$5,"dd/mm/yy")&amp;"       FVto: "&amp;TEXT('DATOS ETIQ'!T$35,"dd/mm/yy")</f>
        <v>#N/A</v>
      </c>
      <c r="B272" s="809"/>
      <c r="C272" s="363"/>
      <c r="D272" s="809" t="e">
        <f t="shared" ca="1" si="8"/>
        <v>#N/A</v>
      </c>
      <c r="E272" s="809"/>
      <c r="J272" s="365"/>
      <c r="N272" s="64"/>
      <c r="O272" s="64"/>
      <c r="P272" s="64"/>
      <c r="Q272" s="64"/>
      <c r="R272" s="64"/>
      <c r="S272" s="64"/>
    </row>
    <row r="273" spans="1:19" s="364" customFormat="1" ht="9.75" customHeight="1">
      <c r="A273" s="809" t="str">
        <f>"Lt: "&amp;'DATOS ETIQ'!I$35</f>
        <v xml:space="preserve">Lt: </v>
      </c>
      <c r="B273" s="809"/>
      <c r="C273" s="363"/>
      <c r="D273" s="809" t="str">
        <f>A273</f>
        <v xml:space="preserve">Lt: </v>
      </c>
      <c r="E273" s="809"/>
      <c r="J273" s="365"/>
      <c r="N273" s="64"/>
      <c r="O273" s="64"/>
      <c r="P273" s="64"/>
      <c r="Q273" s="64"/>
      <c r="R273" s="64"/>
      <c r="S273" s="64"/>
    </row>
    <row r="274" spans="1:19" s="366" customFormat="1" ht="9.75" customHeight="1">
      <c r="A274" s="807" t="str">
        <f>"QFP: "&amp;'DATOS ETIQ'!L$35&amp;"   QFV: "&amp;'DATOS ETIQ'!M$35</f>
        <v>QFP: JGARCIA   QFV: ADELTORO</v>
      </c>
      <c r="B274" s="807"/>
      <c r="C274" s="355"/>
      <c r="D274" s="807" t="str">
        <f t="shared" si="8"/>
        <v>QFP: JGARCIA   QFV: ADELTORO</v>
      </c>
      <c r="E274" s="807"/>
      <c r="J274" s="367"/>
      <c r="N274" s="64"/>
      <c r="O274" s="64"/>
      <c r="P274" s="64"/>
      <c r="Q274" s="64"/>
      <c r="R274" s="64"/>
      <c r="S274" s="64"/>
    </row>
    <row r="275" spans="1:19" s="366" customFormat="1" ht="9.75" customHeight="1">
      <c r="A275" s="807" t="s">
        <v>1390</v>
      </c>
      <c r="B275" s="807"/>
      <c r="C275" s="355"/>
      <c r="D275" s="807" t="str">
        <f t="shared" si="8"/>
        <v>H. SAN JOSE CENTRO</v>
      </c>
      <c r="E275" s="807"/>
      <c r="J275" s="367"/>
      <c r="N275" s="64"/>
      <c r="O275" s="64"/>
      <c r="P275" s="64"/>
      <c r="Q275" s="64"/>
      <c r="R275" s="64"/>
      <c r="S275" s="64"/>
    </row>
    <row r="276" spans="1:19" ht="9.75" customHeight="1">
      <c r="A276" s="808" t="str">
        <f>'DATOS ETIQ'!J$36</f>
        <v/>
      </c>
      <c r="B276" s="808"/>
      <c r="C276" s="359"/>
      <c r="D276" s="808" t="str">
        <f t="shared" si="8"/>
        <v/>
      </c>
      <c r="E276" s="808"/>
      <c r="J276" s="356"/>
      <c r="N276" s="404"/>
      <c r="O276" s="404"/>
      <c r="P276" s="404"/>
      <c r="Q276" s="404"/>
      <c r="R276" s="404"/>
      <c r="S276" s="404"/>
    </row>
    <row r="277" spans="1:19" ht="9.75" customHeight="1" thickBot="1">
      <c r="A277" s="808" t="str">
        <f>'DATOS ETIQ'!Z36</f>
        <v>ID :0   F. Nac:  00ENE00</v>
      </c>
      <c r="B277" s="808"/>
      <c r="C277" s="359"/>
      <c r="D277" s="808" t="str">
        <f t="shared" si="8"/>
        <v>ID :0   F. Nac:  00ENE00</v>
      </c>
      <c r="E277" s="808"/>
      <c r="J277" s="356"/>
    </row>
    <row r="278" spans="1:19" ht="9.75" customHeight="1">
      <c r="A278" s="360" t="e">
        <f>'DATOS ETIQ'!B$36&amp;"   "&amp;'DATOS ETIQ'!S$36</f>
        <v>#N/A</v>
      </c>
      <c r="B278" s="361" t="e">
        <f>'DATOS ETIQ'!W$36</f>
        <v>#N/A</v>
      </c>
      <c r="D278" s="360" t="e">
        <f t="shared" si="8"/>
        <v>#N/A</v>
      </c>
      <c r="E278" s="361" t="e">
        <f>B278</f>
        <v>#N/A</v>
      </c>
      <c r="G278" s="800" t="e">
        <f>'FR PD 001 V1'!T40</f>
        <v>#N/A</v>
      </c>
      <c r="J278" s="800">
        <v>35</v>
      </c>
    </row>
    <row r="279" spans="1:19" ht="9.75" customHeight="1" thickBot="1">
      <c r="A279" s="808" t="e">
        <f>'DATOS ETIQ'!U36</f>
        <v>#N/A</v>
      </c>
      <c r="B279" s="808"/>
      <c r="C279" s="359"/>
      <c r="D279" s="808" t="e">
        <f t="shared" si="8"/>
        <v>#N/A</v>
      </c>
      <c r="E279" s="808"/>
      <c r="G279" s="801"/>
      <c r="J279" s="801"/>
    </row>
    <row r="280" spans="1:19" s="364" customFormat="1" ht="9.75" customHeight="1">
      <c r="A280" s="809" t="e">
        <f ca="1">"F.Elab: "&amp;TEXT('FORMATO DIL'!$B$5,"dd/mm/yy")&amp;"       FVto: "&amp;TEXT('DATOS ETIQ'!T$36,"dd/mm/yy")</f>
        <v>#N/A</v>
      </c>
      <c r="B280" s="809"/>
      <c r="C280" s="363"/>
      <c r="D280" s="809" t="e">
        <f t="shared" ca="1" si="8"/>
        <v>#N/A</v>
      </c>
      <c r="E280" s="809"/>
      <c r="J280" s="365"/>
      <c r="N280" s="64"/>
      <c r="O280" s="64"/>
      <c r="P280" s="64"/>
      <c r="Q280" s="64"/>
      <c r="R280" s="64"/>
      <c r="S280" s="64"/>
    </row>
    <row r="281" spans="1:19" s="364" customFormat="1" ht="9.75" customHeight="1">
      <c r="A281" s="809" t="str">
        <f>"Lt: "&amp;'DATOS ETIQ'!I$36</f>
        <v xml:space="preserve">Lt: </v>
      </c>
      <c r="B281" s="809"/>
      <c r="C281" s="363"/>
      <c r="D281" s="809" t="str">
        <f>A281</f>
        <v xml:space="preserve">Lt: </v>
      </c>
      <c r="E281" s="809"/>
      <c r="J281" s="365"/>
      <c r="N281" s="64"/>
      <c r="O281" s="64"/>
      <c r="P281" s="64"/>
      <c r="Q281" s="64"/>
      <c r="R281" s="64"/>
      <c r="S281" s="64"/>
    </row>
    <row r="282" spans="1:19" s="366" customFormat="1" ht="9.75" customHeight="1">
      <c r="A282" s="807" t="str">
        <f>"QFP: "&amp;'DATOS ETIQ'!L$36&amp;"   QFV: "&amp;'DATOS ETIQ'!M$36</f>
        <v>QFP: JGARCIA   QFV: ADELTORO</v>
      </c>
      <c r="B282" s="807"/>
      <c r="C282" s="355"/>
      <c r="D282" s="807" t="str">
        <f t="shared" si="8"/>
        <v>QFP: JGARCIA   QFV: ADELTORO</v>
      </c>
      <c r="E282" s="807"/>
      <c r="J282" s="367"/>
      <c r="N282" s="64"/>
      <c r="O282" s="64"/>
      <c r="P282" s="64"/>
      <c r="Q282" s="64"/>
      <c r="R282" s="64"/>
      <c r="S282" s="64"/>
    </row>
    <row r="283" spans="1:19" s="366" customFormat="1" ht="9.75" customHeight="1">
      <c r="A283" s="807" t="s">
        <v>1390</v>
      </c>
      <c r="B283" s="807"/>
      <c r="C283" s="355"/>
      <c r="D283" s="807" t="str">
        <f t="shared" si="8"/>
        <v>H. SAN JOSE CENTRO</v>
      </c>
      <c r="E283" s="807"/>
      <c r="J283" s="367"/>
      <c r="N283" s="64"/>
      <c r="O283" s="64"/>
      <c r="P283" s="64"/>
      <c r="Q283" s="64"/>
      <c r="R283" s="64"/>
      <c r="S283" s="64"/>
    </row>
    <row r="284" spans="1:19" ht="9.75" customHeight="1">
      <c r="A284" s="808" t="str">
        <f>'DATOS ETIQ'!J$37</f>
        <v/>
      </c>
      <c r="B284" s="808"/>
      <c r="C284" s="359"/>
      <c r="D284" s="808" t="str">
        <f t="shared" si="8"/>
        <v/>
      </c>
      <c r="E284" s="808"/>
      <c r="J284" s="356"/>
      <c r="N284" s="404"/>
      <c r="O284" s="404"/>
      <c r="P284" s="404"/>
      <c r="Q284" s="404"/>
      <c r="R284" s="404"/>
      <c r="S284" s="404"/>
    </row>
    <row r="285" spans="1:19" ht="9.75" customHeight="1" thickBot="1">
      <c r="A285" s="808" t="str">
        <f>'DATOS ETIQ'!Z37</f>
        <v>ID :0   F. Nac:  00ENE00</v>
      </c>
      <c r="B285" s="808"/>
      <c r="C285" s="359"/>
      <c r="D285" s="808" t="str">
        <f t="shared" si="8"/>
        <v>ID :0   F. Nac:  00ENE00</v>
      </c>
      <c r="E285" s="808"/>
      <c r="J285" s="356"/>
    </row>
    <row r="286" spans="1:19" ht="9.75" customHeight="1">
      <c r="A286" s="360" t="e">
        <f>'DATOS ETIQ'!B$37&amp;"   "&amp;'DATOS ETIQ'!S$37</f>
        <v>#N/A</v>
      </c>
      <c r="B286" s="361" t="e">
        <f>'DATOS ETIQ'!W$37</f>
        <v>#N/A</v>
      </c>
      <c r="D286" s="360" t="e">
        <f t="shared" si="8"/>
        <v>#N/A</v>
      </c>
      <c r="E286" s="361" t="e">
        <f>B286</f>
        <v>#N/A</v>
      </c>
      <c r="G286" s="800" t="e">
        <f>'FR PD 001 V1'!T41</f>
        <v>#N/A</v>
      </c>
      <c r="J286" s="800">
        <v>36</v>
      </c>
    </row>
    <row r="287" spans="1:19" ht="9.75" customHeight="1" thickBot="1">
      <c r="A287" s="808" t="e">
        <f>'DATOS ETIQ'!U37</f>
        <v>#N/A</v>
      </c>
      <c r="B287" s="808"/>
      <c r="C287" s="359"/>
      <c r="D287" s="808" t="e">
        <f t="shared" si="8"/>
        <v>#N/A</v>
      </c>
      <c r="E287" s="808"/>
      <c r="G287" s="801"/>
      <c r="J287" s="801"/>
    </row>
    <row r="288" spans="1:19" s="364" customFormat="1" ht="9.75" customHeight="1">
      <c r="A288" s="809" t="e">
        <f ca="1">"F.Elab: "&amp;TEXT('FORMATO DIL'!$B$5,"dd/mm/yy")&amp;"       FVto: "&amp;TEXT('DATOS ETIQ'!T$37,"dd/mm/yy")</f>
        <v>#N/A</v>
      </c>
      <c r="B288" s="809"/>
      <c r="C288" s="363"/>
      <c r="D288" s="809" t="e">
        <f t="shared" ca="1" si="8"/>
        <v>#N/A</v>
      </c>
      <c r="E288" s="809"/>
      <c r="J288" s="365"/>
      <c r="N288" s="64"/>
      <c r="O288" s="64"/>
      <c r="P288" s="64"/>
      <c r="Q288" s="64"/>
      <c r="R288" s="64"/>
      <c r="S288" s="64"/>
    </row>
    <row r="289" spans="1:19" s="364" customFormat="1" ht="9.75" customHeight="1">
      <c r="A289" s="809" t="str">
        <f>"Lt: "&amp;'DATOS ETIQ'!I$37</f>
        <v xml:space="preserve">Lt: </v>
      </c>
      <c r="B289" s="809"/>
      <c r="C289" s="363"/>
      <c r="D289" s="809" t="str">
        <f>A289</f>
        <v xml:space="preserve">Lt: </v>
      </c>
      <c r="E289" s="809"/>
      <c r="J289" s="365"/>
      <c r="N289" s="64"/>
      <c r="O289" s="64"/>
      <c r="P289" s="64"/>
      <c r="Q289" s="64"/>
      <c r="R289" s="64"/>
      <c r="S289" s="64"/>
    </row>
    <row r="290" spans="1:19" s="366" customFormat="1" ht="9.75" customHeight="1">
      <c r="A290" s="807" t="str">
        <f>"QFP: "&amp;'DATOS ETIQ'!L$37&amp;"   QFV: "&amp;'DATOS ETIQ'!M$37</f>
        <v>QFP: JGARCIA   QFV: ADELTORO</v>
      </c>
      <c r="B290" s="807"/>
      <c r="C290" s="355"/>
      <c r="D290" s="807" t="str">
        <f t="shared" si="8"/>
        <v>QFP: JGARCIA   QFV: ADELTORO</v>
      </c>
      <c r="E290" s="807"/>
      <c r="J290" s="367"/>
      <c r="N290" s="64"/>
      <c r="O290" s="64"/>
      <c r="P290" s="64"/>
      <c r="Q290" s="64"/>
      <c r="R290" s="64"/>
      <c r="S290" s="64"/>
    </row>
    <row r="291" spans="1:19" s="366" customFormat="1" ht="9.75" customHeight="1">
      <c r="A291" s="807" t="s">
        <v>1390</v>
      </c>
      <c r="B291" s="807"/>
      <c r="C291" s="355"/>
      <c r="D291" s="807" t="str">
        <f t="shared" si="8"/>
        <v>H. SAN JOSE CENTRO</v>
      </c>
      <c r="E291" s="807"/>
      <c r="J291" s="367"/>
      <c r="N291" s="64"/>
      <c r="O291" s="64"/>
      <c r="P291" s="64"/>
      <c r="Q291" s="64"/>
      <c r="R291" s="64"/>
      <c r="S291" s="64"/>
    </row>
    <row r="292" spans="1:19" ht="9.75" customHeight="1">
      <c r="A292" s="808" t="str">
        <f>'DATOS ETIQ'!J$38</f>
        <v/>
      </c>
      <c r="B292" s="808"/>
      <c r="C292" s="359"/>
      <c r="D292" s="808" t="str">
        <f t="shared" si="8"/>
        <v/>
      </c>
      <c r="E292" s="808"/>
      <c r="J292" s="356"/>
      <c r="N292" s="404"/>
      <c r="O292" s="404"/>
      <c r="P292" s="404"/>
      <c r="Q292" s="404"/>
      <c r="R292" s="404"/>
      <c r="S292" s="404"/>
    </row>
    <row r="293" spans="1:19" ht="9.75" customHeight="1" thickBot="1">
      <c r="A293" s="808" t="str">
        <f>'DATOS ETIQ'!Z38</f>
        <v>ID :0   F. Nac:  00ENE00</v>
      </c>
      <c r="B293" s="808"/>
      <c r="C293" s="359"/>
      <c r="D293" s="808" t="str">
        <f t="shared" si="8"/>
        <v>ID :0   F. Nac:  00ENE00</v>
      </c>
      <c r="E293" s="808"/>
      <c r="J293" s="356"/>
    </row>
    <row r="294" spans="1:19" ht="9.75" customHeight="1">
      <c r="A294" s="360" t="e">
        <f>'DATOS ETIQ'!B$38&amp;"   "&amp;'DATOS ETIQ'!S$38</f>
        <v>#N/A</v>
      </c>
      <c r="B294" s="361" t="e">
        <f>'DATOS ETIQ'!W$38</f>
        <v>#N/A</v>
      </c>
      <c r="D294" s="360" t="e">
        <f t="shared" si="8"/>
        <v>#N/A</v>
      </c>
      <c r="E294" s="361" t="e">
        <f>B294</f>
        <v>#N/A</v>
      </c>
      <c r="G294" s="800" t="e">
        <f>'FR PD 001 V1'!T42</f>
        <v>#N/A</v>
      </c>
      <c r="J294" s="800">
        <v>37</v>
      </c>
    </row>
    <row r="295" spans="1:19" ht="9.75" customHeight="1" thickBot="1">
      <c r="A295" s="808" t="e">
        <f>'DATOS ETIQ'!U38</f>
        <v>#N/A</v>
      </c>
      <c r="B295" s="808"/>
      <c r="C295" s="359"/>
      <c r="D295" s="808" t="e">
        <f t="shared" si="8"/>
        <v>#N/A</v>
      </c>
      <c r="E295" s="808"/>
      <c r="G295" s="801"/>
      <c r="J295" s="801"/>
    </row>
    <row r="296" spans="1:19" s="364" customFormat="1" ht="9.75" customHeight="1">
      <c r="A296" s="809" t="e">
        <f ca="1">"F.Elab: "&amp;TEXT('FORMATO DIL'!$B$5,"dd/mm/yy")&amp;"       FVto: "&amp;TEXT('DATOS ETIQ'!T$38,"dd/mm/yy")</f>
        <v>#N/A</v>
      </c>
      <c r="B296" s="809"/>
      <c r="C296" s="363"/>
      <c r="D296" s="809" t="e">
        <f t="shared" ca="1" si="8"/>
        <v>#N/A</v>
      </c>
      <c r="E296" s="809"/>
      <c r="J296" s="365"/>
      <c r="N296" s="64"/>
      <c r="O296" s="64"/>
      <c r="P296" s="64"/>
      <c r="Q296" s="64"/>
      <c r="R296" s="64"/>
      <c r="S296" s="64"/>
    </row>
    <row r="297" spans="1:19" s="364" customFormat="1" ht="9.75" customHeight="1">
      <c r="A297" s="809" t="str">
        <f>"Lt: "&amp;'DATOS ETIQ'!I$38</f>
        <v xml:space="preserve">Lt: </v>
      </c>
      <c r="B297" s="809"/>
      <c r="C297" s="363"/>
      <c r="D297" s="809" t="str">
        <f>A297</f>
        <v xml:space="preserve">Lt: </v>
      </c>
      <c r="E297" s="809"/>
      <c r="J297" s="365"/>
      <c r="N297" s="64"/>
      <c r="O297" s="64"/>
      <c r="P297" s="64"/>
      <c r="Q297" s="64"/>
      <c r="R297" s="64"/>
      <c r="S297" s="64"/>
    </row>
    <row r="298" spans="1:19" s="366" customFormat="1" ht="9.75" customHeight="1">
      <c r="A298" s="807" t="str">
        <f>"QFP: "&amp;'DATOS ETIQ'!L$38&amp;"   QFV: "&amp;'DATOS ETIQ'!M$38</f>
        <v>QFP: JGARCIA   QFV: ADELTORO</v>
      </c>
      <c r="B298" s="807"/>
      <c r="C298" s="355"/>
      <c r="D298" s="807" t="str">
        <f t="shared" si="8"/>
        <v>QFP: JGARCIA   QFV: ADELTORO</v>
      </c>
      <c r="E298" s="807"/>
      <c r="J298" s="367"/>
      <c r="N298" s="64"/>
      <c r="O298" s="64"/>
      <c r="P298" s="64"/>
      <c r="Q298" s="64"/>
      <c r="R298" s="64"/>
      <c r="S298" s="64"/>
    </row>
    <row r="299" spans="1:19" s="366" customFormat="1" ht="9.75" customHeight="1">
      <c r="A299" s="807" t="s">
        <v>1390</v>
      </c>
      <c r="B299" s="807"/>
      <c r="C299" s="355"/>
      <c r="D299" s="807" t="str">
        <f t="shared" si="8"/>
        <v>H. SAN JOSE CENTRO</v>
      </c>
      <c r="E299" s="807"/>
      <c r="J299" s="367"/>
      <c r="N299" s="64"/>
      <c r="O299" s="64"/>
      <c r="P299" s="64"/>
      <c r="Q299" s="64"/>
      <c r="R299" s="64"/>
      <c r="S299" s="64"/>
    </row>
    <row r="300" spans="1:19" ht="9.75" customHeight="1">
      <c r="A300" s="808" t="str">
        <f>'DATOS ETIQ'!J$39</f>
        <v/>
      </c>
      <c r="B300" s="808"/>
      <c r="C300" s="359"/>
      <c r="D300" s="808" t="str">
        <f t="shared" si="8"/>
        <v/>
      </c>
      <c r="E300" s="808"/>
      <c r="J300" s="356"/>
      <c r="N300" s="404"/>
      <c r="O300" s="404"/>
      <c r="P300" s="404"/>
      <c r="Q300" s="404"/>
      <c r="R300" s="404"/>
      <c r="S300" s="404"/>
    </row>
    <row r="301" spans="1:19" ht="9.75" customHeight="1" thickBot="1">
      <c r="A301" s="808" t="str">
        <f>'DATOS ETIQ'!Z39</f>
        <v>ID :0   F. Nac:  00ENE00</v>
      </c>
      <c r="B301" s="808"/>
      <c r="C301" s="359"/>
      <c r="D301" s="808" t="str">
        <f t="shared" si="8"/>
        <v>ID :0   F. Nac:  00ENE00</v>
      </c>
      <c r="E301" s="808"/>
      <c r="J301" s="356"/>
    </row>
    <row r="302" spans="1:19" ht="9.75" customHeight="1">
      <c r="A302" s="360" t="e">
        <f>'DATOS ETIQ'!B$39&amp;"   "&amp;'DATOS ETIQ'!S$39</f>
        <v>#N/A</v>
      </c>
      <c r="B302" s="361" t="e">
        <f>'DATOS ETIQ'!W$39</f>
        <v>#N/A</v>
      </c>
      <c r="D302" s="360" t="e">
        <f t="shared" si="8"/>
        <v>#N/A</v>
      </c>
      <c r="E302" s="361" t="e">
        <f>B302</f>
        <v>#N/A</v>
      </c>
      <c r="G302" s="800" t="e">
        <f>'FR PD 001 V1'!T43</f>
        <v>#N/A</v>
      </c>
      <c r="J302" s="800">
        <v>38</v>
      </c>
    </row>
    <row r="303" spans="1:19" ht="9.75" customHeight="1" thickBot="1">
      <c r="A303" s="808" t="e">
        <f>'DATOS ETIQ'!U39</f>
        <v>#N/A</v>
      </c>
      <c r="B303" s="808"/>
      <c r="C303" s="359"/>
      <c r="D303" s="808" t="e">
        <f t="shared" si="8"/>
        <v>#N/A</v>
      </c>
      <c r="E303" s="808"/>
      <c r="G303" s="801"/>
      <c r="J303" s="801"/>
    </row>
    <row r="304" spans="1:19" s="364" customFormat="1" ht="9.75" customHeight="1">
      <c r="A304" s="809" t="e">
        <f ca="1">"F.Elab: "&amp;TEXT('FORMATO DIL'!$B$5,"dd/mm/yy")&amp;"       FVto: "&amp;TEXT('DATOS ETIQ'!T$39,"dd/mm/yy")</f>
        <v>#N/A</v>
      </c>
      <c r="B304" s="809"/>
      <c r="C304" s="363"/>
      <c r="D304" s="809" t="e">
        <f t="shared" ca="1" si="8"/>
        <v>#N/A</v>
      </c>
      <c r="E304" s="809"/>
      <c r="J304" s="365"/>
      <c r="N304" s="64"/>
      <c r="O304" s="64"/>
      <c r="P304" s="64"/>
      <c r="Q304" s="64"/>
      <c r="R304" s="64"/>
      <c r="S304" s="64"/>
    </row>
    <row r="305" spans="1:19" s="364" customFormat="1" ht="9.75" customHeight="1">
      <c r="A305" s="809" t="str">
        <f>"Lt: "&amp;'DATOS ETIQ'!I$39</f>
        <v xml:space="preserve">Lt: </v>
      </c>
      <c r="B305" s="809"/>
      <c r="C305" s="363"/>
      <c r="D305" s="809" t="str">
        <f>A305</f>
        <v xml:space="preserve">Lt: </v>
      </c>
      <c r="E305" s="809"/>
      <c r="J305" s="365"/>
      <c r="N305" s="64"/>
      <c r="O305" s="64"/>
      <c r="P305" s="64"/>
      <c r="Q305" s="64"/>
      <c r="R305" s="64"/>
      <c r="S305" s="64"/>
    </row>
    <row r="306" spans="1:19" s="366" customFormat="1" ht="9.75" customHeight="1">
      <c r="A306" s="807" t="str">
        <f>"QFP: "&amp;'DATOS ETIQ'!L$39&amp;"   QFV: "&amp;'DATOS ETIQ'!M$39</f>
        <v>QFP: JGARCIA   QFV: ADELTORO</v>
      </c>
      <c r="B306" s="807"/>
      <c r="C306" s="355"/>
      <c r="D306" s="807" t="str">
        <f t="shared" si="8"/>
        <v>QFP: JGARCIA   QFV: ADELTORO</v>
      </c>
      <c r="E306" s="807"/>
      <c r="J306" s="367"/>
      <c r="N306" s="64"/>
      <c r="O306" s="64"/>
      <c r="P306" s="64"/>
      <c r="Q306" s="64"/>
      <c r="R306" s="64"/>
      <c r="S306" s="64"/>
    </row>
    <row r="307" spans="1:19" s="366" customFormat="1" ht="9.75" customHeight="1">
      <c r="A307" s="807" t="s">
        <v>1390</v>
      </c>
      <c r="B307" s="807"/>
      <c r="C307" s="355"/>
      <c r="D307" s="807" t="str">
        <f t="shared" si="8"/>
        <v>H. SAN JOSE CENTRO</v>
      </c>
      <c r="E307" s="807"/>
      <c r="J307" s="367"/>
      <c r="N307" s="64"/>
      <c r="O307" s="64"/>
      <c r="P307" s="64"/>
      <c r="Q307" s="64"/>
      <c r="R307" s="64"/>
      <c r="S307" s="64"/>
    </row>
    <row r="308" spans="1:19" ht="9.75" customHeight="1">
      <c r="A308" s="808" t="str">
        <f>'DATOS ETIQ'!J$40</f>
        <v/>
      </c>
      <c r="B308" s="808"/>
      <c r="C308" s="359"/>
      <c r="D308" s="808" t="str">
        <f t="shared" si="8"/>
        <v/>
      </c>
      <c r="E308" s="808"/>
      <c r="J308" s="356"/>
      <c r="N308" s="404"/>
      <c r="O308" s="404"/>
      <c r="P308" s="404"/>
      <c r="Q308" s="404"/>
      <c r="R308" s="404"/>
      <c r="S308" s="404"/>
    </row>
    <row r="309" spans="1:19" ht="9.75" customHeight="1" thickBot="1">
      <c r="A309" s="808" t="str">
        <f>'DATOS ETIQ'!Z40</f>
        <v>ID :0   F. Nac:  00ENE00</v>
      </c>
      <c r="B309" s="808"/>
      <c r="C309" s="359"/>
      <c r="D309" s="808" t="str">
        <f t="shared" si="8"/>
        <v>ID :0   F. Nac:  00ENE00</v>
      </c>
      <c r="E309" s="808"/>
      <c r="J309" s="356"/>
    </row>
    <row r="310" spans="1:19" ht="9.75" customHeight="1">
      <c r="A310" s="360" t="e">
        <f>'DATOS ETIQ'!B$40&amp;"   "&amp;'DATOS ETIQ'!S$40</f>
        <v>#N/A</v>
      </c>
      <c r="B310" s="361" t="e">
        <f>'DATOS ETIQ'!W$40</f>
        <v>#N/A</v>
      </c>
      <c r="D310" s="360" t="e">
        <f t="shared" ref="D310:D355" si="9">A310</f>
        <v>#N/A</v>
      </c>
      <c r="E310" s="361" t="e">
        <f>B310</f>
        <v>#N/A</v>
      </c>
      <c r="G310" s="800" t="e">
        <f>'FR PD 001 V1'!T44</f>
        <v>#N/A</v>
      </c>
      <c r="J310" s="800">
        <v>39</v>
      </c>
    </row>
    <row r="311" spans="1:19" ht="9.75" customHeight="1" thickBot="1">
      <c r="A311" s="808" t="e">
        <f>'DATOS ETIQ'!U40</f>
        <v>#N/A</v>
      </c>
      <c r="B311" s="808"/>
      <c r="C311" s="359"/>
      <c r="D311" s="808" t="e">
        <f t="shared" si="9"/>
        <v>#N/A</v>
      </c>
      <c r="E311" s="808"/>
      <c r="G311" s="801"/>
      <c r="J311" s="801"/>
    </row>
    <row r="312" spans="1:19" s="364" customFormat="1" ht="9.75" customHeight="1">
      <c r="A312" s="809" t="e">
        <f ca="1">"F.Elab: "&amp;TEXT('FORMATO DIL'!$B$5,"dd/mm/yy")&amp;"       FVto: "&amp;TEXT('DATOS ETIQ'!T$40,"dd/mm/yy")</f>
        <v>#N/A</v>
      </c>
      <c r="B312" s="809"/>
      <c r="C312" s="363"/>
      <c r="D312" s="809" t="e">
        <f t="shared" ca="1" si="9"/>
        <v>#N/A</v>
      </c>
      <c r="E312" s="809"/>
      <c r="J312" s="365"/>
      <c r="N312" s="64"/>
      <c r="O312" s="64"/>
      <c r="P312" s="64"/>
      <c r="Q312" s="64"/>
      <c r="R312" s="64"/>
      <c r="S312" s="64"/>
    </row>
    <row r="313" spans="1:19" s="364" customFormat="1" ht="9.75" customHeight="1">
      <c r="A313" s="809" t="str">
        <f>"Lt: "&amp;'DATOS ETIQ'!I$40</f>
        <v xml:space="preserve">Lt: </v>
      </c>
      <c r="B313" s="809"/>
      <c r="C313" s="363"/>
      <c r="D313" s="809" t="str">
        <f>A313</f>
        <v xml:space="preserve">Lt: </v>
      </c>
      <c r="E313" s="809"/>
      <c r="J313" s="365"/>
      <c r="N313" s="64"/>
      <c r="O313" s="64"/>
      <c r="P313" s="64"/>
      <c r="Q313" s="64"/>
      <c r="R313" s="64"/>
      <c r="S313" s="64"/>
    </row>
    <row r="314" spans="1:19" s="366" customFormat="1" ht="9.75" customHeight="1">
      <c r="A314" s="807" t="str">
        <f>"QFP: "&amp;'DATOS ETIQ'!L$40&amp;"   QFV: "&amp;'DATOS ETIQ'!M$40</f>
        <v>QFP: JGARCIA   QFV: ADELTORO</v>
      </c>
      <c r="B314" s="807"/>
      <c r="C314" s="355"/>
      <c r="D314" s="807" t="str">
        <f t="shared" si="9"/>
        <v>QFP: JGARCIA   QFV: ADELTORO</v>
      </c>
      <c r="E314" s="807"/>
      <c r="J314" s="367"/>
      <c r="N314" s="64"/>
      <c r="O314" s="64"/>
      <c r="P314" s="64"/>
      <c r="Q314" s="64"/>
      <c r="R314" s="64"/>
      <c r="S314" s="64"/>
    </row>
    <row r="315" spans="1:19" s="366" customFormat="1" ht="9.75" customHeight="1">
      <c r="A315" s="807" t="s">
        <v>1390</v>
      </c>
      <c r="B315" s="807"/>
      <c r="C315" s="355"/>
      <c r="D315" s="807" t="str">
        <f t="shared" si="9"/>
        <v>H. SAN JOSE CENTRO</v>
      </c>
      <c r="E315" s="807"/>
      <c r="J315" s="367"/>
      <c r="N315" s="64"/>
      <c r="O315" s="64"/>
      <c r="P315" s="64"/>
      <c r="Q315" s="64"/>
      <c r="R315" s="64"/>
      <c r="S315" s="64"/>
    </row>
    <row r="316" spans="1:19" ht="9.75" customHeight="1">
      <c r="A316" s="808" t="str">
        <f>'DATOS ETIQ'!J$41</f>
        <v/>
      </c>
      <c r="B316" s="808"/>
      <c r="C316" s="359"/>
      <c r="D316" s="808" t="str">
        <f t="shared" si="9"/>
        <v/>
      </c>
      <c r="E316" s="808"/>
      <c r="J316" s="356"/>
      <c r="N316" s="404"/>
      <c r="O316" s="404"/>
      <c r="P316" s="404"/>
      <c r="Q316" s="404"/>
      <c r="R316" s="404"/>
      <c r="S316" s="404"/>
    </row>
    <row r="317" spans="1:19" ht="9.75" customHeight="1" thickBot="1">
      <c r="A317" s="808" t="str">
        <f>'DATOS ETIQ'!Z41</f>
        <v>ID :0   F. Nac:  00ENE00</v>
      </c>
      <c r="B317" s="808"/>
      <c r="C317" s="359"/>
      <c r="D317" s="808" t="str">
        <f t="shared" si="9"/>
        <v>ID :0   F. Nac:  00ENE00</v>
      </c>
      <c r="E317" s="808"/>
      <c r="J317" s="356"/>
    </row>
    <row r="318" spans="1:19" ht="9.75" customHeight="1">
      <c r="A318" s="360" t="e">
        <f>'DATOS ETIQ'!B$41&amp;"   "&amp;'DATOS ETIQ'!S$41</f>
        <v>#N/A</v>
      </c>
      <c r="B318" s="361" t="e">
        <f>'DATOS ETIQ'!W$41</f>
        <v>#N/A</v>
      </c>
      <c r="D318" s="360" t="e">
        <f t="shared" si="9"/>
        <v>#N/A</v>
      </c>
      <c r="E318" s="361" t="e">
        <f>B318</f>
        <v>#N/A</v>
      </c>
      <c r="G318" s="800" t="e">
        <f>'FR PD 001 V1'!T45</f>
        <v>#N/A</v>
      </c>
      <c r="J318" s="800">
        <v>40</v>
      </c>
    </row>
    <row r="319" spans="1:19" ht="9.75" customHeight="1" thickBot="1">
      <c r="A319" s="808" t="e">
        <f>'DATOS ETIQ'!U41</f>
        <v>#N/A</v>
      </c>
      <c r="B319" s="808"/>
      <c r="C319" s="359"/>
      <c r="D319" s="808" t="e">
        <f t="shared" si="9"/>
        <v>#N/A</v>
      </c>
      <c r="E319" s="808"/>
      <c r="G319" s="801"/>
      <c r="J319" s="801"/>
    </row>
    <row r="320" spans="1:19" s="364" customFormat="1" ht="9.75" customHeight="1">
      <c r="A320" s="809" t="e">
        <f ca="1">"F.Elab: "&amp;TEXT('FORMATO DIL'!$B$5,"dd/mm/yy")&amp;"       FVto: "&amp;TEXT('DATOS ETIQ'!T$41,"dd/mm/yy")</f>
        <v>#N/A</v>
      </c>
      <c r="B320" s="809"/>
      <c r="C320" s="363"/>
      <c r="D320" s="809" t="e">
        <f t="shared" ca="1" si="9"/>
        <v>#N/A</v>
      </c>
      <c r="E320" s="809"/>
      <c r="J320" s="365"/>
      <c r="N320" s="64"/>
      <c r="O320" s="64"/>
      <c r="P320" s="64"/>
      <c r="Q320" s="64"/>
      <c r="R320" s="64"/>
      <c r="S320" s="64"/>
    </row>
    <row r="321" spans="1:19" s="364" customFormat="1" ht="9.75" customHeight="1">
      <c r="A321" s="809" t="str">
        <f>"Lt: "&amp;'DATOS ETIQ'!I$41</f>
        <v xml:space="preserve">Lt: </v>
      </c>
      <c r="B321" s="809"/>
      <c r="C321" s="363"/>
      <c r="D321" s="809" t="str">
        <f>A321</f>
        <v xml:space="preserve">Lt: </v>
      </c>
      <c r="E321" s="809"/>
      <c r="J321" s="365"/>
      <c r="N321" s="64"/>
      <c r="O321" s="64"/>
      <c r="P321" s="64"/>
      <c r="Q321" s="64"/>
      <c r="R321" s="64"/>
      <c r="S321" s="64"/>
    </row>
    <row r="322" spans="1:19" s="366" customFormat="1" ht="9.75" customHeight="1">
      <c r="A322" s="807" t="str">
        <f>"QFP: "&amp;'DATOS ETIQ'!L$41&amp;"   QFV: "&amp;'DATOS ETIQ'!M$41</f>
        <v>QFP: JGARCIA   QFV: ADELTORO</v>
      </c>
      <c r="B322" s="807"/>
      <c r="C322" s="355"/>
      <c r="D322" s="807" t="str">
        <f t="shared" si="9"/>
        <v>QFP: JGARCIA   QFV: ADELTORO</v>
      </c>
      <c r="E322" s="807"/>
      <c r="J322" s="367"/>
      <c r="N322" s="64"/>
      <c r="O322" s="64"/>
      <c r="P322" s="64"/>
      <c r="Q322" s="64"/>
      <c r="R322" s="64"/>
      <c r="S322" s="64"/>
    </row>
    <row r="323" spans="1:19" s="366" customFormat="1" ht="9.75" customHeight="1">
      <c r="A323" s="807" t="s">
        <v>1390</v>
      </c>
      <c r="B323" s="807"/>
      <c r="C323" s="355"/>
      <c r="D323" s="807" t="str">
        <f t="shared" si="9"/>
        <v>H. SAN JOSE CENTRO</v>
      </c>
      <c r="E323" s="807"/>
      <c r="J323" s="367"/>
      <c r="N323" s="64"/>
      <c r="O323" s="64"/>
      <c r="P323" s="64"/>
      <c r="Q323" s="64"/>
      <c r="R323" s="64"/>
      <c r="S323" s="64"/>
    </row>
    <row r="324" spans="1:19" ht="9.75" customHeight="1">
      <c r="A324" s="808" t="str">
        <f>'DATOS ETIQ'!J$42</f>
        <v/>
      </c>
      <c r="B324" s="808"/>
      <c r="C324" s="359"/>
      <c r="D324" s="808" t="str">
        <f t="shared" si="9"/>
        <v/>
      </c>
      <c r="E324" s="808"/>
      <c r="J324" s="356"/>
      <c r="N324" s="404"/>
      <c r="O324" s="404"/>
      <c r="P324" s="404"/>
      <c r="Q324" s="404"/>
      <c r="R324" s="404"/>
      <c r="S324" s="404"/>
    </row>
    <row r="325" spans="1:19" ht="9.75" customHeight="1" thickBot="1">
      <c r="A325" s="808" t="str">
        <f>'DATOS ETIQ'!Z42</f>
        <v>ID :0   F. Nac:  00ENE00</v>
      </c>
      <c r="B325" s="808"/>
      <c r="C325" s="359"/>
      <c r="D325" s="808" t="str">
        <f t="shared" si="9"/>
        <v>ID :0   F. Nac:  00ENE00</v>
      </c>
      <c r="E325" s="808"/>
      <c r="J325" s="356"/>
    </row>
    <row r="326" spans="1:19" ht="9.75" customHeight="1">
      <c r="A326" s="360" t="e">
        <f>'DATOS ETIQ'!B$42&amp;"   "&amp;'DATOS ETIQ'!S$42</f>
        <v>#N/A</v>
      </c>
      <c r="B326" s="361" t="e">
        <f>'DATOS ETIQ'!W$42</f>
        <v>#N/A</v>
      </c>
      <c r="D326" s="360" t="e">
        <f t="shared" si="9"/>
        <v>#N/A</v>
      </c>
      <c r="E326" s="361" t="e">
        <f>B326</f>
        <v>#N/A</v>
      </c>
      <c r="G326" s="800" t="e">
        <f>'FR PD 001 V1'!T46</f>
        <v>#N/A</v>
      </c>
      <c r="J326" s="800">
        <v>41</v>
      </c>
    </row>
    <row r="327" spans="1:19" ht="9.75" customHeight="1" thickBot="1">
      <c r="A327" s="808" t="e">
        <f>'DATOS ETIQ'!U42</f>
        <v>#N/A</v>
      </c>
      <c r="B327" s="808"/>
      <c r="C327" s="359"/>
      <c r="D327" s="808" t="e">
        <f t="shared" si="9"/>
        <v>#N/A</v>
      </c>
      <c r="E327" s="808"/>
      <c r="G327" s="801"/>
      <c r="J327" s="801"/>
    </row>
    <row r="328" spans="1:19" s="364" customFormat="1" ht="9.75" customHeight="1">
      <c r="A328" s="809" t="e">
        <f ca="1">"F.Elab: "&amp;TEXT('FORMATO DIL'!$B$5,"dd/mm/yy")&amp;"       FVto: "&amp;TEXT('DATOS ETIQ'!T$42,"dd/mm/yy")</f>
        <v>#N/A</v>
      </c>
      <c r="B328" s="809"/>
      <c r="C328" s="363"/>
      <c r="D328" s="809" t="e">
        <f t="shared" ca="1" si="9"/>
        <v>#N/A</v>
      </c>
      <c r="E328" s="809"/>
      <c r="J328" s="365"/>
      <c r="N328" s="64"/>
      <c r="O328" s="64"/>
      <c r="P328" s="64"/>
      <c r="Q328" s="64"/>
      <c r="R328" s="64"/>
      <c r="S328" s="64"/>
    </row>
    <row r="329" spans="1:19" s="364" customFormat="1" ht="9.75" customHeight="1">
      <c r="A329" s="809" t="str">
        <f>"Lt: "&amp;'DATOS ETIQ'!I$42</f>
        <v xml:space="preserve">Lt: </v>
      </c>
      <c r="B329" s="809"/>
      <c r="C329" s="363"/>
      <c r="D329" s="809" t="str">
        <f>A329</f>
        <v xml:space="preserve">Lt: </v>
      </c>
      <c r="E329" s="809"/>
      <c r="J329" s="365"/>
      <c r="N329" s="64"/>
      <c r="O329" s="64"/>
      <c r="P329" s="64"/>
      <c r="Q329" s="64"/>
      <c r="R329" s="64"/>
      <c r="S329" s="64"/>
    </row>
    <row r="330" spans="1:19" s="366" customFormat="1" ht="9.75" customHeight="1">
      <c r="A330" s="807" t="str">
        <f>"QFP: "&amp;'DATOS ETIQ'!L$42&amp;"   QFV: "&amp;'DATOS ETIQ'!M$42</f>
        <v>QFP: JGARCIA   QFV: ADELTORO</v>
      </c>
      <c r="B330" s="807"/>
      <c r="C330" s="355"/>
      <c r="D330" s="807" t="str">
        <f t="shared" si="9"/>
        <v>QFP: JGARCIA   QFV: ADELTORO</v>
      </c>
      <c r="E330" s="807"/>
      <c r="J330" s="367"/>
      <c r="N330" s="64"/>
      <c r="O330" s="64"/>
      <c r="P330" s="64"/>
      <c r="Q330" s="64"/>
      <c r="R330" s="64"/>
      <c r="S330" s="64"/>
    </row>
    <row r="331" spans="1:19" s="366" customFormat="1" ht="9.75" customHeight="1">
      <c r="A331" s="807" t="s">
        <v>1390</v>
      </c>
      <c r="B331" s="807"/>
      <c r="C331" s="355"/>
      <c r="D331" s="807" t="str">
        <f t="shared" si="9"/>
        <v>H. SAN JOSE CENTRO</v>
      </c>
      <c r="E331" s="807"/>
      <c r="J331" s="367"/>
      <c r="N331" s="64"/>
      <c r="O331" s="64"/>
      <c r="P331" s="64"/>
      <c r="Q331" s="64"/>
      <c r="R331" s="64"/>
      <c r="S331" s="64"/>
    </row>
    <row r="332" spans="1:19" ht="9.75" customHeight="1">
      <c r="A332" s="808" t="str">
        <f>'DATOS ETIQ'!J$43</f>
        <v/>
      </c>
      <c r="B332" s="808"/>
      <c r="C332" s="359"/>
      <c r="D332" s="808" t="str">
        <f t="shared" si="9"/>
        <v/>
      </c>
      <c r="E332" s="808"/>
      <c r="J332" s="356"/>
      <c r="N332" s="404"/>
      <c r="O332" s="404"/>
      <c r="P332" s="404"/>
      <c r="Q332" s="404"/>
      <c r="R332" s="404"/>
      <c r="S332" s="404"/>
    </row>
    <row r="333" spans="1:19" ht="9.75" customHeight="1" thickBot="1">
      <c r="A333" s="808" t="str">
        <f>'DATOS ETIQ'!Z43</f>
        <v>ID :0   F. Nac:  00ENE00</v>
      </c>
      <c r="B333" s="808"/>
      <c r="C333" s="359"/>
      <c r="D333" s="808" t="str">
        <f t="shared" si="9"/>
        <v>ID :0   F. Nac:  00ENE00</v>
      </c>
      <c r="E333" s="808"/>
      <c r="J333" s="356"/>
    </row>
    <row r="334" spans="1:19" ht="9.75" customHeight="1">
      <c r="A334" s="360" t="e">
        <f>'DATOS ETIQ'!B$43&amp;"   "&amp;'DATOS ETIQ'!S$43</f>
        <v>#N/A</v>
      </c>
      <c r="B334" s="361" t="e">
        <f>'DATOS ETIQ'!W$43</f>
        <v>#N/A</v>
      </c>
      <c r="D334" s="360" t="e">
        <f t="shared" si="9"/>
        <v>#N/A</v>
      </c>
      <c r="E334" s="361" t="e">
        <f>B334</f>
        <v>#N/A</v>
      </c>
      <c r="G334" s="800" t="e">
        <f>'FR PD 001 V1'!T47</f>
        <v>#N/A</v>
      </c>
      <c r="J334" s="800">
        <v>42</v>
      </c>
    </row>
    <row r="335" spans="1:19" ht="9.75" customHeight="1" thickBot="1">
      <c r="A335" s="808" t="e">
        <f>'DATOS ETIQ'!U43</f>
        <v>#N/A</v>
      </c>
      <c r="B335" s="808"/>
      <c r="C335" s="359"/>
      <c r="D335" s="808" t="e">
        <f t="shared" si="9"/>
        <v>#N/A</v>
      </c>
      <c r="E335" s="808"/>
      <c r="G335" s="801"/>
      <c r="J335" s="801"/>
    </row>
    <row r="336" spans="1:19" s="364" customFormat="1" ht="9.75" customHeight="1">
      <c r="A336" s="809" t="e">
        <f ca="1">"F.Elab: "&amp;TEXT('FORMATO DIL'!$B$5,"dd/mm/yy")&amp;"       FVto: "&amp;TEXT('DATOS ETIQ'!T$43,"dd/mm/yy")</f>
        <v>#N/A</v>
      </c>
      <c r="B336" s="809"/>
      <c r="C336" s="363"/>
      <c r="D336" s="809" t="e">
        <f t="shared" ca="1" si="9"/>
        <v>#N/A</v>
      </c>
      <c r="E336" s="809"/>
      <c r="J336" s="365"/>
      <c r="N336" s="64"/>
      <c r="O336" s="64"/>
      <c r="P336" s="64"/>
      <c r="Q336" s="64"/>
      <c r="R336" s="64"/>
      <c r="S336" s="64"/>
    </row>
    <row r="337" spans="1:19" s="364" customFormat="1" ht="9.75" customHeight="1">
      <c r="A337" s="809" t="str">
        <f>"Lt: "&amp;'DATOS ETIQ'!I$43</f>
        <v xml:space="preserve">Lt: </v>
      </c>
      <c r="B337" s="809"/>
      <c r="C337" s="363"/>
      <c r="D337" s="809" t="str">
        <f>A337</f>
        <v xml:space="preserve">Lt: </v>
      </c>
      <c r="E337" s="809"/>
      <c r="J337" s="365"/>
      <c r="N337" s="64"/>
      <c r="O337" s="64"/>
      <c r="P337" s="64"/>
      <c r="Q337" s="64"/>
      <c r="R337" s="64"/>
      <c r="S337" s="64"/>
    </row>
    <row r="338" spans="1:19" s="366" customFormat="1" ht="9.75" customHeight="1">
      <c r="A338" s="807" t="str">
        <f>"QFP: "&amp;'DATOS ETIQ'!L$43&amp;"   QFV: "&amp;'DATOS ETIQ'!M$43</f>
        <v>QFP: JGARCIA   QFV: ADELTORO</v>
      </c>
      <c r="B338" s="807"/>
      <c r="C338" s="355"/>
      <c r="D338" s="807" t="str">
        <f t="shared" si="9"/>
        <v>QFP: JGARCIA   QFV: ADELTORO</v>
      </c>
      <c r="E338" s="807"/>
      <c r="J338" s="367"/>
      <c r="N338" s="64"/>
      <c r="O338" s="64"/>
      <c r="P338" s="64"/>
      <c r="Q338" s="64"/>
      <c r="R338" s="64"/>
      <c r="S338" s="64"/>
    </row>
    <row r="339" spans="1:19" s="366" customFormat="1" ht="9.75" customHeight="1">
      <c r="A339" s="807" t="s">
        <v>1390</v>
      </c>
      <c r="B339" s="807"/>
      <c r="C339" s="355"/>
      <c r="D339" s="807" t="str">
        <f t="shared" si="9"/>
        <v>H. SAN JOSE CENTRO</v>
      </c>
      <c r="E339" s="807"/>
      <c r="J339" s="367"/>
      <c r="N339" s="64"/>
      <c r="O339" s="64"/>
      <c r="P339" s="64"/>
      <c r="Q339" s="64"/>
      <c r="R339" s="64"/>
      <c r="S339" s="64"/>
    </row>
    <row r="340" spans="1:19" ht="9.75" customHeight="1">
      <c r="A340" s="808" t="str">
        <f>'DATOS ETIQ'!J$44</f>
        <v/>
      </c>
      <c r="B340" s="808"/>
      <c r="C340" s="359"/>
      <c r="D340" s="808" t="str">
        <f t="shared" si="9"/>
        <v/>
      </c>
      <c r="E340" s="808"/>
      <c r="J340" s="356"/>
      <c r="N340" s="404"/>
      <c r="O340" s="404"/>
      <c r="P340" s="404"/>
      <c r="Q340" s="404"/>
      <c r="R340" s="404"/>
      <c r="S340" s="404"/>
    </row>
    <row r="341" spans="1:19" ht="9.75" customHeight="1" thickBot="1">
      <c r="A341" s="808" t="str">
        <f>'DATOS ETIQ'!Z44</f>
        <v>ID :0   F. Nac:  00ENE00</v>
      </c>
      <c r="B341" s="808"/>
      <c r="C341" s="359"/>
      <c r="D341" s="808" t="str">
        <f t="shared" si="9"/>
        <v>ID :0   F. Nac:  00ENE00</v>
      </c>
      <c r="E341" s="808"/>
      <c r="J341" s="356"/>
    </row>
    <row r="342" spans="1:19" ht="9.75" customHeight="1">
      <c r="A342" s="360" t="e">
        <f>'DATOS ETIQ'!B$44&amp;"   "&amp;'DATOS ETIQ'!S$44</f>
        <v>#N/A</v>
      </c>
      <c r="B342" s="361" t="e">
        <f>'DATOS ETIQ'!W$44</f>
        <v>#N/A</v>
      </c>
      <c r="D342" s="360" t="e">
        <f t="shared" si="9"/>
        <v>#N/A</v>
      </c>
      <c r="E342" s="361" t="e">
        <f>B342</f>
        <v>#N/A</v>
      </c>
      <c r="G342" s="800" t="e">
        <f>'FR PD 001 V1'!T48</f>
        <v>#N/A</v>
      </c>
      <c r="J342" s="800">
        <v>43</v>
      </c>
    </row>
    <row r="343" spans="1:19" ht="9.75" customHeight="1" thickBot="1">
      <c r="A343" s="808" t="e">
        <f>'DATOS ETIQ'!U44</f>
        <v>#N/A</v>
      </c>
      <c r="B343" s="808"/>
      <c r="C343" s="359"/>
      <c r="D343" s="808" t="e">
        <f t="shared" si="9"/>
        <v>#N/A</v>
      </c>
      <c r="E343" s="808"/>
      <c r="G343" s="801"/>
      <c r="J343" s="801"/>
    </row>
    <row r="344" spans="1:19" s="364" customFormat="1" ht="9.75" customHeight="1">
      <c r="A344" s="809" t="e">
        <f ca="1">"F.Elab: "&amp;TEXT('FORMATO DIL'!$B$5,"dd/mm/yy")&amp;"       FVto: "&amp;TEXT('DATOS ETIQ'!T$44,"dd/mm/yy")</f>
        <v>#N/A</v>
      </c>
      <c r="B344" s="809"/>
      <c r="C344" s="363"/>
      <c r="D344" s="809" t="e">
        <f t="shared" ca="1" si="9"/>
        <v>#N/A</v>
      </c>
      <c r="E344" s="809"/>
      <c r="J344" s="365"/>
      <c r="N344" s="64"/>
      <c r="O344" s="64"/>
      <c r="P344" s="64"/>
      <c r="Q344" s="64"/>
      <c r="R344" s="64"/>
      <c r="S344" s="64"/>
    </row>
    <row r="345" spans="1:19" s="364" customFormat="1" ht="9.75" customHeight="1">
      <c r="A345" s="809" t="str">
        <f>"Lt: "&amp;'DATOS ETIQ'!I$44</f>
        <v xml:space="preserve">Lt: </v>
      </c>
      <c r="B345" s="809"/>
      <c r="C345" s="363"/>
      <c r="D345" s="809" t="str">
        <f>A345</f>
        <v xml:space="preserve">Lt: </v>
      </c>
      <c r="E345" s="809"/>
      <c r="J345" s="365"/>
      <c r="N345" s="64"/>
      <c r="O345" s="64"/>
      <c r="P345" s="64"/>
      <c r="Q345" s="64"/>
      <c r="R345" s="64"/>
      <c r="S345" s="64"/>
    </row>
    <row r="346" spans="1:19" s="366" customFormat="1" ht="9.75" customHeight="1">
      <c r="A346" s="807" t="str">
        <f>"QFP: "&amp;'DATOS ETIQ'!L$44&amp;"   QFV: "&amp;'DATOS ETIQ'!M$44</f>
        <v>QFP: JGARCIA   QFV: ADELTORO</v>
      </c>
      <c r="B346" s="807"/>
      <c r="C346" s="355"/>
      <c r="D346" s="807" t="str">
        <f t="shared" si="9"/>
        <v>QFP: JGARCIA   QFV: ADELTORO</v>
      </c>
      <c r="E346" s="807"/>
      <c r="J346" s="367"/>
      <c r="N346" s="64"/>
      <c r="O346" s="64"/>
      <c r="P346" s="64"/>
      <c r="Q346" s="64"/>
      <c r="R346" s="64"/>
      <c r="S346" s="64"/>
    </row>
    <row r="347" spans="1:19" s="366" customFormat="1" ht="9.75" customHeight="1">
      <c r="A347" s="807" t="s">
        <v>1390</v>
      </c>
      <c r="B347" s="807"/>
      <c r="C347" s="355"/>
      <c r="D347" s="807" t="str">
        <f t="shared" si="9"/>
        <v>H. SAN JOSE CENTRO</v>
      </c>
      <c r="E347" s="807"/>
      <c r="J347" s="367"/>
      <c r="N347" s="64"/>
      <c r="O347" s="64"/>
      <c r="P347" s="64"/>
      <c r="Q347" s="64"/>
      <c r="R347" s="64"/>
      <c r="S347" s="64"/>
    </row>
    <row r="348" spans="1:19" ht="9.75" customHeight="1">
      <c r="A348" s="808" t="str">
        <f>'DATOS ETIQ'!J$45</f>
        <v/>
      </c>
      <c r="B348" s="808"/>
      <c r="C348" s="359"/>
      <c r="D348" s="808" t="str">
        <f t="shared" si="9"/>
        <v/>
      </c>
      <c r="E348" s="808"/>
      <c r="J348" s="356"/>
      <c r="N348" s="404"/>
      <c r="O348" s="404"/>
      <c r="P348" s="404"/>
      <c r="Q348" s="404"/>
      <c r="R348" s="404"/>
      <c r="S348" s="404"/>
    </row>
    <row r="349" spans="1:19" ht="9.75" customHeight="1" thickBot="1">
      <c r="A349" s="808" t="str">
        <f>'DATOS ETIQ'!Z45</f>
        <v>ID :0   F. Nac:  00ENE00</v>
      </c>
      <c r="B349" s="808"/>
      <c r="C349" s="359"/>
      <c r="D349" s="808" t="str">
        <f t="shared" si="9"/>
        <v>ID :0   F. Nac:  00ENE00</v>
      </c>
      <c r="E349" s="808"/>
      <c r="J349" s="356"/>
    </row>
    <row r="350" spans="1:19" ht="9.75" customHeight="1">
      <c r="A350" s="360" t="e">
        <f>'DATOS ETIQ'!B$45&amp;"   "&amp;'DATOS ETIQ'!S$45</f>
        <v>#N/A</v>
      </c>
      <c r="B350" s="361" t="e">
        <f>'DATOS ETIQ'!W$45</f>
        <v>#N/A</v>
      </c>
      <c r="D350" s="360" t="e">
        <f t="shared" si="9"/>
        <v>#N/A</v>
      </c>
      <c r="E350" s="361" t="e">
        <f>B350</f>
        <v>#N/A</v>
      </c>
      <c r="G350" s="800" t="e">
        <f>'FR PD 001 V1'!T49</f>
        <v>#N/A</v>
      </c>
      <c r="J350" s="800">
        <v>44</v>
      </c>
    </row>
    <row r="351" spans="1:19" ht="9.75" customHeight="1" thickBot="1">
      <c r="A351" s="808" t="e">
        <f>'DATOS ETIQ'!U45</f>
        <v>#N/A</v>
      </c>
      <c r="B351" s="808"/>
      <c r="C351" s="359"/>
      <c r="D351" s="808" t="e">
        <f t="shared" si="9"/>
        <v>#N/A</v>
      </c>
      <c r="E351" s="808"/>
      <c r="G351" s="801"/>
      <c r="J351" s="801"/>
    </row>
    <row r="352" spans="1:19" s="364" customFormat="1" ht="9.75" customHeight="1">
      <c r="A352" s="809" t="e">
        <f ca="1">"F.Elab: "&amp;TEXT('FORMATO DIL'!$B$5,"dd/mm/yy")&amp;"       FVto: "&amp;TEXT('DATOS ETIQ'!T$45,"dd/mm/yy")</f>
        <v>#N/A</v>
      </c>
      <c r="B352" s="809"/>
      <c r="C352" s="363"/>
      <c r="D352" s="809" t="e">
        <f t="shared" ca="1" si="9"/>
        <v>#N/A</v>
      </c>
      <c r="E352" s="809"/>
      <c r="N352" s="64"/>
      <c r="O352" s="64"/>
      <c r="P352" s="64"/>
      <c r="Q352" s="64"/>
      <c r="R352" s="64"/>
      <c r="S352" s="64"/>
    </row>
    <row r="353" spans="1:19" s="364" customFormat="1" ht="9.75" customHeight="1">
      <c r="A353" s="809" t="str">
        <f>"Lt: "&amp;'DATOS ETIQ'!I$45</f>
        <v xml:space="preserve">Lt: </v>
      </c>
      <c r="B353" s="809"/>
      <c r="C353" s="363"/>
      <c r="D353" s="809" t="str">
        <f>A353</f>
        <v xml:space="preserve">Lt: </v>
      </c>
      <c r="E353" s="809"/>
      <c r="N353" s="64"/>
      <c r="O353" s="64"/>
      <c r="P353" s="64"/>
      <c r="Q353" s="64"/>
      <c r="R353" s="64"/>
      <c r="S353" s="64"/>
    </row>
    <row r="354" spans="1:19" s="366" customFormat="1" ht="9.75" customHeight="1">
      <c r="A354" s="807" t="str">
        <f>"QFP: "&amp;'DATOS ETIQ'!L$45&amp;"   QFV: "&amp;'DATOS ETIQ'!M$45</f>
        <v>QFP: JGARCIA   QFV: ADELTORO</v>
      </c>
      <c r="B354" s="807"/>
      <c r="C354" s="355"/>
      <c r="D354" s="807" t="str">
        <f t="shared" si="9"/>
        <v>QFP: JGARCIA   QFV: ADELTORO</v>
      </c>
      <c r="E354" s="807"/>
      <c r="N354" s="64"/>
      <c r="O354" s="64"/>
      <c r="P354" s="64"/>
      <c r="Q354" s="64"/>
      <c r="R354" s="64"/>
      <c r="S354" s="64"/>
    </row>
    <row r="355" spans="1:19" s="366" customFormat="1" ht="9.75" customHeight="1">
      <c r="A355" s="807" t="s">
        <v>1390</v>
      </c>
      <c r="B355" s="807"/>
      <c r="C355" s="355"/>
      <c r="D355" s="807" t="str">
        <f t="shared" si="9"/>
        <v>H. SAN JOSE CENTRO</v>
      </c>
      <c r="E355" s="807"/>
      <c r="N355" s="64"/>
      <c r="O355" s="64"/>
      <c r="P355" s="64"/>
      <c r="Q355" s="64"/>
      <c r="R355" s="64"/>
      <c r="S355" s="64"/>
    </row>
  </sheetData>
  <mergeCells count="710">
    <mergeCell ref="A5:B5"/>
    <mergeCell ref="D5:E5"/>
    <mergeCell ref="G6:G7"/>
    <mergeCell ref="J6:J7"/>
    <mergeCell ref="L6:M6"/>
    <mergeCell ref="A7:B7"/>
    <mergeCell ref="D7:E7"/>
    <mergeCell ref="L7:M7"/>
    <mergeCell ref="G1:G3"/>
    <mergeCell ref="J1:J3"/>
    <mergeCell ref="L2:M2"/>
    <mergeCell ref="L3:M3"/>
    <mergeCell ref="A4:B4"/>
    <mergeCell ref="D4:E4"/>
    <mergeCell ref="A12:B12"/>
    <mergeCell ref="D12:E12"/>
    <mergeCell ref="A13:B13"/>
    <mergeCell ref="D13:E13"/>
    <mergeCell ref="G14:G15"/>
    <mergeCell ref="J14:J15"/>
    <mergeCell ref="A15:B15"/>
    <mergeCell ref="D15:E15"/>
    <mergeCell ref="A8:B8"/>
    <mergeCell ref="D8:E8"/>
    <mergeCell ref="A10:B10"/>
    <mergeCell ref="D10:E10"/>
    <mergeCell ref="A11:B11"/>
    <mergeCell ref="D11:E11"/>
    <mergeCell ref="D9:E9"/>
    <mergeCell ref="A9:B9"/>
    <mergeCell ref="A20:B20"/>
    <mergeCell ref="D20:E20"/>
    <mergeCell ref="A21:B21"/>
    <mergeCell ref="D21:E21"/>
    <mergeCell ref="G22:G23"/>
    <mergeCell ref="J22:J23"/>
    <mergeCell ref="A23:B23"/>
    <mergeCell ref="D23:E23"/>
    <mergeCell ref="A16:B16"/>
    <mergeCell ref="D16:E16"/>
    <mergeCell ref="A18:B18"/>
    <mergeCell ref="D18:E18"/>
    <mergeCell ref="A19:B19"/>
    <mergeCell ref="D19:E19"/>
    <mergeCell ref="D17:E17"/>
    <mergeCell ref="A17:B17"/>
    <mergeCell ref="A28:B28"/>
    <mergeCell ref="D28:E28"/>
    <mergeCell ref="A29:B29"/>
    <mergeCell ref="D29:E29"/>
    <mergeCell ref="G30:G31"/>
    <mergeCell ref="J30:J31"/>
    <mergeCell ref="A31:B31"/>
    <mergeCell ref="D31:E31"/>
    <mergeCell ref="A24:B24"/>
    <mergeCell ref="D24:E24"/>
    <mergeCell ref="A26:B26"/>
    <mergeCell ref="D26:E26"/>
    <mergeCell ref="A27:B27"/>
    <mergeCell ref="D27:E27"/>
    <mergeCell ref="D25:E25"/>
    <mergeCell ref="A25:B25"/>
    <mergeCell ref="A36:B36"/>
    <mergeCell ref="D36:E36"/>
    <mergeCell ref="A37:B37"/>
    <mergeCell ref="D37:E37"/>
    <mergeCell ref="G38:G39"/>
    <mergeCell ref="J38:J39"/>
    <mergeCell ref="A39:B39"/>
    <mergeCell ref="D39:E39"/>
    <mergeCell ref="A32:B32"/>
    <mergeCell ref="D32:E32"/>
    <mergeCell ref="A34:B34"/>
    <mergeCell ref="D34:E34"/>
    <mergeCell ref="A35:B35"/>
    <mergeCell ref="D35:E35"/>
    <mergeCell ref="A33:B33"/>
    <mergeCell ref="D33:E33"/>
    <mergeCell ref="A44:B44"/>
    <mergeCell ref="D44:E44"/>
    <mergeCell ref="A45:B45"/>
    <mergeCell ref="D45:E45"/>
    <mergeCell ref="G46:G47"/>
    <mergeCell ref="J46:J47"/>
    <mergeCell ref="A47:B47"/>
    <mergeCell ref="D47:E47"/>
    <mergeCell ref="A40:B40"/>
    <mergeCell ref="D40:E40"/>
    <mergeCell ref="A42:B42"/>
    <mergeCell ref="D42:E42"/>
    <mergeCell ref="A43:B43"/>
    <mergeCell ref="D43:E43"/>
    <mergeCell ref="A41:B41"/>
    <mergeCell ref="D41:E41"/>
    <mergeCell ref="A52:B52"/>
    <mergeCell ref="D52:E52"/>
    <mergeCell ref="A53:B53"/>
    <mergeCell ref="D53:E53"/>
    <mergeCell ref="G54:G55"/>
    <mergeCell ref="J54:J55"/>
    <mergeCell ref="A55:B55"/>
    <mergeCell ref="D55:E55"/>
    <mergeCell ref="A48:B48"/>
    <mergeCell ref="D48:E48"/>
    <mergeCell ref="A50:B50"/>
    <mergeCell ref="D50:E50"/>
    <mergeCell ref="A51:B51"/>
    <mergeCell ref="D51:E51"/>
    <mergeCell ref="D49:E49"/>
    <mergeCell ref="A49:B49"/>
    <mergeCell ref="A60:B60"/>
    <mergeCell ref="D60:E60"/>
    <mergeCell ref="A61:B61"/>
    <mergeCell ref="D61:E61"/>
    <mergeCell ref="G62:G63"/>
    <mergeCell ref="J62:J63"/>
    <mergeCell ref="A63:B63"/>
    <mergeCell ref="D63:E63"/>
    <mergeCell ref="A56:B56"/>
    <mergeCell ref="D56:E56"/>
    <mergeCell ref="A58:B58"/>
    <mergeCell ref="D58:E58"/>
    <mergeCell ref="A59:B59"/>
    <mergeCell ref="D59:E59"/>
    <mergeCell ref="D57:E57"/>
    <mergeCell ref="A57:B57"/>
    <mergeCell ref="A68:B68"/>
    <mergeCell ref="D68:E68"/>
    <mergeCell ref="A69:B69"/>
    <mergeCell ref="D69:E69"/>
    <mergeCell ref="G70:G71"/>
    <mergeCell ref="J70:J71"/>
    <mergeCell ref="A71:B71"/>
    <mergeCell ref="D71:E71"/>
    <mergeCell ref="A64:B64"/>
    <mergeCell ref="D64:E64"/>
    <mergeCell ref="A66:B66"/>
    <mergeCell ref="D66:E66"/>
    <mergeCell ref="A67:B67"/>
    <mergeCell ref="D67:E67"/>
    <mergeCell ref="D65:E65"/>
    <mergeCell ref="A65:B65"/>
    <mergeCell ref="A76:B76"/>
    <mergeCell ref="D76:E76"/>
    <mergeCell ref="A77:B77"/>
    <mergeCell ref="D77:E77"/>
    <mergeCell ref="G78:G79"/>
    <mergeCell ref="J78:J79"/>
    <mergeCell ref="A79:B79"/>
    <mergeCell ref="D79:E79"/>
    <mergeCell ref="A72:B72"/>
    <mergeCell ref="D72:E72"/>
    <mergeCell ref="A74:B74"/>
    <mergeCell ref="D74:E74"/>
    <mergeCell ref="A75:B75"/>
    <mergeCell ref="D75:E75"/>
    <mergeCell ref="D73:E73"/>
    <mergeCell ref="A73:B73"/>
    <mergeCell ref="A84:B84"/>
    <mergeCell ref="D84:E84"/>
    <mergeCell ref="A85:B85"/>
    <mergeCell ref="D85:E85"/>
    <mergeCell ref="G86:G87"/>
    <mergeCell ref="J86:J87"/>
    <mergeCell ref="A87:B87"/>
    <mergeCell ref="D87:E87"/>
    <mergeCell ref="A80:B80"/>
    <mergeCell ref="D80:E80"/>
    <mergeCell ref="A82:B82"/>
    <mergeCell ref="D82:E82"/>
    <mergeCell ref="A83:B83"/>
    <mergeCell ref="D83:E83"/>
    <mergeCell ref="D81:E81"/>
    <mergeCell ref="A81:B81"/>
    <mergeCell ref="A92:B92"/>
    <mergeCell ref="D92:E92"/>
    <mergeCell ref="A93:B93"/>
    <mergeCell ref="D93:E93"/>
    <mergeCell ref="G94:G95"/>
    <mergeCell ref="J94:J95"/>
    <mergeCell ref="A95:B95"/>
    <mergeCell ref="D95:E95"/>
    <mergeCell ref="A88:B88"/>
    <mergeCell ref="D88:E88"/>
    <mergeCell ref="A90:B90"/>
    <mergeCell ref="D90:E90"/>
    <mergeCell ref="A91:B91"/>
    <mergeCell ref="D91:E91"/>
    <mergeCell ref="D89:E89"/>
    <mergeCell ref="A89:B89"/>
    <mergeCell ref="A100:B100"/>
    <mergeCell ref="D100:E100"/>
    <mergeCell ref="A101:B101"/>
    <mergeCell ref="D101:E101"/>
    <mergeCell ref="G102:G103"/>
    <mergeCell ref="J102:J103"/>
    <mergeCell ref="A103:B103"/>
    <mergeCell ref="D103:E103"/>
    <mergeCell ref="A96:B96"/>
    <mergeCell ref="D96:E96"/>
    <mergeCell ref="A98:B98"/>
    <mergeCell ref="D98:E98"/>
    <mergeCell ref="A99:B99"/>
    <mergeCell ref="D99:E99"/>
    <mergeCell ref="D97:E97"/>
    <mergeCell ref="A97:B97"/>
    <mergeCell ref="A108:B108"/>
    <mergeCell ref="D108:E108"/>
    <mergeCell ref="A109:B109"/>
    <mergeCell ref="D109:E109"/>
    <mergeCell ref="G110:G111"/>
    <mergeCell ref="J110:J111"/>
    <mergeCell ref="A111:B111"/>
    <mergeCell ref="D111:E111"/>
    <mergeCell ref="A104:B104"/>
    <mergeCell ref="D104:E104"/>
    <mergeCell ref="A106:B106"/>
    <mergeCell ref="D106:E106"/>
    <mergeCell ref="A107:B107"/>
    <mergeCell ref="D107:E107"/>
    <mergeCell ref="A105:B105"/>
    <mergeCell ref="D105:E105"/>
    <mergeCell ref="A116:B116"/>
    <mergeCell ref="D116:E116"/>
    <mergeCell ref="A117:B117"/>
    <mergeCell ref="D117:E117"/>
    <mergeCell ref="G118:G119"/>
    <mergeCell ref="J118:J119"/>
    <mergeCell ref="A119:B119"/>
    <mergeCell ref="D119:E119"/>
    <mergeCell ref="A112:B112"/>
    <mergeCell ref="D112:E112"/>
    <mergeCell ref="A114:B114"/>
    <mergeCell ref="D114:E114"/>
    <mergeCell ref="A115:B115"/>
    <mergeCell ref="D115:E115"/>
    <mergeCell ref="D113:E113"/>
    <mergeCell ref="A113:B113"/>
    <mergeCell ref="A124:B124"/>
    <mergeCell ref="D124:E124"/>
    <mergeCell ref="A125:B125"/>
    <mergeCell ref="D125:E125"/>
    <mergeCell ref="G126:G127"/>
    <mergeCell ref="J126:J127"/>
    <mergeCell ref="A127:B127"/>
    <mergeCell ref="D127:E127"/>
    <mergeCell ref="A120:B120"/>
    <mergeCell ref="D120:E120"/>
    <mergeCell ref="A122:B122"/>
    <mergeCell ref="D122:E122"/>
    <mergeCell ref="A123:B123"/>
    <mergeCell ref="D123:E123"/>
    <mergeCell ref="D121:E121"/>
    <mergeCell ref="A121:B121"/>
    <mergeCell ref="A132:B132"/>
    <mergeCell ref="D132:E132"/>
    <mergeCell ref="A133:B133"/>
    <mergeCell ref="D133:E133"/>
    <mergeCell ref="G134:G135"/>
    <mergeCell ref="J134:J135"/>
    <mergeCell ref="A135:B135"/>
    <mergeCell ref="D135:E135"/>
    <mergeCell ref="A128:B128"/>
    <mergeCell ref="D128:E128"/>
    <mergeCell ref="A130:B130"/>
    <mergeCell ref="D130:E130"/>
    <mergeCell ref="A131:B131"/>
    <mergeCell ref="D131:E131"/>
    <mergeCell ref="D129:E129"/>
    <mergeCell ref="A129:B129"/>
    <mergeCell ref="A140:B140"/>
    <mergeCell ref="D140:E140"/>
    <mergeCell ref="A141:B141"/>
    <mergeCell ref="D141:E141"/>
    <mergeCell ref="G142:G143"/>
    <mergeCell ref="J142:J143"/>
    <mergeCell ref="A143:B143"/>
    <mergeCell ref="D143:E143"/>
    <mergeCell ref="A136:B136"/>
    <mergeCell ref="D136:E136"/>
    <mergeCell ref="A138:B138"/>
    <mergeCell ref="D138:E138"/>
    <mergeCell ref="A139:B139"/>
    <mergeCell ref="D139:E139"/>
    <mergeCell ref="D137:E137"/>
    <mergeCell ref="A137:B137"/>
    <mergeCell ref="A148:B148"/>
    <mergeCell ref="D148:E148"/>
    <mergeCell ref="A149:B149"/>
    <mergeCell ref="D149:E149"/>
    <mergeCell ref="G150:G151"/>
    <mergeCell ref="J150:J151"/>
    <mergeCell ref="A151:B151"/>
    <mergeCell ref="D151:E151"/>
    <mergeCell ref="A144:B144"/>
    <mergeCell ref="D144:E144"/>
    <mergeCell ref="A146:B146"/>
    <mergeCell ref="D146:E146"/>
    <mergeCell ref="A147:B147"/>
    <mergeCell ref="D147:E147"/>
    <mergeCell ref="D145:E145"/>
    <mergeCell ref="A145:B145"/>
    <mergeCell ref="A156:B156"/>
    <mergeCell ref="D156:E156"/>
    <mergeCell ref="A157:B157"/>
    <mergeCell ref="D157:E157"/>
    <mergeCell ref="G158:G159"/>
    <mergeCell ref="J158:J159"/>
    <mergeCell ref="A159:B159"/>
    <mergeCell ref="D159:E159"/>
    <mergeCell ref="A152:B152"/>
    <mergeCell ref="D152:E152"/>
    <mergeCell ref="A154:B154"/>
    <mergeCell ref="D154:E154"/>
    <mergeCell ref="A155:B155"/>
    <mergeCell ref="D155:E155"/>
    <mergeCell ref="D153:E153"/>
    <mergeCell ref="A153:B153"/>
    <mergeCell ref="A164:B164"/>
    <mergeCell ref="D164:E164"/>
    <mergeCell ref="A165:B165"/>
    <mergeCell ref="D165:E165"/>
    <mergeCell ref="G166:G167"/>
    <mergeCell ref="J166:J167"/>
    <mergeCell ref="A167:B167"/>
    <mergeCell ref="D167:E167"/>
    <mergeCell ref="A160:B160"/>
    <mergeCell ref="D160:E160"/>
    <mergeCell ref="A162:B162"/>
    <mergeCell ref="D162:E162"/>
    <mergeCell ref="A163:B163"/>
    <mergeCell ref="D163:E163"/>
    <mergeCell ref="D161:E161"/>
    <mergeCell ref="A161:B161"/>
    <mergeCell ref="A172:B172"/>
    <mergeCell ref="D172:E172"/>
    <mergeCell ref="A173:B173"/>
    <mergeCell ref="D173:E173"/>
    <mergeCell ref="G174:G175"/>
    <mergeCell ref="J174:J175"/>
    <mergeCell ref="A175:B175"/>
    <mergeCell ref="D175:E175"/>
    <mergeCell ref="A168:B168"/>
    <mergeCell ref="D168:E168"/>
    <mergeCell ref="A170:B170"/>
    <mergeCell ref="D170:E170"/>
    <mergeCell ref="A171:B171"/>
    <mergeCell ref="D171:E171"/>
    <mergeCell ref="D169:E169"/>
    <mergeCell ref="A169:B169"/>
    <mergeCell ref="A180:B180"/>
    <mergeCell ref="D180:E180"/>
    <mergeCell ref="A181:B181"/>
    <mergeCell ref="D181:E181"/>
    <mergeCell ref="G182:G183"/>
    <mergeCell ref="J182:J183"/>
    <mergeCell ref="A183:B183"/>
    <mergeCell ref="D183:E183"/>
    <mergeCell ref="A176:B176"/>
    <mergeCell ref="D176:E176"/>
    <mergeCell ref="A178:B178"/>
    <mergeCell ref="D178:E178"/>
    <mergeCell ref="A179:B179"/>
    <mergeCell ref="D179:E179"/>
    <mergeCell ref="D177:E177"/>
    <mergeCell ref="A177:B177"/>
    <mergeCell ref="A188:B188"/>
    <mergeCell ref="D188:E188"/>
    <mergeCell ref="A189:B189"/>
    <mergeCell ref="D189:E189"/>
    <mergeCell ref="G190:G191"/>
    <mergeCell ref="J190:J191"/>
    <mergeCell ref="A191:B191"/>
    <mergeCell ref="D191:E191"/>
    <mergeCell ref="A184:B184"/>
    <mergeCell ref="D184:E184"/>
    <mergeCell ref="A186:B186"/>
    <mergeCell ref="D186:E186"/>
    <mergeCell ref="A187:B187"/>
    <mergeCell ref="D187:E187"/>
    <mergeCell ref="D185:E185"/>
    <mergeCell ref="A185:B185"/>
    <mergeCell ref="A196:B196"/>
    <mergeCell ref="D196:E196"/>
    <mergeCell ref="A197:B197"/>
    <mergeCell ref="D197:E197"/>
    <mergeCell ref="G198:G199"/>
    <mergeCell ref="J198:J199"/>
    <mergeCell ref="A199:B199"/>
    <mergeCell ref="D199:E199"/>
    <mergeCell ref="A192:B192"/>
    <mergeCell ref="D192:E192"/>
    <mergeCell ref="A194:B194"/>
    <mergeCell ref="D194:E194"/>
    <mergeCell ref="A195:B195"/>
    <mergeCell ref="D195:E195"/>
    <mergeCell ref="D193:E193"/>
    <mergeCell ref="A193:B193"/>
    <mergeCell ref="A204:B204"/>
    <mergeCell ref="D204:E204"/>
    <mergeCell ref="A205:B205"/>
    <mergeCell ref="D205:E205"/>
    <mergeCell ref="G206:G207"/>
    <mergeCell ref="J206:J207"/>
    <mergeCell ref="A207:B207"/>
    <mergeCell ref="D207:E207"/>
    <mergeCell ref="A200:B200"/>
    <mergeCell ref="D200:E200"/>
    <mergeCell ref="A202:B202"/>
    <mergeCell ref="D202:E202"/>
    <mergeCell ref="A203:B203"/>
    <mergeCell ref="D203:E203"/>
    <mergeCell ref="D201:E201"/>
    <mergeCell ref="A201:B201"/>
    <mergeCell ref="A212:B212"/>
    <mergeCell ref="D212:E212"/>
    <mergeCell ref="A213:B213"/>
    <mergeCell ref="D213:E213"/>
    <mergeCell ref="G214:G215"/>
    <mergeCell ref="J214:J215"/>
    <mergeCell ref="A215:B215"/>
    <mergeCell ref="D215:E215"/>
    <mergeCell ref="A208:B208"/>
    <mergeCell ref="D208:E208"/>
    <mergeCell ref="A210:B210"/>
    <mergeCell ref="D210:E210"/>
    <mergeCell ref="A211:B211"/>
    <mergeCell ref="D211:E211"/>
    <mergeCell ref="D209:E209"/>
    <mergeCell ref="A209:B209"/>
    <mergeCell ref="A220:B220"/>
    <mergeCell ref="D220:E220"/>
    <mergeCell ref="A221:B221"/>
    <mergeCell ref="D221:E221"/>
    <mergeCell ref="G222:G223"/>
    <mergeCell ref="J222:J223"/>
    <mergeCell ref="A223:B223"/>
    <mergeCell ref="D223:E223"/>
    <mergeCell ref="A216:B216"/>
    <mergeCell ref="D216:E216"/>
    <mergeCell ref="A218:B218"/>
    <mergeCell ref="D218:E218"/>
    <mergeCell ref="A219:B219"/>
    <mergeCell ref="D219:E219"/>
    <mergeCell ref="D217:E217"/>
    <mergeCell ref="A217:B217"/>
    <mergeCell ref="A228:B228"/>
    <mergeCell ref="D228:E228"/>
    <mergeCell ref="A229:B229"/>
    <mergeCell ref="D229:E229"/>
    <mergeCell ref="G230:G231"/>
    <mergeCell ref="J230:J231"/>
    <mergeCell ref="A231:B231"/>
    <mergeCell ref="D231:E231"/>
    <mergeCell ref="A224:B224"/>
    <mergeCell ref="D224:E224"/>
    <mergeCell ref="A226:B226"/>
    <mergeCell ref="D226:E226"/>
    <mergeCell ref="A227:B227"/>
    <mergeCell ref="D227:E227"/>
    <mergeCell ref="A225:B225"/>
    <mergeCell ref="D225:E225"/>
    <mergeCell ref="A236:B236"/>
    <mergeCell ref="D236:E236"/>
    <mergeCell ref="A237:B237"/>
    <mergeCell ref="D237:E237"/>
    <mergeCell ref="G238:G239"/>
    <mergeCell ref="J238:J239"/>
    <mergeCell ref="A239:B239"/>
    <mergeCell ref="D239:E239"/>
    <mergeCell ref="A232:B232"/>
    <mergeCell ref="D232:E232"/>
    <mergeCell ref="A234:B234"/>
    <mergeCell ref="D234:E234"/>
    <mergeCell ref="A235:B235"/>
    <mergeCell ref="D235:E235"/>
    <mergeCell ref="D233:E233"/>
    <mergeCell ref="A233:B233"/>
    <mergeCell ref="A244:B244"/>
    <mergeCell ref="D244:E244"/>
    <mergeCell ref="A245:B245"/>
    <mergeCell ref="D245:E245"/>
    <mergeCell ref="G246:G247"/>
    <mergeCell ref="J246:J247"/>
    <mergeCell ref="A247:B247"/>
    <mergeCell ref="D247:E247"/>
    <mergeCell ref="A240:B240"/>
    <mergeCell ref="D240:E240"/>
    <mergeCell ref="A242:B242"/>
    <mergeCell ref="D242:E242"/>
    <mergeCell ref="A243:B243"/>
    <mergeCell ref="D243:E243"/>
    <mergeCell ref="D241:E241"/>
    <mergeCell ref="A241:B241"/>
    <mergeCell ref="A252:B252"/>
    <mergeCell ref="D252:E252"/>
    <mergeCell ref="A253:B253"/>
    <mergeCell ref="D253:E253"/>
    <mergeCell ref="G254:G255"/>
    <mergeCell ref="J254:J255"/>
    <mergeCell ref="A255:B255"/>
    <mergeCell ref="D255:E255"/>
    <mergeCell ref="A248:B248"/>
    <mergeCell ref="D248:E248"/>
    <mergeCell ref="A250:B250"/>
    <mergeCell ref="D250:E250"/>
    <mergeCell ref="A251:B251"/>
    <mergeCell ref="D251:E251"/>
    <mergeCell ref="D249:E249"/>
    <mergeCell ref="A249:B249"/>
    <mergeCell ref="A260:B260"/>
    <mergeCell ref="D260:E260"/>
    <mergeCell ref="A261:B261"/>
    <mergeCell ref="D261:E261"/>
    <mergeCell ref="G262:G263"/>
    <mergeCell ref="J262:J263"/>
    <mergeCell ref="A263:B263"/>
    <mergeCell ref="D263:E263"/>
    <mergeCell ref="A256:B256"/>
    <mergeCell ref="D256:E256"/>
    <mergeCell ref="A258:B258"/>
    <mergeCell ref="D258:E258"/>
    <mergeCell ref="A259:B259"/>
    <mergeCell ref="D259:E259"/>
    <mergeCell ref="D257:E257"/>
    <mergeCell ref="A257:B257"/>
    <mergeCell ref="A268:B268"/>
    <mergeCell ref="D268:E268"/>
    <mergeCell ref="A269:B269"/>
    <mergeCell ref="D269:E269"/>
    <mergeCell ref="G270:G271"/>
    <mergeCell ref="J270:J271"/>
    <mergeCell ref="A271:B271"/>
    <mergeCell ref="D271:E271"/>
    <mergeCell ref="A264:B264"/>
    <mergeCell ref="D264:E264"/>
    <mergeCell ref="A266:B266"/>
    <mergeCell ref="D266:E266"/>
    <mergeCell ref="A267:B267"/>
    <mergeCell ref="D267:E267"/>
    <mergeCell ref="D265:E265"/>
    <mergeCell ref="A265:B265"/>
    <mergeCell ref="A276:B276"/>
    <mergeCell ref="D276:E276"/>
    <mergeCell ref="A277:B277"/>
    <mergeCell ref="D277:E277"/>
    <mergeCell ref="G278:G279"/>
    <mergeCell ref="J278:J279"/>
    <mergeCell ref="A279:B279"/>
    <mergeCell ref="D279:E279"/>
    <mergeCell ref="A272:B272"/>
    <mergeCell ref="D272:E272"/>
    <mergeCell ref="A274:B274"/>
    <mergeCell ref="D274:E274"/>
    <mergeCell ref="A275:B275"/>
    <mergeCell ref="D275:E275"/>
    <mergeCell ref="D273:E273"/>
    <mergeCell ref="A273:B273"/>
    <mergeCell ref="A284:B284"/>
    <mergeCell ref="D284:E284"/>
    <mergeCell ref="A285:B285"/>
    <mergeCell ref="D285:E285"/>
    <mergeCell ref="G286:G287"/>
    <mergeCell ref="J286:J287"/>
    <mergeCell ref="A287:B287"/>
    <mergeCell ref="D287:E287"/>
    <mergeCell ref="A280:B280"/>
    <mergeCell ref="D280:E280"/>
    <mergeCell ref="A282:B282"/>
    <mergeCell ref="D282:E282"/>
    <mergeCell ref="A283:B283"/>
    <mergeCell ref="D283:E283"/>
    <mergeCell ref="D281:E281"/>
    <mergeCell ref="A281:B281"/>
    <mergeCell ref="A292:B292"/>
    <mergeCell ref="D292:E292"/>
    <mergeCell ref="A293:B293"/>
    <mergeCell ref="D293:E293"/>
    <mergeCell ref="G294:G295"/>
    <mergeCell ref="J294:J295"/>
    <mergeCell ref="A295:B295"/>
    <mergeCell ref="D295:E295"/>
    <mergeCell ref="A288:B288"/>
    <mergeCell ref="D288:E288"/>
    <mergeCell ref="A290:B290"/>
    <mergeCell ref="D290:E290"/>
    <mergeCell ref="A291:B291"/>
    <mergeCell ref="D291:E291"/>
    <mergeCell ref="D289:E289"/>
    <mergeCell ref="A289:B289"/>
    <mergeCell ref="A300:B300"/>
    <mergeCell ref="D300:E300"/>
    <mergeCell ref="A301:B301"/>
    <mergeCell ref="D301:E301"/>
    <mergeCell ref="G302:G303"/>
    <mergeCell ref="J302:J303"/>
    <mergeCell ref="A303:B303"/>
    <mergeCell ref="D303:E303"/>
    <mergeCell ref="A296:B296"/>
    <mergeCell ref="D296:E296"/>
    <mergeCell ref="A298:B298"/>
    <mergeCell ref="D298:E298"/>
    <mergeCell ref="A299:B299"/>
    <mergeCell ref="D299:E299"/>
    <mergeCell ref="D297:E297"/>
    <mergeCell ref="A297:B297"/>
    <mergeCell ref="A308:B308"/>
    <mergeCell ref="D308:E308"/>
    <mergeCell ref="A309:B309"/>
    <mergeCell ref="D309:E309"/>
    <mergeCell ref="G310:G311"/>
    <mergeCell ref="J310:J311"/>
    <mergeCell ref="A311:B311"/>
    <mergeCell ref="D311:E311"/>
    <mergeCell ref="A304:B304"/>
    <mergeCell ref="D304:E304"/>
    <mergeCell ref="A306:B306"/>
    <mergeCell ref="D306:E306"/>
    <mergeCell ref="A307:B307"/>
    <mergeCell ref="D307:E307"/>
    <mergeCell ref="D305:E305"/>
    <mergeCell ref="A305:B305"/>
    <mergeCell ref="A316:B316"/>
    <mergeCell ref="D316:E316"/>
    <mergeCell ref="A317:B317"/>
    <mergeCell ref="D317:E317"/>
    <mergeCell ref="G318:G319"/>
    <mergeCell ref="J318:J319"/>
    <mergeCell ref="A319:B319"/>
    <mergeCell ref="D319:E319"/>
    <mergeCell ref="A312:B312"/>
    <mergeCell ref="D312:E312"/>
    <mergeCell ref="A314:B314"/>
    <mergeCell ref="D314:E314"/>
    <mergeCell ref="A315:B315"/>
    <mergeCell ref="D315:E315"/>
    <mergeCell ref="D313:E313"/>
    <mergeCell ref="A313:B313"/>
    <mergeCell ref="A324:B324"/>
    <mergeCell ref="D324:E324"/>
    <mergeCell ref="A325:B325"/>
    <mergeCell ref="D325:E325"/>
    <mergeCell ref="G326:G327"/>
    <mergeCell ref="J326:J327"/>
    <mergeCell ref="A327:B327"/>
    <mergeCell ref="D327:E327"/>
    <mergeCell ref="A320:B320"/>
    <mergeCell ref="D320:E320"/>
    <mergeCell ref="A322:B322"/>
    <mergeCell ref="D322:E322"/>
    <mergeCell ref="A323:B323"/>
    <mergeCell ref="D323:E323"/>
    <mergeCell ref="D321:E321"/>
    <mergeCell ref="A321:B321"/>
    <mergeCell ref="A332:B332"/>
    <mergeCell ref="D332:E332"/>
    <mergeCell ref="A333:B333"/>
    <mergeCell ref="D333:E333"/>
    <mergeCell ref="G334:G335"/>
    <mergeCell ref="J334:J335"/>
    <mergeCell ref="A335:B335"/>
    <mergeCell ref="D335:E335"/>
    <mergeCell ref="A328:B328"/>
    <mergeCell ref="D328:E328"/>
    <mergeCell ref="A330:B330"/>
    <mergeCell ref="D330:E330"/>
    <mergeCell ref="A331:B331"/>
    <mergeCell ref="D331:E331"/>
    <mergeCell ref="A329:B329"/>
    <mergeCell ref="D329:E329"/>
    <mergeCell ref="A340:B340"/>
    <mergeCell ref="D340:E340"/>
    <mergeCell ref="A341:B341"/>
    <mergeCell ref="D341:E341"/>
    <mergeCell ref="G342:G343"/>
    <mergeCell ref="J342:J343"/>
    <mergeCell ref="A343:B343"/>
    <mergeCell ref="D343:E343"/>
    <mergeCell ref="A336:B336"/>
    <mergeCell ref="D336:E336"/>
    <mergeCell ref="A338:B338"/>
    <mergeCell ref="D338:E338"/>
    <mergeCell ref="A339:B339"/>
    <mergeCell ref="D339:E339"/>
    <mergeCell ref="D337:E337"/>
    <mergeCell ref="A337:B337"/>
    <mergeCell ref="G350:G351"/>
    <mergeCell ref="J350:J351"/>
    <mergeCell ref="A351:B351"/>
    <mergeCell ref="D351:E351"/>
    <mergeCell ref="A344:B344"/>
    <mergeCell ref="D344:E344"/>
    <mergeCell ref="A346:B346"/>
    <mergeCell ref="D346:E346"/>
    <mergeCell ref="A347:B347"/>
    <mergeCell ref="D347:E347"/>
    <mergeCell ref="D345:E345"/>
    <mergeCell ref="A345:B345"/>
    <mergeCell ref="A352:B352"/>
    <mergeCell ref="D352:E352"/>
    <mergeCell ref="A354:B354"/>
    <mergeCell ref="D354:E354"/>
    <mergeCell ref="A355:B355"/>
    <mergeCell ref="D355:E355"/>
    <mergeCell ref="A348:B348"/>
    <mergeCell ref="D348:E348"/>
    <mergeCell ref="A349:B349"/>
    <mergeCell ref="D349:E349"/>
    <mergeCell ref="D353:E353"/>
    <mergeCell ref="A353:B353"/>
  </mergeCells>
  <conditionalFormatting sqref="B1:E3">
    <cfRule type="containsText" dxfId="108" priority="1" operator="containsText" text="INFUSOR">
      <formula>NOT(ISERROR(SEARCH("INFUSOR",B1)))</formula>
    </cfRule>
  </conditionalFormatting>
  <hyperlinks>
    <hyperlink ref="B2" r:id="rId1" display="\\10.44.1.22\TSC IMP 5" xr:uid="{00000000-0004-0000-0C00-000000000000}"/>
  </hyperlinks>
  <printOptions horizontalCentered="1" verticalCentered="1"/>
  <pageMargins left="0" right="7.874015748031496E-2" top="0" bottom="0.15748031496062992" header="0" footer="0"/>
  <pageSetup paperSize="260" scale="70" fitToHeight="0" orientation="portrait" horizontalDpi="203" verticalDpi="203" r:id="rId2"/>
  <rowBreaks count="43" manualBreakCount="43">
    <brk id="11" max="16383" man="1"/>
    <brk id="19" max="16383" man="1"/>
    <brk id="27" max="16383" man="1"/>
    <brk id="35" max="16383" man="1"/>
    <brk id="43" max="16383" man="1"/>
    <brk id="51" max="16383" man="1"/>
    <brk id="59" max="16383" man="1"/>
    <brk id="67" max="16383" man="1"/>
    <brk id="75" max="16383" man="1"/>
    <brk id="83" max="16383" man="1"/>
    <brk id="91" max="16383" man="1"/>
    <brk id="99" max="16383" man="1"/>
    <brk id="107" max="16383" man="1"/>
    <brk id="115" max="16383" man="1"/>
    <brk id="123" max="16383" man="1"/>
    <brk id="131" max="16383" man="1"/>
    <brk id="139" max="16383" man="1"/>
    <brk id="147" max="16383" man="1"/>
    <brk id="155" max="16383" man="1"/>
    <brk id="163" max="16383" man="1"/>
    <brk id="171" max="16383" man="1"/>
    <brk id="179" max="16383" man="1"/>
    <brk id="187" max="16383" man="1"/>
    <brk id="195" max="16383" man="1"/>
    <brk id="203" max="16383" man="1"/>
    <brk id="211" max="16383" man="1"/>
    <brk id="219" max="16383" man="1"/>
    <brk id="227" max="16383" man="1"/>
    <brk id="235" max="16383" man="1"/>
    <brk id="243" max="16383" man="1"/>
    <brk id="251" max="16383" man="1"/>
    <brk id="259" max="16383" man="1"/>
    <brk id="267" max="16383" man="1"/>
    <brk id="275" max="16383" man="1"/>
    <brk id="283" max="16383" man="1"/>
    <brk id="291" max="16383" man="1"/>
    <brk id="299" max="16383" man="1"/>
    <brk id="307" max="16383" man="1"/>
    <brk id="315" max="16383" man="1"/>
    <brk id="323" max="16383" man="1"/>
    <brk id="331" max="4" man="1"/>
    <brk id="339" max="4" man="1"/>
    <brk id="347" max="4" man="1"/>
  </row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0"/>
  <dimension ref="A1:S355"/>
  <sheetViews>
    <sheetView view="pageBreakPreview" zoomScale="120" zoomScaleSheetLayoutView="120" workbookViewId="0">
      <pane ySplit="3" topLeftCell="A4" activePane="bottomLeft" state="frozen"/>
      <selection sqref="A1:XFD1048576"/>
      <selection pane="bottomLeft" activeCell="A11" sqref="A11:B11"/>
    </sheetView>
  </sheetViews>
  <sheetFormatPr defaultColWidth="11.42578125" defaultRowHeight="11.1" customHeight="1"/>
  <cols>
    <col min="1" max="2" width="16.7109375" style="368" customWidth="1"/>
    <col min="3" max="3" width="2.28515625" style="362" customWidth="1"/>
    <col min="4" max="5" width="16.7109375" style="362" customWidth="1"/>
    <col min="6" max="11" width="11.42578125" style="64"/>
    <col min="12" max="13" width="5.140625" style="64" customWidth="1"/>
    <col min="14" max="14" width="4.28515625" style="64" customWidth="1"/>
    <col min="15" max="16" width="3.5703125" style="64" customWidth="1"/>
    <col min="17" max="19" width="7.5703125" style="64" customWidth="1"/>
    <col min="20" max="16384" width="11.42578125" style="64"/>
  </cols>
  <sheetData>
    <row r="1" spans="1:19" ht="30.75" customHeight="1">
      <c r="A1" s="428" t="s">
        <v>849</v>
      </c>
      <c r="B1" s="426" t="str">
        <f>"ETIQ "&amp;'FORMATO DIL'!C4&amp;" "&amp;VLOOKUP('FORMATO DIL'!B2,LOTES!$N:$R,5,FALSE)</f>
        <v>ETIQ  JPC 6 NORTE</v>
      </c>
      <c r="C1" s="426"/>
      <c r="D1" s="426"/>
      <c r="E1" s="426"/>
      <c r="G1" s="802" t="s">
        <v>402</v>
      </c>
      <c r="H1" s="348"/>
      <c r="I1" s="348"/>
      <c r="J1" s="802" t="s">
        <v>401</v>
      </c>
      <c r="Q1" s="578"/>
    </row>
    <row r="2" spans="1:19" ht="30.75" customHeight="1">
      <c r="A2" s="427" t="s">
        <v>855</v>
      </c>
      <c r="B2" s="429" t="s">
        <v>994</v>
      </c>
      <c r="C2" s="426"/>
      <c r="D2" s="426" t="s">
        <v>994</v>
      </c>
      <c r="E2" s="426"/>
      <c r="G2" s="803"/>
      <c r="H2" s="348"/>
      <c r="I2" s="348"/>
      <c r="J2" s="803"/>
      <c r="L2" s="808" t="s">
        <v>496</v>
      </c>
      <c r="M2" s="808"/>
      <c r="Q2" s="578"/>
    </row>
    <row r="3" spans="1:19" ht="30.75" customHeight="1" thickBot="1">
      <c r="A3" s="427" t="s">
        <v>852</v>
      </c>
      <c r="B3" s="426" t="str">
        <f ca="1">VLOOKUP('FORMATO DIL'!$B$2,LOTES!$N:$U,8,FALSE)</f>
        <v>Z:\PRODUCCION ESTERILES\IV SCOOP JPC-MATERNO-VERAGUAS-CPOLICARPA SCOOP\2022\08 AGOSTO\040822\JPC\PEDIATRIA\</v>
      </c>
      <c r="C3" s="426"/>
      <c r="D3" s="426" t="s">
        <v>838</v>
      </c>
      <c r="E3" s="426"/>
      <c r="G3" s="804"/>
      <c r="H3" s="348"/>
      <c r="I3" s="348"/>
      <c r="J3" s="804"/>
      <c r="L3" s="808" t="s">
        <v>505</v>
      </c>
      <c r="M3" s="808"/>
    </row>
    <row r="4" spans="1:19" ht="9.75" customHeight="1">
      <c r="A4" s="808" t="e">
        <f>'DATOS ETIQ'!AA$2</f>
        <v>#N/A</v>
      </c>
      <c r="B4" s="808"/>
      <c r="C4" s="359"/>
      <c r="D4" s="808" t="e">
        <f t="shared" ref="D4:D16" si="0">A4</f>
        <v>#N/A</v>
      </c>
      <c r="E4" s="808"/>
      <c r="G4" s="351"/>
      <c r="H4" s="352"/>
      <c r="I4" s="352"/>
      <c r="J4" s="351"/>
      <c r="N4" s="580">
        <v>1</v>
      </c>
      <c r="O4" s="580" t="str">
        <f>IF(P4="","",N4)</f>
        <v/>
      </c>
      <c r="P4" s="580" t="str">
        <f>IFERROR('FR PD 001 V1'!T6,"")</f>
        <v/>
      </c>
      <c r="Q4" s="579" t="str">
        <f>IF(AND(P4&lt;&gt;P3,P4&lt;&gt;P5),P4,IF(AND(P4&lt;&gt;P3,P4=P5),"",IF(AND(P4=P3,P4&lt;&gt;P5),P4,"")))</f>
        <v/>
      </c>
      <c r="R4" s="579">
        <f t="shared" ref="R4:R47" si="1">IF(AND(P4=P3,P4=P5),R3,IF(AND(P4=P3,P4&lt;&gt;P5),R3,IF(AND(P4&lt;&gt;P3,P4&lt;&gt;P5),O4,O4)))</f>
        <v>0</v>
      </c>
      <c r="S4" s="579">
        <f t="shared" ref="S4:S47" si="2">IF(AND(P4=P3,P4=P5),S3,IF(AND(P4=P3,P4&lt;&gt;P5),O4,IF(AND(P4&lt;&gt;P3,P4&lt;&gt;P5),O4,O4)))</f>
        <v>0</v>
      </c>
    </row>
    <row r="5" spans="1:19" ht="9.75" customHeight="1">
      <c r="A5" s="808" t="e">
        <f>'DATOS ETIQ'!AC2</f>
        <v>#N/A</v>
      </c>
      <c r="B5" s="808"/>
      <c r="C5" s="359"/>
      <c r="D5" s="808" t="e">
        <f t="shared" si="0"/>
        <v>#N/A</v>
      </c>
      <c r="E5" s="808"/>
      <c r="G5" s="351"/>
      <c r="H5" s="352"/>
      <c r="I5" s="352"/>
      <c r="J5" s="351">
        <v>1</v>
      </c>
      <c r="N5" s="580">
        <v>2</v>
      </c>
      <c r="O5" s="580" t="str">
        <f t="shared" ref="O5:O47" si="3">IF(P5="","",N5)</f>
        <v/>
      </c>
      <c r="P5" s="580" t="str">
        <f>IFERROR('FR PD 001 V1'!T7,"")</f>
        <v/>
      </c>
      <c r="Q5" s="579" t="str">
        <f t="shared" ref="Q5:Q47" si="4">IF(AND(P5&lt;&gt;P4,P5&lt;&gt;P6),P5,IF(AND(P5&lt;&gt;P4,P5=P6),"",IF(AND(P5=P4,P5&lt;&gt;P6),P5,"")))</f>
        <v/>
      </c>
      <c r="R5" s="579">
        <f t="shared" si="1"/>
        <v>0</v>
      </c>
      <c r="S5" s="579">
        <f t="shared" si="2"/>
        <v>0</v>
      </c>
    </row>
    <row r="6" spans="1:19" ht="9.75" customHeight="1" thickBot="1">
      <c r="A6" s="360" t="str">
        <f ca="1">"F.Elab: "&amp;TEXT('FORMATO DIL'!$B$5,"dd/mm/yy")</f>
        <v>F.Elab: 04/08/22</v>
      </c>
      <c r="B6" s="360" t="e">
        <f ca="1">"F.Vto: "&amp;TEXT('DATOS ETIQ'!H$2,"dd/mm/yy")</f>
        <v>#N/A</v>
      </c>
      <c r="C6" s="359"/>
      <c r="D6" s="360" t="str">
        <f ca="1">A6</f>
        <v>F.Elab: 04/08/22</v>
      </c>
      <c r="E6" s="360" t="e">
        <f ca="1">B6</f>
        <v>#N/A</v>
      </c>
      <c r="G6" s="351"/>
      <c r="H6" s="352"/>
      <c r="I6" s="352"/>
      <c r="J6" s="351"/>
      <c r="N6" s="580">
        <v>3</v>
      </c>
      <c r="O6" s="580" t="str">
        <f t="shared" si="3"/>
        <v/>
      </c>
      <c r="P6" s="580" t="str">
        <f>IFERROR('FR PD 001 V1'!T8,"")</f>
        <v/>
      </c>
      <c r="Q6" s="579" t="str">
        <f t="shared" si="4"/>
        <v/>
      </c>
      <c r="R6" s="579">
        <f t="shared" si="1"/>
        <v>0</v>
      </c>
      <c r="S6" s="579">
        <f t="shared" si="2"/>
        <v>0</v>
      </c>
    </row>
    <row r="7" spans="1:19" ht="10.5" customHeight="1">
      <c r="A7" s="810" t="str">
        <f>"Lt: "&amp;'DATOS ETIQ'!I$2</f>
        <v>Lt: 0</v>
      </c>
      <c r="B7" s="810"/>
      <c r="D7" s="810" t="str">
        <f>A7</f>
        <v>Lt: 0</v>
      </c>
      <c r="E7" s="810"/>
      <c r="G7" s="800" t="e">
        <f>'FR PD 001 V1'!T6</f>
        <v>#N/A</v>
      </c>
      <c r="J7" s="800">
        <v>1</v>
      </c>
      <c r="L7" s="808"/>
      <c r="M7" s="808"/>
      <c r="N7" s="580">
        <v>4</v>
      </c>
      <c r="O7" s="580" t="str">
        <f t="shared" si="3"/>
        <v/>
      </c>
      <c r="P7" s="580" t="str">
        <f>IFERROR('FR PD 001 V1'!T9,"")</f>
        <v/>
      </c>
      <c r="Q7" s="579" t="str">
        <f t="shared" si="4"/>
        <v/>
      </c>
      <c r="R7" s="579">
        <f t="shared" si="1"/>
        <v>0</v>
      </c>
      <c r="S7" s="579">
        <f t="shared" si="2"/>
        <v>0</v>
      </c>
    </row>
    <row r="8" spans="1:19" ht="9.75" customHeight="1" thickBot="1">
      <c r="A8" s="808" t="str">
        <f>'DATOS ETIQ'!J$2&amp;"  "&amp;'DATOS ETIQ'!K$2</f>
        <v xml:space="preserve">  0</v>
      </c>
      <c r="B8" s="808"/>
      <c r="C8" s="359"/>
      <c r="D8" s="808" t="str">
        <f t="shared" si="0"/>
        <v xml:space="preserve">  0</v>
      </c>
      <c r="E8" s="808"/>
      <c r="G8" s="801"/>
      <c r="J8" s="801"/>
      <c r="L8" s="808"/>
      <c r="M8" s="808"/>
      <c r="N8" s="580">
        <v>5</v>
      </c>
      <c r="O8" s="580" t="str">
        <f t="shared" si="3"/>
        <v/>
      </c>
      <c r="P8" s="580" t="str">
        <f>IFERROR('FR PD 001 V1'!T10,"")</f>
        <v/>
      </c>
      <c r="Q8" s="579" t="str">
        <f t="shared" si="4"/>
        <v/>
      </c>
      <c r="R8" s="579">
        <f t="shared" si="1"/>
        <v>0</v>
      </c>
      <c r="S8" s="579">
        <f t="shared" si="2"/>
        <v>0</v>
      </c>
    </row>
    <row r="9" spans="1:19" ht="9.75" customHeight="1">
      <c r="A9" s="811" t="str">
        <f>"QFP: "&amp;'DATOS ETIQ'!L$2&amp;"   QFV: "&amp;'DATOS ETIQ'!M$2</f>
        <v>QFP: JGARCIA   QFV: ADELTORO</v>
      </c>
      <c r="B9" s="811"/>
      <c r="D9" s="811" t="str">
        <f t="shared" si="0"/>
        <v>QFP: JGARCIA   QFV: ADELTORO</v>
      </c>
      <c r="E9" s="811"/>
      <c r="J9" s="356"/>
      <c r="N9" s="580">
        <v>6</v>
      </c>
      <c r="O9" s="580" t="str">
        <f t="shared" si="3"/>
        <v/>
      </c>
      <c r="P9" s="580" t="str">
        <f>IFERROR('FR PD 001 V1'!T11,"")</f>
        <v/>
      </c>
      <c r="Q9" s="579" t="str">
        <f t="shared" si="4"/>
        <v/>
      </c>
      <c r="R9" s="579">
        <f t="shared" si="1"/>
        <v>0</v>
      </c>
      <c r="S9" s="579">
        <f t="shared" si="2"/>
        <v>0</v>
      </c>
    </row>
    <row r="10" spans="1:19" ht="9.75" customHeight="1">
      <c r="A10" s="812" t="str">
        <f>'DATOS ETIQ'!N$2&amp;"   Cama: "&amp;'DATOS ETIQ'!O$2</f>
        <v>C.JPC/SEXTO NTE/SCOOP   Cama: NA</v>
      </c>
      <c r="B10" s="812"/>
      <c r="D10" s="812" t="str">
        <f t="shared" si="0"/>
        <v>C.JPC/SEXTO NTE/SCOOP   Cama: NA</v>
      </c>
      <c r="E10" s="812"/>
      <c r="J10" s="356"/>
      <c r="N10" s="580">
        <v>7</v>
      </c>
      <c r="O10" s="580" t="str">
        <f t="shared" si="3"/>
        <v/>
      </c>
      <c r="P10" s="580" t="str">
        <f>IFERROR('FR PD 001 V1'!T12,"")</f>
        <v/>
      </c>
      <c r="Q10" s="579" t="str">
        <f t="shared" si="4"/>
        <v/>
      </c>
      <c r="R10" s="579">
        <f t="shared" si="1"/>
        <v>0</v>
      </c>
      <c r="S10" s="579">
        <f t="shared" si="2"/>
        <v>0</v>
      </c>
    </row>
    <row r="11" spans="1:19" ht="9.75" customHeight="1">
      <c r="A11" s="811"/>
      <c r="B11" s="811"/>
      <c r="D11" s="811">
        <f t="shared" si="0"/>
        <v>0</v>
      </c>
      <c r="E11" s="811"/>
      <c r="J11" s="356"/>
      <c r="N11" s="580">
        <v>8</v>
      </c>
      <c r="O11" s="580" t="str">
        <f t="shared" si="3"/>
        <v/>
      </c>
      <c r="P11" s="580" t="str">
        <f>IFERROR('FR PD 001 V1'!T13,"")</f>
        <v/>
      </c>
      <c r="Q11" s="579" t="str">
        <f t="shared" si="4"/>
        <v/>
      </c>
      <c r="R11" s="579">
        <f t="shared" si="1"/>
        <v>0</v>
      </c>
      <c r="S11" s="579">
        <f t="shared" si="2"/>
        <v>0</v>
      </c>
    </row>
    <row r="12" spans="1:19" ht="9.75" customHeight="1">
      <c r="A12" s="808" t="e">
        <f>'DATOS ETIQ'!AA$3</f>
        <v>#N/A</v>
      </c>
      <c r="B12" s="808"/>
      <c r="C12" s="359"/>
      <c r="D12" s="808" t="e">
        <f t="shared" si="0"/>
        <v>#N/A</v>
      </c>
      <c r="E12" s="808"/>
      <c r="G12" s="351"/>
      <c r="H12" s="352"/>
      <c r="I12" s="352"/>
      <c r="J12" s="351"/>
      <c r="N12" s="580">
        <v>9</v>
      </c>
      <c r="O12" s="580" t="str">
        <f t="shared" si="3"/>
        <v/>
      </c>
      <c r="P12" s="580" t="str">
        <f>IFERROR('FR PD 001 V1'!T14,"")</f>
        <v/>
      </c>
      <c r="Q12" s="579" t="str">
        <f t="shared" si="4"/>
        <v/>
      </c>
      <c r="R12" s="579">
        <f t="shared" si="1"/>
        <v>0</v>
      </c>
      <c r="S12" s="579">
        <f t="shared" si="2"/>
        <v>0</v>
      </c>
    </row>
    <row r="13" spans="1:19" ht="9.75" customHeight="1">
      <c r="A13" s="808" t="e">
        <f>'DATOS ETIQ'!AC3</f>
        <v>#N/A</v>
      </c>
      <c r="B13" s="808"/>
      <c r="C13" s="359"/>
      <c r="D13" s="808" t="e">
        <f t="shared" si="0"/>
        <v>#N/A</v>
      </c>
      <c r="E13" s="808"/>
      <c r="G13" s="351"/>
      <c r="H13" s="352"/>
      <c r="I13" s="352"/>
      <c r="J13" s="351"/>
      <c r="N13" s="580">
        <v>10</v>
      </c>
      <c r="O13" s="580" t="str">
        <f t="shared" si="3"/>
        <v/>
      </c>
      <c r="P13" s="580" t="str">
        <f>IFERROR('FR PD 001 V1'!T15,"")</f>
        <v/>
      </c>
      <c r="Q13" s="579" t="str">
        <f t="shared" si="4"/>
        <v/>
      </c>
      <c r="R13" s="579">
        <f t="shared" si="1"/>
        <v>0</v>
      </c>
      <c r="S13" s="579">
        <f t="shared" si="2"/>
        <v>0</v>
      </c>
    </row>
    <row r="14" spans="1:19" ht="9.75" customHeight="1" thickBot="1">
      <c r="A14" s="360" t="str">
        <f ca="1">"F.Elab: "&amp;TEXT('FORMATO DIL'!$B$5,"dd/mm/yy")</f>
        <v>F.Elab: 04/08/22</v>
      </c>
      <c r="B14" s="360" t="e">
        <f ca="1">'DATOS ETIQ'!H$3</f>
        <v>#N/A</v>
      </c>
      <c r="C14" s="359"/>
      <c r="D14" s="360" t="str">
        <f ca="1">A14</f>
        <v>F.Elab: 04/08/22</v>
      </c>
      <c r="E14" s="360" t="e">
        <f ca="1">B14</f>
        <v>#N/A</v>
      </c>
      <c r="G14" s="351"/>
      <c r="H14" s="352"/>
      <c r="I14" s="352"/>
      <c r="J14" s="351"/>
      <c r="N14" s="580">
        <v>11</v>
      </c>
      <c r="O14" s="580" t="str">
        <f t="shared" si="3"/>
        <v/>
      </c>
      <c r="P14" s="580" t="str">
        <f>IFERROR('FR PD 001 V1'!T16,"")</f>
        <v/>
      </c>
      <c r="Q14" s="579" t="str">
        <f t="shared" si="4"/>
        <v/>
      </c>
      <c r="R14" s="579">
        <f t="shared" si="1"/>
        <v>0</v>
      </c>
      <c r="S14" s="579">
        <f t="shared" si="2"/>
        <v>0</v>
      </c>
    </row>
    <row r="15" spans="1:19" ht="10.5" customHeight="1">
      <c r="A15" s="810" t="str">
        <f>"Lt: "&amp;'DATOS ETIQ'!I$3</f>
        <v xml:space="preserve">Lt: </v>
      </c>
      <c r="B15" s="810"/>
      <c r="D15" s="810" t="str">
        <f>A15</f>
        <v xml:space="preserve">Lt: </v>
      </c>
      <c r="E15" s="810"/>
      <c r="G15" s="800" t="e">
        <f>'FR PD 001 V1'!T7</f>
        <v>#N/A</v>
      </c>
      <c r="J15" s="800">
        <v>2</v>
      </c>
      <c r="L15" s="808"/>
      <c r="M15" s="808"/>
      <c r="N15" s="580">
        <v>12</v>
      </c>
      <c r="O15" s="580" t="str">
        <f t="shared" si="3"/>
        <v/>
      </c>
      <c r="P15" s="580" t="str">
        <f>IFERROR('FR PD 001 V1'!T17,"")</f>
        <v/>
      </c>
      <c r="Q15" s="579" t="str">
        <f t="shared" si="4"/>
        <v/>
      </c>
      <c r="R15" s="579">
        <f t="shared" si="1"/>
        <v>0</v>
      </c>
      <c r="S15" s="579">
        <f t="shared" si="2"/>
        <v>0</v>
      </c>
    </row>
    <row r="16" spans="1:19" ht="9.75" customHeight="1" thickBot="1">
      <c r="A16" s="808" t="str">
        <f>'DATOS ETIQ'!J$3&amp;"  "&amp;'DATOS ETIQ'!K$3</f>
        <v xml:space="preserve">  0</v>
      </c>
      <c r="B16" s="808"/>
      <c r="C16" s="359"/>
      <c r="D16" s="808" t="str">
        <f t="shared" si="0"/>
        <v xml:space="preserve">  0</v>
      </c>
      <c r="E16" s="808"/>
      <c r="G16" s="801"/>
      <c r="J16" s="801"/>
      <c r="L16" s="808"/>
      <c r="M16" s="808"/>
      <c r="N16" s="580">
        <v>13</v>
      </c>
      <c r="O16" s="580" t="str">
        <f t="shared" si="3"/>
        <v/>
      </c>
      <c r="P16" s="580" t="str">
        <f>IFERROR('FR PD 001 V1'!T18,"")</f>
        <v/>
      </c>
      <c r="Q16" s="579" t="str">
        <f t="shared" si="4"/>
        <v/>
      </c>
      <c r="R16" s="579">
        <f t="shared" si="1"/>
        <v>0</v>
      </c>
      <c r="S16" s="579">
        <f t="shared" si="2"/>
        <v>0</v>
      </c>
    </row>
    <row r="17" spans="1:19" ht="9.75" customHeight="1">
      <c r="A17" s="811" t="str">
        <f>"QFP: "&amp;'DATOS ETIQ'!L$3&amp;"   QFV: "&amp;'DATOS ETIQ'!M$3</f>
        <v>QFP: JGARCIA   QFV: ADELTORO</v>
      </c>
      <c r="B17" s="811"/>
      <c r="D17" s="811" t="str">
        <f>A17</f>
        <v>QFP: JGARCIA   QFV: ADELTORO</v>
      </c>
      <c r="E17" s="811"/>
      <c r="J17" s="356"/>
      <c r="N17" s="580">
        <v>14</v>
      </c>
      <c r="O17" s="580" t="str">
        <f t="shared" si="3"/>
        <v/>
      </c>
      <c r="P17" s="580" t="str">
        <f>IFERROR('FR PD 001 V1'!T19,"")</f>
        <v/>
      </c>
      <c r="Q17" s="579" t="str">
        <f t="shared" si="4"/>
        <v/>
      </c>
      <c r="R17" s="579">
        <f t="shared" si="1"/>
        <v>0</v>
      </c>
      <c r="S17" s="579">
        <f t="shared" si="2"/>
        <v>0</v>
      </c>
    </row>
    <row r="18" spans="1:19" ht="9.75" customHeight="1">
      <c r="A18" s="812" t="str">
        <f>'DATOS ETIQ'!N$3&amp;"   Cama: "&amp;'DATOS ETIQ'!O$3</f>
        <v>C.JPC/SEXTO NTE/SCOOP   Cama: NA</v>
      </c>
      <c r="B18" s="812"/>
      <c r="D18" s="812" t="str">
        <f t="shared" ref="D18:D90" si="5">A18</f>
        <v>C.JPC/SEXTO NTE/SCOOP   Cama: NA</v>
      </c>
      <c r="E18" s="812"/>
      <c r="J18" s="356"/>
      <c r="N18" s="580">
        <v>15</v>
      </c>
      <c r="O18" s="580" t="str">
        <f t="shared" si="3"/>
        <v/>
      </c>
      <c r="P18" s="580" t="str">
        <f>IFERROR('FR PD 001 V1'!T20,"")</f>
        <v/>
      </c>
      <c r="Q18" s="579" t="str">
        <f t="shared" si="4"/>
        <v/>
      </c>
      <c r="R18" s="579">
        <f t="shared" si="1"/>
        <v>0</v>
      </c>
      <c r="S18" s="579">
        <f t="shared" si="2"/>
        <v>0</v>
      </c>
    </row>
    <row r="19" spans="1:19" ht="9.75" customHeight="1">
      <c r="A19" s="811"/>
      <c r="B19" s="811"/>
      <c r="D19" s="811">
        <f t="shared" si="5"/>
        <v>0</v>
      </c>
      <c r="E19" s="811"/>
      <c r="J19" s="356"/>
      <c r="N19" s="580">
        <v>16</v>
      </c>
      <c r="O19" s="580" t="str">
        <f t="shared" si="3"/>
        <v/>
      </c>
      <c r="P19" s="580" t="str">
        <f>IFERROR('FR PD 001 V1'!T21,"")</f>
        <v/>
      </c>
      <c r="Q19" s="579" t="str">
        <f t="shared" si="4"/>
        <v/>
      </c>
      <c r="R19" s="579">
        <f t="shared" si="1"/>
        <v>0</v>
      </c>
      <c r="S19" s="579">
        <f t="shared" si="2"/>
        <v>0</v>
      </c>
    </row>
    <row r="20" spans="1:19" ht="9.75" customHeight="1">
      <c r="A20" s="808" t="e">
        <f>'DATOS ETIQ'!AA$4</f>
        <v>#N/A</v>
      </c>
      <c r="B20" s="808"/>
      <c r="C20" s="359"/>
      <c r="D20" s="808" t="e">
        <f t="shared" si="5"/>
        <v>#N/A</v>
      </c>
      <c r="E20" s="808"/>
      <c r="J20" s="356"/>
      <c r="N20" s="580">
        <v>17</v>
      </c>
      <c r="O20" s="580" t="str">
        <f t="shared" si="3"/>
        <v/>
      </c>
      <c r="P20" s="580" t="str">
        <f>IFERROR('FR PD 001 V1'!T22,"")</f>
        <v/>
      </c>
      <c r="Q20" s="579" t="str">
        <f t="shared" si="4"/>
        <v/>
      </c>
      <c r="R20" s="579">
        <f t="shared" si="1"/>
        <v>0</v>
      </c>
      <c r="S20" s="579">
        <f t="shared" si="2"/>
        <v>0</v>
      </c>
    </row>
    <row r="21" spans="1:19" ht="9.75" customHeight="1">
      <c r="A21" s="808" t="e">
        <f>'DATOS ETIQ'!AC4</f>
        <v>#N/A</v>
      </c>
      <c r="B21" s="808"/>
      <c r="C21" s="359"/>
      <c r="D21" s="808" t="e">
        <f t="shared" si="5"/>
        <v>#N/A</v>
      </c>
      <c r="E21" s="808"/>
      <c r="J21" s="356"/>
      <c r="N21" s="580">
        <v>18</v>
      </c>
      <c r="O21" s="580" t="str">
        <f t="shared" si="3"/>
        <v/>
      </c>
      <c r="P21" s="580" t="str">
        <f>IFERROR('FR PD 001 V1'!T23,"")</f>
        <v/>
      </c>
      <c r="Q21" s="579" t="str">
        <f t="shared" si="4"/>
        <v/>
      </c>
      <c r="R21" s="579">
        <f t="shared" si="1"/>
        <v>0</v>
      </c>
      <c r="S21" s="579">
        <f t="shared" si="2"/>
        <v>0</v>
      </c>
    </row>
    <row r="22" spans="1:19" ht="9.75" customHeight="1" thickBot="1">
      <c r="A22" s="360" t="str">
        <f ca="1">"F.Elab: "&amp;TEXT('FORMATO DIL'!$B$5,"dd/mm/yy")</f>
        <v>F.Elab: 04/08/22</v>
      </c>
      <c r="B22" s="360" t="e">
        <f ca="1">'DATOS ETIQ'!H$4</f>
        <v>#N/A</v>
      </c>
      <c r="C22" s="359"/>
      <c r="D22" s="360" t="str">
        <f ca="1">A22</f>
        <v>F.Elab: 04/08/22</v>
      </c>
      <c r="E22" s="360" t="e">
        <f ca="1">B22</f>
        <v>#N/A</v>
      </c>
      <c r="J22" s="356"/>
      <c r="N22" s="580">
        <v>19</v>
      </c>
      <c r="O22" s="580" t="str">
        <f t="shared" si="3"/>
        <v/>
      </c>
      <c r="P22" s="580" t="str">
        <f>IFERROR('FR PD 001 V1'!T24,"")</f>
        <v/>
      </c>
      <c r="Q22" s="579" t="str">
        <f t="shared" si="4"/>
        <v/>
      </c>
      <c r="R22" s="579">
        <f t="shared" si="1"/>
        <v>0</v>
      </c>
      <c r="S22" s="579">
        <f t="shared" si="2"/>
        <v>0</v>
      </c>
    </row>
    <row r="23" spans="1:19" ht="9.75" customHeight="1">
      <c r="A23" s="810" t="str">
        <f>"Lt: "&amp;'DATOS ETIQ'!I$4</f>
        <v xml:space="preserve">Lt: </v>
      </c>
      <c r="B23" s="810"/>
      <c r="D23" s="810" t="str">
        <f>A23</f>
        <v xml:space="preserve">Lt: </v>
      </c>
      <c r="E23" s="810"/>
      <c r="G23" s="800" t="e">
        <f>'FR PD 001 V1'!T8</f>
        <v>#N/A</v>
      </c>
      <c r="J23" s="800">
        <v>3</v>
      </c>
      <c r="N23" s="580">
        <v>20</v>
      </c>
      <c r="O23" s="580" t="str">
        <f t="shared" si="3"/>
        <v/>
      </c>
      <c r="P23" s="580" t="str">
        <f>IFERROR('FR PD 001 V1'!T25,"")</f>
        <v/>
      </c>
      <c r="Q23" s="579" t="str">
        <f t="shared" si="4"/>
        <v/>
      </c>
      <c r="R23" s="579">
        <f t="shared" si="1"/>
        <v>0</v>
      </c>
      <c r="S23" s="579">
        <f t="shared" si="2"/>
        <v>0</v>
      </c>
    </row>
    <row r="24" spans="1:19" ht="9.75" customHeight="1" thickBot="1">
      <c r="A24" s="808" t="str">
        <f>'DATOS ETIQ'!J$4&amp;"  "&amp;'DATOS ETIQ'!K$4</f>
        <v xml:space="preserve">  0</v>
      </c>
      <c r="B24" s="808"/>
      <c r="C24" s="359"/>
      <c r="D24" s="808" t="str">
        <f t="shared" si="5"/>
        <v xml:space="preserve">  0</v>
      </c>
      <c r="E24" s="808"/>
      <c r="G24" s="801"/>
      <c r="J24" s="801"/>
      <c r="N24" s="580">
        <v>21</v>
      </c>
      <c r="O24" s="580" t="str">
        <f t="shared" si="3"/>
        <v/>
      </c>
      <c r="P24" s="580" t="str">
        <f>IFERROR('FR PD 001 V1'!T26,"")</f>
        <v/>
      </c>
      <c r="Q24" s="579" t="str">
        <f t="shared" si="4"/>
        <v/>
      </c>
      <c r="R24" s="579">
        <f t="shared" si="1"/>
        <v>0</v>
      </c>
      <c r="S24" s="579">
        <f t="shared" si="2"/>
        <v>0</v>
      </c>
    </row>
    <row r="25" spans="1:19" ht="9.75" customHeight="1">
      <c r="A25" s="811" t="str">
        <f>"QFP: "&amp;'DATOS ETIQ'!L$4&amp;"   QFV: "&amp;'DATOS ETIQ'!M$4</f>
        <v>QFP: JGARCIA   QFV: ADELTORO</v>
      </c>
      <c r="B25" s="811"/>
      <c r="D25" s="811" t="str">
        <f t="shared" si="5"/>
        <v>QFP: JGARCIA   QFV: ADELTORO</v>
      </c>
      <c r="E25" s="811"/>
      <c r="J25" s="356"/>
      <c r="N25" s="580">
        <v>22</v>
      </c>
      <c r="O25" s="580" t="str">
        <f t="shared" si="3"/>
        <v/>
      </c>
      <c r="P25" s="580" t="str">
        <f>IFERROR('FR PD 001 V1'!T27,"")</f>
        <v/>
      </c>
      <c r="Q25" s="579" t="str">
        <f t="shared" si="4"/>
        <v/>
      </c>
      <c r="R25" s="579">
        <f t="shared" si="1"/>
        <v>0</v>
      </c>
      <c r="S25" s="579">
        <f t="shared" si="2"/>
        <v>0</v>
      </c>
    </row>
    <row r="26" spans="1:19" ht="9.75" customHeight="1">
      <c r="A26" s="812" t="str">
        <f>'DATOS ETIQ'!N$4&amp;"   Cama: "&amp;'DATOS ETIQ'!O$4</f>
        <v>C.JPC/SEXTO NTE/SCOOP   Cama: NA</v>
      </c>
      <c r="B26" s="812"/>
      <c r="D26" s="812" t="str">
        <f t="shared" si="5"/>
        <v>C.JPC/SEXTO NTE/SCOOP   Cama: NA</v>
      </c>
      <c r="E26" s="812"/>
      <c r="J26" s="356"/>
      <c r="N26" s="580">
        <v>23</v>
      </c>
      <c r="O26" s="580" t="str">
        <f t="shared" si="3"/>
        <v/>
      </c>
      <c r="P26" s="580" t="str">
        <f>IFERROR('FR PD 001 V1'!T28,"")</f>
        <v/>
      </c>
      <c r="Q26" s="579" t="str">
        <f t="shared" si="4"/>
        <v/>
      </c>
      <c r="R26" s="579">
        <f t="shared" si="1"/>
        <v>0</v>
      </c>
      <c r="S26" s="579">
        <f t="shared" si="2"/>
        <v>0</v>
      </c>
    </row>
    <row r="27" spans="1:19" ht="9.75" customHeight="1">
      <c r="A27" s="811"/>
      <c r="B27" s="811"/>
      <c r="D27" s="811">
        <f t="shared" si="5"/>
        <v>0</v>
      </c>
      <c r="E27" s="811"/>
      <c r="J27" s="356"/>
      <c r="N27" s="580">
        <v>24</v>
      </c>
      <c r="O27" s="580" t="str">
        <f t="shared" si="3"/>
        <v/>
      </c>
      <c r="P27" s="580" t="str">
        <f>IFERROR('FR PD 001 V1'!T29,"")</f>
        <v/>
      </c>
      <c r="Q27" s="579" t="str">
        <f t="shared" si="4"/>
        <v/>
      </c>
      <c r="R27" s="579">
        <f t="shared" si="1"/>
        <v>0</v>
      </c>
      <c r="S27" s="579">
        <f t="shared" si="2"/>
        <v>0</v>
      </c>
    </row>
    <row r="28" spans="1:19" ht="9.75" customHeight="1">
      <c r="A28" s="808" t="e">
        <f>'DATOS ETIQ'!AA$5</f>
        <v>#N/A</v>
      </c>
      <c r="B28" s="808"/>
      <c r="C28" s="359"/>
      <c r="D28" s="808" t="e">
        <f t="shared" si="5"/>
        <v>#N/A</v>
      </c>
      <c r="E28" s="808"/>
      <c r="J28" s="356"/>
      <c r="N28" s="580">
        <v>25</v>
      </c>
      <c r="O28" s="580" t="str">
        <f t="shared" si="3"/>
        <v/>
      </c>
      <c r="P28" s="580" t="str">
        <f>IFERROR('FR PD 001 V1'!T30,"")</f>
        <v/>
      </c>
      <c r="Q28" s="579" t="str">
        <f t="shared" si="4"/>
        <v/>
      </c>
      <c r="R28" s="579">
        <f t="shared" si="1"/>
        <v>0</v>
      </c>
      <c r="S28" s="579">
        <f t="shared" si="2"/>
        <v>0</v>
      </c>
    </row>
    <row r="29" spans="1:19" ht="9.75" customHeight="1">
      <c r="A29" s="808" t="e">
        <f>'DATOS ETIQ'!AC5</f>
        <v>#N/A</v>
      </c>
      <c r="B29" s="808"/>
      <c r="C29" s="359"/>
      <c r="D29" s="808" t="e">
        <f t="shared" si="5"/>
        <v>#N/A</v>
      </c>
      <c r="E29" s="808"/>
      <c r="J29" s="356"/>
      <c r="N29" s="580">
        <v>26</v>
      </c>
      <c r="O29" s="580" t="str">
        <f t="shared" si="3"/>
        <v/>
      </c>
      <c r="P29" s="580" t="str">
        <f>IFERROR('FR PD 001 V1'!T31,"")</f>
        <v/>
      </c>
      <c r="Q29" s="579" t="str">
        <f t="shared" si="4"/>
        <v/>
      </c>
      <c r="R29" s="579">
        <f t="shared" si="1"/>
        <v>0</v>
      </c>
      <c r="S29" s="579">
        <f t="shared" si="2"/>
        <v>0</v>
      </c>
    </row>
    <row r="30" spans="1:19" ht="9.75" customHeight="1" thickBot="1">
      <c r="A30" s="360" t="str">
        <f ca="1">"F.Elab: "&amp;TEXT('FORMATO DIL'!$B$5,"dd/mm/yy")</f>
        <v>F.Elab: 04/08/22</v>
      </c>
      <c r="B30" s="360" t="e">
        <f ca="1">'DATOS ETIQ'!H$5</f>
        <v>#N/A</v>
      </c>
      <c r="C30" s="359"/>
      <c r="D30" s="360" t="str">
        <f ca="1">A30</f>
        <v>F.Elab: 04/08/22</v>
      </c>
      <c r="E30" s="360" t="e">
        <f ca="1">B30</f>
        <v>#N/A</v>
      </c>
      <c r="J30" s="356"/>
      <c r="N30" s="580">
        <v>27</v>
      </c>
      <c r="O30" s="580" t="str">
        <f t="shared" si="3"/>
        <v/>
      </c>
      <c r="P30" s="580" t="str">
        <f>IFERROR('FR PD 001 V1'!T32,"")</f>
        <v/>
      </c>
      <c r="Q30" s="579" t="str">
        <f t="shared" si="4"/>
        <v/>
      </c>
      <c r="R30" s="579">
        <f t="shared" si="1"/>
        <v>0</v>
      </c>
      <c r="S30" s="579">
        <f t="shared" si="2"/>
        <v>0</v>
      </c>
    </row>
    <row r="31" spans="1:19" ht="9.75" customHeight="1">
      <c r="A31" s="810" t="str">
        <f>"Lt: "&amp;'DATOS ETIQ'!I$5</f>
        <v xml:space="preserve">Lt: </v>
      </c>
      <c r="B31" s="810"/>
      <c r="D31" s="810" t="str">
        <f>A31</f>
        <v xml:space="preserve">Lt: </v>
      </c>
      <c r="E31" s="810"/>
      <c r="G31" s="800" t="e">
        <f>'FR PD 001 V1'!T9</f>
        <v>#N/A</v>
      </c>
      <c r="J31" s="800">
        <v>4</v>
      </c>
      <c r="N31" s="580">
        <v>28</v>
      </c>
      <c r="O31" s="580" t="str">
        <f t="shared" si="3"/>
        <v/>
      </c>
      <c r="P31" s="580" t="str">
        <f>IFERROR('FR PD 001 V1'!T33,"")</f>
        <v/>
      </c>
      <c r="Q31" s="579" t="str">
        <f t="shared" si="4"/>
        <v/>
      </c>
      <c r="R31" s="579">
        <f t="shared" si="1"/>
        <v>0</v>
      </c>
      <c r="S31" s="579">
        <f t="shared" si="2"/>
        <v>0</v>
      </c>
    </row>
    <row r="32" spans="1:19" ht="9.75" customHeight="1" thickBot="1">
      <c r="A32" s="808" t="str">
        <f>'DATOS ETIQ'!J$5&amp;"  "&amp;'DATOS ETIQ'!K$5</f>
        <v xml:space="preserve">  0</v>
      </c>
      <c r="B32" s="808"/>
      <c r="C32" s="359"/>
      <c r="D32" s="808" t="str">
        <f t="shared" si="5"/>
        <v xml:space="preserve">  0</v>
      </c>
      <c r="E32" s="808"/>
      <c r="G32" s="801"/>
      <c r="J32" s="801"/>
      <c r="N32" s="580">
        <v>29</v>
      </c>
      <c r="O32" s="580" t="str">
        <f t="shared" si="3"/>
        <v/>
      </c>
      <c r="P32" s="580" t="str">
        <f>IFERROR('FR PD 001 V1'!T34,"")</f>
        <v/>
      </c>
      <c r="Q32" s="579" t="str">
        <f t="shared" si="4"/>
        <v/>
      </c>
      <c r="R32" s="579">
        <f t="shared" si="1"/>
        <v>0</v>
      </c>
      <c r="S32" s="579">
        <f t="shared" si="2"/>
        <v>0</v>
      </c>
    </row>
    <row r="33" spans="1:19" ht="9.75" customHeight="1">
      <c r="A33" s="811" t="str">
        <f>"QFP: "&amp;'DATOS ETIQ'!L$5&amp;"   QFV: "&amp;'DATOS ETIQ'!M$5</f>
        <v>QFP: JGARCIA   QFV: ADELTORO</v>
      </c>
      <c r="B33" s="811"/>
      <c r="D33" s="811" t="str">
        <f t="shared" si="5"/>
        <v>QFP: JGARCIA   QFV: ADELTORO</v>
      </c>
      <c r="E33" s="811"/>
      <c r="J33" s="356"/>
      <c r="N33" s="580">
        <v>30</v>
      </c>
      <c r="O33" s="580" t="str">
        <f t="shared" si="3"/>
        <v/>
      </c>
      <c r="P33" s="580" t="str">
        <f>IFERROR('FR PD 001 V1'!T35,"")</f>
        <v/>
      </c>
      <c r="Q33" s="579" t="str">
        <f t="shared" si="4"/>
        <v/>
      </c>
      <c r="R33" s="579">
        <f t="shared" si="1"/>
        <v>0</v>
      </c>
      <c r="S33" s="579">
        <f t="shared" si="2"/>
        <v>0</v>
      </c>
    </row>
    <row r="34" spans="1:19" ht="9.75" customHeight="1">
      <c r="A34" s="812" t="str">
        <f>'DATOS ETIQ'!N$5&amp;"   Cama: "&amp;'DATOS ETIQ'!O$5</f>
        <v>C.JPC/SEXTO NTE/SCOOP   Cama: NA</v>
      </c>
      <c r="B34" s="812"/>
      <c r="D34" s="812" t="str">
        <f t="shared" si="5"/>
        <v>C.JPC/SEXTO NTE/SCOOP   Cama: NA</v>
      </c>
      <c r="E34" s="812"/>
      <c r="J34" s="356"/>
      <c r="N34" s="580">
        <v>31</v>
      </c>
      <c r="O34" s="580" t="str">
        <f t="shared" si="3"/>
        <v/>
      </c>
      <c r="P34" s="580" t="str">
        <f>IFERROR('FR PD 001 V1'!T36,"")</f>
        <v/>
      </c>
      <c r="Q34" s="579" t="str">
        <f t="shared" si="4"/>
        <v/>
      </c>
      <c r="R34" s="579">
        <f t="shared" si="1"/>
        <v>0</v>
      </c>
      <c r="S34" s="579">
        <f t="shared" si="2"/>
        <v>0</v>
      </c>
    </row>
    <row r="35" spans="1:19" ht="9.75" customHeight="1">
      <c r="A35" s="811"/>
      <c r="B35" s="811"/>
      <c r="D35" s="811">
        <f t="shared" si="5"/>
        <v>0</v>
      </c>
      <c r="E35" s="811"/>
      <c r="J35" s="356"/>
      <c r="N35" s="580">
        <v>32</v>
      </c>
      <c r="O35" s="580" t="str">
        <f t="shared" si="3"/>
        <v/>
      </c>
      <c r="P35" s="580" t="str">
        <f>IFERROR('FR PD 001 V1'!T37,"")</f>
        <v/>
      </c>
      <c r="Q35" s="579" t="str">
        <f t="shared" si="4"/>
        <v/>
      </c>
      <c r="R35" s="579">
        <f t="shared" si="1"/>
        <v>0</v>
      </c>
      <c r="S35" s="579">
        <f t="shared" si="2"/>
        <v>0</v>
      </c>
    </row>
    <row r="36" spans="1:19" ht="9.75" customHeight="1">
      <c r="A36" s="808" t="e">
        <f>'DATOS ETIQ'!AA$6</f>
        <v>#N/A</v>
      </c>
      <c r="B36" s="808"/>
      <c r="C36" s="359"/>
      <c r="D36" s="808" t="e">
        <f t="shared" si="5"/>
        <v>#N/A</v>
      </c>
      <c r="E36" s="808"/>
      <c r="J36" s="356"/>
      <c r="N36" s="580">
        <v>33</v>
      </c>
      <c r="O36" s="580" t="str">
        <f t="shared" si="3"/>
        <v/>
      </c>
      <c r="P36" s="580" t="str">
        <f>IFERROR('FR PD 001 V1'!T38,"")</f>
        <v/>
      </c>
      <c r="Q36" s="579" t="str">
        <f t="shared" si="4"/>
        <v/>
      </c>
      <c r="R36" s="579">
        <f t="shared" si="1"/>
        <v>0</v>
      </c>
      <c r="S36" s="579">
        <f t="shared" si="2"/>
        <v>0</v>
      </c>
    </row>
    <row r="37" spans="1:19" ht="9.75" customHeight="1">
      <c r="A37" s="808" t="e">
        <f>'DATOS ETIQ'!AC6</f>
        <v>#N/A</v>
      </c>
      <c r="B37" s="808"/>
      <c r="C37" s="359"/>
      <c r="D37" s="808" t="e">
        <f t="shared" si="5"/>
        <v>#N/A</v>
      </c>
      <c r="E37" s="808"/>
      <c r="J37" s="356"/>
      <c r="N37" s="580">
        <v>34</v>
      </c>
      <c r="O37" s="580" t="str">
        <f t="shared" si="3"/>
        <v/>
      </c>
      <c r="P37" s="580" t="str">
        <f>IFERROR('FR PD 001 V1'!T39,"")</f>
        <v/>
      </c>
      <c r="Q37" s="579" t="str">
        <f t="shared" si="4"/>
        <v/>
      </c>
      <c r="R37" s="579">
        <f t="shared" si="1"/>
        <v>0</v>
      </c>
      <c r="S37" s="579">
        <f t="shared" si="2"/>
        <v>0</v>
      </c>
    </row>
    <row r="38" spans="1:19" ht="9.75" customHeight="1" thickBot="1">
      <c r="A38" s="360" t="str">
        <f ca="1">"F.Elab: "&amp;TEXT('FORMATO DIL'!$B$5,"dd/mm/yy")</f>
        <v>F.Elab: 04/08/22</v>
      </c>
      <c r="B38" s="360" t="e">
        <f ca="1">'DATOS ETIQ'!H$6</f>
        <v>#N/A</v>
      </c>
      <c r="C38" s="359"/>
      <c r="D38" s="360" t="str">
        <f ca="1">A38</f>
        <v>F.Elab: 04/08/22</v>
      </c>
      <c r="E38" s="360" t="e">
        <f ca="1">B38</f>
        <v>#N/A</v>
      </c>
      <c r="J38" s="356"/>
      <c r="N38" s="580">
        <v>35</v>
      </c>
      <c r="O38" s="580" t="str">
        <f t="shared" si="3"/>
        <v/>
      </c>
      <c r="P38" s="580" t="str">
        <f>IFERROR('FR PD 001 V1'!T40,"")</f>
        <v/>
      </c>
      <c r="Q38" s="579" t="str">
        <f t="shared" si="4"/>
        <v/>
      </c>
      <c r="R38" s="579">
        <f t="shared" si="1"/>
        <v>0</v>
      </c>
      <c r="S38" s="579">
        <f t="shared" si="2"/>
        <v>0</v>
      </c>
    </row>
    <row r="39" spans="1:19" ht="9.75" customHeight="1">
      <c r="A39" s="810" t="str">
        <f>"Lt: "&amp;'DATOS ETIQ'!I$6</f>
        <v xml:space="preserve">Lt: </v>
      </c>
      <c r="B39" s="810"/>
      <c r="D39" s="810" t="str">
        <f>A39</f>
        <v xml:space="preserve">Lt: </v>
      </c>
      <c r="E39" s="810"/>
      <c r="G39" s="800" t="e">
        <f>'FR PD 001 V1'!T10</f>
        <v>#N/A</v>
      </c>
      <c r="J39" s="800">
        <v>5</v>
      </c>
      <c r="N39" s="580">
        <v>36</v>
      </c>
      <c r="O39" s="580" t="str">
        <f t="shared" si="3"/>
        <v/>
      </c>
      <c r="P39" s="580" t="str">
        <f>IFERROR('FR PD 001 V1'!T41,"")</f>
        <v/>
      </c>
      <c r="Q39" s="579" t="str">
        <f t="shared" si="4"/>
        <v/>
      </c>
      <c r="R39" s="579">
        <f t="shared" si="1"/>
        <v>0</v>
      </c>
      <c r="S39" s="579">
        <f t="shared" si="2"/>
        <v>0</v>
      </c>
    </row>
    <row r="40" spans="1:19" ht="9.75" customHeight="1" thickBot="1">
      <c r="A40" s="808" t="str">
        <f>'DATOS ETIQ'!J$6&amp;"  "&amp;'DATOS ETIQ'!K$6</f>
        <v xml:space="preserve">  0</v>
      </c>
      <c r="B40" s="808"/>
      <c r="C40" s="359"/>
      <c r="D40" s="808" t="str">
        <f t="shared" si="5"/>
        <v xml:space="preserve">  0</v>
      </c>
      <c r="E40" s="808"/>
      <c r="G40" s="801"/>
      <c r="J40" s="801"/>
      <c r="N40" s="580">
        <v>37</v>
      </c>
      <c r="O40" s="580" t="str">
        <f t="shared" si="3"/>
        <v/>
      </c>
      <c r="P40" s="580" t="str">
        <f>IFERROR('FR PD 001 V1'!T42,"")</f>
        <v/>
      </c>
      <c r="Q40" s="579" t="str">
        <f t="shared" si="4"/>
        <v/>
      </c>
      <c r="R40" s="579">
        <f t="shared" si="1"/>
        <v>0</v>
      </c>
      <c r="S40" s="579">
        <f t="shared" si="2"/>
        <v>0</v>
      </c>
    </row>
    <row r="41" spans="1:19" ht="9.75" customHeight="1">
      <c r="A41" s="811" t="str">
        <f>"QFP: "&amp;'DATOS ETIQ'!L$6&amp;"   QFV: "&amp;'DATOS ETIQ'!M$6</f>
        <v>QFP: JGARCIA   QFV: ADELTORO</v>
      </c>
      <c r="B41" s="811"/>
      <c r="D41" s="811" t="str">
        <f t="shared" si="5"/>
        <v>QFP: JGARCIA   QFV: ADELTORO</v>
      </c>
      <c r="E41" s="811"/>
      <c r="J41" s="356"/>
      <c r="N41" s="580">
        <v>38</v>
      </c>
      <c r="O41" s="580" t="str">
        <f t="shared" si="3"/>
        <v/>
      </c>
      <c r="P41" s="580" t="str">
        <f>IFERROR('FR PD 001 V1'!T43,"")</f>
        <v/>
      </c>
      <c r="Q41" s="579" t="str">
        <f t="shared" si="4"/>
        <v/>
      </c>
      <c r="R41" s="579">
        <f t="shared" si="1"/>
        <v>0</v>
      </c>
      <c r="S41" s="579">
        <f t="shared" si="2"/>
        <v>0</v>
      </c>
    </row>
    <row r="42" spans="1:19" ht="9.75" customHeight="1">
      <c r="A42" s="812" t="str">
        <f>'DATOS ETIQ'!N$6&amp;"   Cama: "&amp;'DATOS ETIQ'!O$6</f>
        <v>C.JPC/SEXTO NTE/SCOOP   Cama: NA</v>
      </c>
      <c r="B42" s="812"/>
      <c r="D42" s="812" t="str">
        <f t="shared" si="5"/>
        <v>C.JPC/SEXTO NTE/SCOOP   Cama: NA</v>
      </c>
      <c r="E42" s="812"/>
      <c r="J42" s="356"/>
      <c r="N42" s="580">
        <v>39</v>
      </c>
      <c r="O42" s="580" t="str">
        <f t="shared" si="3"/>
        <v/>
      </c>
      <c r="P42" s="580" t="str">
        <f>IFERROR('FR PD 001 V1'!T44,"")</f>
        <v/>
      </c>
      <c r="Q42" s="579" t="str">
        <f t="shared" si="4"/>
        <v/>
      </c>
      <c r="R42" s="579">
        <f t="shared" si="1"/>
        <v>0</v>
      </c>
      <c r="S42" s="579">
        <f t="shared" si="2"/>
        <v>0</v>
      </c>
    </row>
    <row r="43" spans="1:19" ht="9.75" customHeight="1">
      <c r="A43" s="811"/>
      <c r="B43" s="811"/>
      <c r="D43" s="811">
        <f t="shared" si="5"/>
        <v>0</v>
      </c>
      <c r="E43" s="811"/>
      <c r="J43" s="356"/>
      <c r="N43" s="580">
        <v>40</v>
      </c>
      <c r="O43" s="580" t="str">
        <f t="shared" si="3"/>
        <v/>
      </c>
      <c r="P43" s="580" t="str">
        <f>IFERROR('FR PD 001 V1'!T45,"")</f>
        <v/>
      </c>
      <c r="Q43" s="579" t="str">
        <f t="shared" si="4"/>
        <v/>
      </c>
      <c r="R43" s="579">
        <f t="shared" si="1"/>
        <v>0</v>
      </c>
      <c r="S43" s="579">
        <f t="shared" si="2"/>
        <v>0</v>
      </c>
    </row>
    <row r="44" spans="1:19" ht="9.75" customHeight="1">
      <c r="A44" s="808" t="e">
        <f>'DATOS ETIQ'!AA$7</f>
        <v>#N/A</v>
      </c>
      <c r="B44" s="808"/>
      <c r="C44" s="359"/>
      <c r="D44" s="808" t="e">
        <f t="shared" si="5"/>
        <v>#N/A</v>
      </c>
      <c r="E44" s="808"/>
      <c r="J44" s="356"/>
      <c r="N44" s="580">
        <v>41</v>
      </c>
      <c r="O44" s="580" t="str">
        <f t="shared" si="3"/>
        <v/>
      </c>
      <c r="P44" s="580" t="str">
        <f>IFERROR('FR PD 001 V1'!T46,"")</f>
        <v/>
      </c>
      <c r="Q44" s="579" t="str">
        <f t="shared" si="4"/>
        <v/>
      </c>
      <c r="R44" s="579">
        <f t="shared" si="1"/>
        <v>0</v>
      </c>
      <c r="S44" s="579">
        <f t="shared" si="2"/>
        <v>0</v>
      </c>
    </row>
    <row r="45" spans="1:19" ht="9.75" customHeight="1">
      <c r="A45" s="808" t="e">
        <f>'DATOS ETIQ'!AC7</f>
        <v>#N/A</v>
      </c>
      <c r="B45" s="808"/>
      <c r="C45" s="359"/>
      <c r="D45" s="808" t="e">
        <f t="shared" si="5"/>
        <v>#N/A</v>
      </c>
      <c r="E45" s="808"/>
      <c r="J45" s="356"/>
      <c r="N45" s="580">
        <v>42</v>
      </c>
      <c r="O45" s="580" t="str">
        <f t="shared" si="3"/>
        <v/>
      </c>
      <c r="P45" s="580" t="str">
        <f>IFERROR('FR PD 001 V1'!T47,"")</f>
        <v/>
      </c>
      <c r="Q45" s="579" t="str">
        <f t="shared" si="4"/>
        <v/>
      </c>
      <c r="R45" s="579">
        <f t="shared" si="1"/>
        <v>0</v>
      </c>
      <c r="S45" s="579">
        <f t="shared" si="2"/>
        <v>0</v>
      </c>
    </row>
    <row r="46" spans="1:19" ht="9.75" customHeight="1" thickBot="1">
      <c r="A46" s="360" t="str">
        <f ca="1">"F.Elab: "&amp;TEXT('FORMATO DIL'!$B$5,"dd/mm/yy")</f>
        <v>F.Elab: 04/08/22</v>
      </c>
      <c r="B46" s="360" t="e">
        <f ca="1">'DATOS ETIQ'!H$7</f>
        <v>#N/A</v>
      </c>
      <c r="C46" s="359"/>
      <c r="D46" s="360" t="str">
        <f ca="1">A46</f>
        <v>F.Elab: 04/08/22</v>
      </c>
      <c r="E46" s="360" t="e">
        <f ca="1">B46</f>
        <v>#N/A</v>
      </c>
      <c r="J46" s="356"/>
      <c r="N46" s="580">
        <v>43</v>
      </c>
      <c r="O46" s="580" t="str">
        <f t="shared" si="3"/>
        <v/>
      </c>
      <c r="P46" s="580" t="str">
        <f>IFERROR('FR PD 001 V1'!T48,"")</f>
        <v/>
      </c>
      <c r="Q46" s="579" t="str">
        <f t="shared" si="4"/>
        <v/>
      </c>
      <c r="R46" s="579">
        <f t="shared" si="1"/>
        <v>0</v>
      </c>
      <c r="S46" s="579">
        <f t="shared" si="2"/>
        <v>0</v>
      </c>
    </row>
    <row r="47" spans="1:19" ht="9.75" customHeight="1">
      <c r="A47" s="810" t="str">
        <f>"Lt: "&amp;'DATOS ETIQ'!I$7</f>
        <v xml:space="preserve">Lt: </v>
      </c>
      <c r="B47" s="810"/>
      <c r="D47" s="810" t="str">
        <f>A47</f>
        <v xml:space="preserve">Lt: </v>
      </c>
      <c r="E47" s="810"/>
      <c r="G47" s="800" t="e">
        <f>'FR PD 001 V1'!T11</f>
        <v>#N/A</v>
      </c>
      <c r="J47" s="800">
        <v>6</v>
      </c>
      <c r="N47" s="580">
        <v>44</v>
      </c>
      <c r="O47" s="580" t="str">
        <f t="shared" si="3"/>
        <v/>
      </c>
      <c r="P47" s="580" t="str">
        <f>IFERROR('FR PD 001 V1'!T49,"")</f>
        <v/>
      </c>
      <c r="Q47" s="579" t="str">
        <f t="shared" si="4"/>
        <v/>
      </c>
      <c r="R47" s="579">
        <f t="shared" si="1"/>
        <v>0</v>
      </c>
      <c r="S47" s="579">
        <f t="shared" si="2"/>
        <v>0</v>
      </c>
    </row>
    <row r="48" spans="1:19" ht="9.75" customHeight="1" thickBot="1">
      <c r="A48" s="808" t="str">
        <f>'DATOS ETIQ'!J$7&amp;"  "&amp;'DATOS ETIQ'!K$7</f>
        <v xml:space="preserve">  0</v>
      </c>
      <c r="B48" s="808"/>
      <c r="C48" s="359"/>
      <c r="D48" s="808" t="str">
        <f t="shared" si="5"/>
        <v xml:space="preserve">  0</v>
      </c>
      <c r="E48" s="808"/>
      <c r="G48" s="801"/>
      <c r="J48" s="801"/>
      <c r="O48" s="350"/>
    </row>
    <row r="49" spans="1:19" ht="9.75" customHeight="1">
      <c r="A49" s="811" t="str">
        <f>"QFP: "&amp;'DATOS ETIQ'!L$7&amp;"   QFV: "&amp;'DATOS ETIQ'!M$7</f>
        <v>QFP: JGARCIA   QFV: ADELTORO</v>
      </c>
      <c r="B49" s="811"/>
      <c r="D49" s="811" t="str">
        <f t="shared" si="5"/>
        <v>QFP: JGARCIA   QFV: ADELTORO</v>
      </c>
      <c r="E49" s="811"/>
      <c r="J49" s="356"/>
      <c r="O49" s="350"/>
    </row>
    <row r="50" spans="1:19" ht="9.75" customHeight="1">
      <c r="A50" s="812" t="str">
        <f>'DATOS ETIQ'!N$7&amp;"   Cama: "&amp;'DATOS ETIQ'!O$7</f>
        <v>C.JPC/SEXTO NTE/SCOOP   Cama: NA</v>
      </c>
      <c r="B50" s="812"/>
      <c r="D50" s="812" t="str">
        <f t="shared" si="5"/>
        <v>C.JPC/SEXTO NTE/SCOOP   Cama: NA</v>
      </c>
      <c r="E50" s="812"/>
      <c r="J50" s="356"/>
      <c r="O50" s="350"/>
    </row>
    <row r="51" spans="1:19" ht="9.75" customHeight="1">
      <c r="A51" s="811"/>
      <c r="B51" s="811"/>
      <c r="D51" s="811">
        <f t="shared" si="5"/>
        <v>0</v>
      </c>
      <c r="E51" s="811"/>
      <c r="J51" s="356"/>
      <c r="O51" s="350"/>
    </row>
    <row r="52" spans="1:19" ht="9.75" customHeight="1">
      <c r="A52" s="808" t="e">
        <f>'DATOS ETIQ'!AA$8</f>
        <v>#N/A</v>
      </c>
      <c r="B52" s="808"/>
      <c r="C52" s="359"/>
      <c r="D52" s="808" t="e">
        <f t="shared" si="5"/>
        <v>#N/A</v>
      </c>
      <c r="E52" s="808"/>
      <c r="J52" s="356"/>
      <c r="N52" s="404"/>
      <c r="O52" s="404"/>
      <c r="P52" s="404"/>
      <c r="Q52" s="404"/>
      <c r="R52" s="404"/>
      <c r="S52" s="404"/>
    </row>
    <row r="53" spans="1:19" ht="9.75" customHeight="1">
      <c r="A53" s="808" t="e">
        <f>'DATOS ETIQ'!AC8</f>
        <v>#N/A</v>
      </c>
      <c r="B53" s="808"/>
      <c r="C53" s="359"/>
      <c r="D53" s="808" t="e">
        <f t="shared" si="5"/>
        <v>#N/A</v>
      </c>
      <c r="E53" s="808"/>
      <c r="J53" s="356"/>
      <c r="O53" s="350"/>
    </row>
    <row r="54" spans="1:19" ht="9.75" customHeight="1" thickBot="1">
      <c r="A54" s="360" t="str">
        <f ca="1">"F.Elab: "&amp;TEXT('FORMATO DIL'!$B$5,"dd/mm/yy")</f>
        <v>F.Elab: 04/08/22</v>
      </c>
      <c r="B54" s="360" t="e">
        <f ca="1">'DATOS ETIQ'!H$8</f>
        <v>#N/A</v>
      </c>
      <c r="C54" s="359"/>
      <c r="D54" s="360" t="str">
        <f ca="1">A54</f>
        <v>F.Elab: 04/08/22</v>
      </c>
      <c r="E54" s="360" t="e">
        <f ca="1">B54</f>
        <v>#N/A</v>
      </c>
      <c r="J54" s="356"/>
      <c r="O54" s="350"/>
    </row>
    <row r="55" spans="1:19" ht="9.75" customHeight="1">
      <c r="A55" s="810" t="str">
        <f>"Lt: "&amp;'DATOS ETIQ'!I$8</f>
        <v xml:space="preserve">Lt: </v>
      </c>
      <c r="B55" s="810"/>
      <c r="D55" s="810" t="str">
        <f>A55</f>
        <v xml:space="preserve">Lt: </v>
      </c>
      <c r="E55" s="810"/>
      <c r="G55" s="800" t="e">
        <f>'FR PD 001 V1'!T12</f>
        <v>#N/A</v>
      </c>
      <c r="J55" s="800">
        <v>7</v>
      </c>
      <c r="O55" s="350"/>
    </row>
    <row r="56" spans="1:19" ht="9.75" customHeight="1" thickBot="1">
      <c r="A56" s="808" t="str">
        <f>'DATOS ETIQ'!J$8&amp;"  "&amp;'DATOS ETIQ'!K$8</f>
        <v xml:space="preserve">  0</v>
      </c>
      <c r="B56" s="808"/>
      <c r="C56" s="359"/>
      <c r="D56" s="808" t="str">
        <f t="shared" si="5"/>
        <v xml:space="preserve">  0</v>
      </c>
      <c r="E56" s="808"/>
      <c r="G56" s="801"/>
      <c r="J56" s="801"/>
      <c r="O56" s="350"/>
    </row>
    <row r="57" spans="1:19" ht="9.75" customHeight="1">
      <c r="A57" s="811" t="str">
        <f>"QFP: "&amp;'DATOS ETIQ'!L$8&amp;"   QFV: "&amp;'DATOS ETIQ'!M$8</f>
        <v>QFP: JGARCIA   QFV: ADELTORO</v>
      </c>
      <c r="B57" s="811"/>
      <c r="D57" s="811" t="str">
        <f t="shared" si="5"/>
        <v>QFP: JGARCIA   QFV: ADELTORO</v>
      </c>
      <c r="E57" s="811"/>
      <c r="J57" s="356"/>
      <c r="O57" s="350"/>
    </row>
    <row r="58" spans="1:19" ht="9.75" customHeight="1">
      <c r="A58" s="812" t="str">
        <f>'DATOS ETIQ'!N$8&amp;"   Cama: "&amp;'DATOS ETIQ'!O$8</f>
        <v>C.JPC/SEXTO NTE/SCOOP   Cama: NA</v>
      </c>
      <c r="B58" s="812"/>
      <c r="D58" s="812" t="str">
        <f t="shared" si="5"/>
        <v>C.JPC/SEXTO NTE/SCOOP   Cama: NA</v>
      </c>
      <c r="E58" s="812"/>
      <c r="J58" s="356"/>
      <c r="O58" s="350"/>
    </row>
    <row r="59" spans="1:19" ht="9.75" customHeight="1">
      <c r="A59" s="811"/>
      <c r="B59" s="811"/>
      <c r="D59" s="811">
        <f t="shared" si="5"/>
        <v>0</v>
      </c>
      <c r="E59" s="811"/>
      <c r="J59" s="356"/>
      <c r="O59" s="350"/>
    </row>
    <row r="60" spans="1:19" ht="9.75" customHeight="1">
      <c r="A60" s="808" t="e">
        <f>'DATOS ETIQ'!AA$9</f>
        <v>#N/A</v>
      </c>
      <c r="B60" s="808"/>
      <c r="C60" s="359"/>
      <c r="D60" s="808" t="e">
        <f t="shared" si="5"/>
        <v>#N/A</v>
      </c>
      <c r="E60" s="808"/>
      <c r="J60" s="356"/>
      <c r="N60" s="404"/>
      <c r="O60" s="404"/>
      <c r="P60" s="404"/>
      <c r="Q60" s="404"/>
      <c r="R60" s="404"/>
      <c r="S60" s="404"/>
    </row>
    <row r="61" spans="1:19" ht="9.75" customHeight="1">
      <c r="A61" s="808" t="e">
        <f>'DATOS ETIQ'!AC9</f>
        <v>#N/A</v>
      </c>
      <c r="B61" s="808"/>
      <c r="C61" s="359"/>
      <c r="D61" s="808" t="e">
        <f t="shared" si="5"/>
        <v>#N/A</v>
      </c>
      <c r="E61" s="808"/>
      <c r="J61" s="356"/>
      <c r="O61" s="350"/>
    </row>
    <row r="62" spans="1:19" ht="9.75" customHeight="1" thickBot="1">
      <c r="A62" s="360" t="str">
        <f ca="1">"F.Elab: "&amp;TEXT('FORMATO DIL'!$B$5,"dd/mm/yy")</f>
        <v>F.Elab: 04/08/22</v>
      </c>
      <c r="B62" s="360" t="e">
        <f ca="1">'DATOS ETIQ'!H$9</f>
        <v>#N/A</v>
      </c>
      <c r="C62" s="359"/>
      <c r="D62" s="360" t="str">
        <f ca="1">A62</f>
        <v>F.Elab: 04/08/22</v>
      </c>
      <c r="E62" s="360" t="e">
        <f ca="1">B62</f>
        <v>#N/A</v>
      </c>
      <c r="J62" s="356"/>
      <c r="O62" s="350"/>
    </row>
    <row r="63" spans="1:19" ht="9.75" customHeight="1">
      <c r="A63" s="810" t="str">
        <f>"Lt: "&amp;'DATOS ETIQ'!I$9</f>
        <v xml:space="preserve">Lt: </v>
      </c>
      <c r="B63" s="810"/>
      <c r="D63" s="810" t="str">
        <f>A63</f>
        <v xml:space="preserve">Lt: </v>
      </c>
      <c r="E63" s="810"/>
      <c r="G63" s="800" t="e">
        <f>'FR PD 001 V1'!T13</f>
        <v>#N/A</v>
      </c>
      <c r="J63" s="800">
        <v>8</v>
      </c>
      <c r="O63" s="350"/>
    </row>
    <row r="64" spans="1:19" ht="9.75" customHeight="1" thickBot="1">
      <c r="A64" s="808" t="str">
        <f>'DATOS ETIQ'!J$9&amp;"  "&amp;'DATOS ETIQ'!K$9</f>
        <v xml:space="preserve">  0</v>
      </c>
      <c r="B64" s="808"/>
      <c r="C64" s="359"/>
      <c r="D64" s="808" t="str">
        <f t="shared" si="5"/>
        <v xml:space="preserve">  0</v>
      </c>
      <c r="E64" s="808"/>
      <c r="G64" s="801"/>
      <c r="J64" s="801"/>
      <c r="O64" s="350"/>
    </row>
    <row r="65" spans="1:19" ht="9.75" customHeight="1">
      <c r="A65" s="811" t="str">
        <f>"QFP: "&amp;'DATOS ETIQ'!L$9&amp;"   QFV: "&amp;'DATOS ETIQ'!M$9</f>
        <v>QFP: JGARCIA   QFV: ADELTORO</v>
      </c>
      <c r="B65" s="811"/>
      <c r="D65" s="811" t="str">
        <f t="shared" si="5"/>
        <v>QFP: JGARCIA   QFV: ADELTORO</v>
      </c>
      <c r="E65" s="811"/>
      <c r="J65" s="356"/>
      <c r="O65" s="350"/>
    </row>
    <row r="66" spans="1:19" ht="9.75" customHeight="1">
      <c r="A66" s="812" t="str">
        <f>'DATOS ETIQ'!N$9&amp;"   Cama: "&amp;'DATOS ETIQ'!O$9</f>
        <v>C.JPC/SEXTO NTE/SCOOP   Cama: NA</v>
      </c>
      <c r="B66" s="812"/>
      <c r="D66" s="812" t="str">
        <f t="shared" si="5"/>
        <v>C.JPC/SEXTO NTE/SCOOP   Cama: NA</v>
      </c>
      <c r="E66" s="812"/>
      <c r="J66" s="356"/>
      <c r="O66" s="350"/>
    </row>
    <row r="67" spans="1:19" ht="9.75" customHeight="1">
      <c r="A67" s="811"/>
      <c r="B67" s="811"/>
      <c r="D67" s="811">
        <f t="shared" si="5"/>
        <v>0</v>
      </c>
      <c r="E67" s="811"/>
      <c r="J67" s="356"/>
      <c r="O67" s="350"/>
    </row>
    <row r="68" spans="1:19" ht="9.75" customHeight="1">
      <c r="A68" s="808" t="e">
        <f>'DATOS ETIQ'!AA$10</f>
        <v>#N/A</v>
      </c>
      <c r="B68" s="808"/>
      <c r="C68" s="359"/>
      <c r="D68" s="808" t="e">
        <f t="shared" si="5"/>
        <v>#N/A</v>
      </c>
      <c r="E68" s="808"/>
      <c r="J68" s="356"/>
      <c r="N68" s="404"/>
      <c r="O68" s="404"/>
      <c r="P68" s="404"/>
      <c r="Q68" s="404"/>
      <c r="R68" s="404"/>
      <c r="S68" s="404"/>
    </row>
    <row r="69" spans="1:19" ht="9.75" customHeight="1">
      <c r="A69" s="808" t="e">
        <f>'DATOS ETIQ'!AC10</f>
        <v>#N/A</v>
      </c>
      <c r="B69" s="808"/>
      <c r="C69" s="359"/>
      <c r="D69" s="808" t="e">
        <f t="shared" si="5"/>
        <v>#N/A</v>
      </c>
      <c r="E69" s="808"/>
      <c r="J69" s="356"/>
      <c r="O69" s="350"/>
    </row>
    <row r="70" spans="1:19" ht="9.75" customHeight="1" thickBot="1">
      <c r="A70" s="360" t="str">
        <f ca="1">"F.Elab: "&amp;TEXT('FORMATO DIL'!$B$5,"dd/mm/yy")</f>
        <v>F.Elab: 04/08/22</v>
      </c>
      <c r="B70" s="360" t="e">
        <f ca="1">'DATOS ETIQ'!H$10</f>
        <v>#N/A</v>
      </c>
      <c r="C70" s="359"/>
      <c r="D70" s="360" t="str">
        <f ca="1">A70</f>
        <v>F.Elab: 04/08/22</v>
      </c>
      <c r="E70" s="360" t="e">
        <f ca="1">B70</f>
        <v>#N/A</v>
      </c>
      <c r="J70" s="356"/>
      <c r="O70" s="350"/>
    </row>
    <row r="71" spans="1:19" ht="9.75" customHeight="1">
      <c r="A71" s="810" t="str">
        <f>"Lt: "&amp;'DATOS ETIQ'!I$10</f>
        <v xml:space="preserve">Lt: </v>
      </c>
      <c r="B71" s="810"/>
      <c r="D71" s="810" t="str">
        <f>A71</f>
        <v xml:space="preserve">Lt: </v>
      </c>
      <c r="E71" s="810"/>
      <c r="G71" s="800" t="e">
        <f>'FR PD 001 V1'!T14</f>
        <v>#N/A</v>
      </c>
      <c r="J71" s="800">
        <v>9</v>
      </c>
      <c r="O71" s="350"/>
    </row>
    <row r="72" spans="1:19" ht="9.75" customHeight="1" thickBot="1">
      <c r="A72" s="808" t="str">
        <f>'DATOS ETIQ'!J$10&amp;"  "&amp;'DATOS ETIQ'!K$10</f>
        <v xml:space="preserve">  0</v>
      </c>
      <c r="B72" s="808"/>
      <c r="C72" s="359"/>
      <c r="D72" s="808" t="str">
        <f t="shared" si="5"/>
        <v xml:space="preserve">  0</v>
      </c>
      <c r="E72" s="808"/>
      <c r="G72" s="801"/>
      <c r="J72" s="801"/>
      <c r="O72" s="350"/>
    </row>
    <row r="73" spans="1:19" ht="9.75" customHeight="1">
      <c r="A73" s="811" t="str">
        <f>"QFP: "&amp;'DATOS ETIQ'!L$10&amp;"   QFV: "&amp;'DATOS ETIQ'!M$10</f>
        <v>QFP: JGARCIA   QFV: ADELTORO</v>
      </c>
      <c r="B73" s="811"/>
      <c r="D73" s="811" t="str">
        <f t="shared" si="5"/>
        <v>QFP: JGARCIA   QFV: ADELTORO</v>
      </c>
      <c r="E73" s="811"/>
      <c r="J73" s="356"/>
      <c r="O73" s="350"/>
    </row>
    <row r="74" spans="1:19" ht="9.75" customHeight="1">
      <c r="A74" s="812" t="str">
        <f>'DATOS ETIQ'!N$10&amp;"   Cama: "&amp;'DATOS ETIQ'!O$10</f>
        <v>C.JPC/SEXTO NTE/SCOOP   Cama: NA</v>
      </c>
      <c r="B74" s="812"/>
      <c r="D74" s="812" t="str">
        <f t="shared" si="5"/>
        <v>C.JPC/SEXTO NTE/SCOOP   Cama: NA</v>
      </c>
      <c r="E74" s="812"/>
      <c r="J74" s="356"/>
      <c r="O74" s="350"/>
    </row>
    <row r="75" spans="1:19" ht="9.75" customHeight="1">
      <c r="A75" s="811"/>
      <c r="B75" s="811"/>
      <c r="D75" s="811">
        <f t="shared" si="5"/>
        <v>0</v>
      </c>
      <c r="E75" s="811"/>
      <c r="J75" s="356"/>
      <c r="O75" s="350"/>
    </row>
    <row r="76" spans="1:19" ht="9.75" customHeight="1">
      <c r="A76" s="808" t="e">
        <f>'DATOS ETIQ'!AA$11</f>
        <v>#N/A</v>
      </c>
      <c r="B76" s="808"/>
      <c r="C76" s="359"/>
      <c r="D76" s="808" t="e">
        <f t="shared" si="5"/>
        <v>#N/A</v>
      </c>
      <c r="E76" s="808"/>
      <c r="J76" s="356"/>
      <c r="N76" s="404"/>
      <c r="O76" s="404"/>
      <c r="P76" s="404"/>
      <c r="Q76" s="404"/>
      <c r="R76" s="404"/>
      <c r="S76" s="404"/>
    </row>
    <row r="77" spans="1:19" ht="9.75" customHeight="1">
      <c r="A77" s="808" t="e">
        <f>IF('DATOS ETIQ'!P$11=1,"Do: "&amp;'DATOS ETIQ'!F$11&amp;'DATOS ETIQ'!V$11&amp;"   VolDo: "&amp;'DATOS ETIQ'!G$11&amp;"mL","Dilución 1/"&amp;'DATOS ETIQ'!P$11&amp;"  "&amp;'DATOS ETIQ'!E$11&amp;'DATOS ETIQ'!V$11&amp;"/mL   Do: "&amp;'DATOS ETIQ'!F$11&amp;'DATOS ETIQ'!V$11&amp;"   VolDo: "&amp;'DATOS ETIQ'!G$11&amp;"mL")</f>
        <v>#N/A</v>
      </c>
      <c r="B77" s="808"/>
      <c r="C77" s="359"/>
      <c r="D77" s="808" t="e">
        <f t="shared" si="5"/>
        <v>#N/A</v>
      </c>
      <c r="E77" s="808"/>
      <c r="J77" s="356"/>
      <c r="O77" s="350"/>
    </row>
    <row r="78" spans="1:19" ht="9.75" customHeight="1" thickBot="1">
      <c r="A78" s="360" t="str">
        <f ca="1">"F.Elab: "&amp;TEXT('FORMATO DIL'!$B$5,"dd/mm/yy")</f>
        <v>F.Elab: 04/08/22</v>
      </c>
      <c r="B78" s="360" t="e">
        <f ca="1">'DATOS ETIQ'!H$11</f>
        <v>#N/A</v>
      </c>
      <c r="C78" s="359"/>
      <c r="D78" s="360" t="str">
        <f ca="1">A78</f>
        <v>F.Elab: 04/08/22</v>
      </c>
      <c r="E78" s="360" t="e">
        <f ca="1">B78</f>
        <v>#N/A</v>
      </c>
      <c r="J78" s="356"/>
      <c r="O78" s="350"/>
    </row>
    <row r="79" spans="1:19" ht="9.75" customHeight="1">
      <c r="A79" s="810" t="str">
        <f>"Lt: "&amp;'DATOS ETIQ'!I$11</f>
        <v xml:space="preserve">Lt: </v>
      </c>
      <c r="B79" s="810"/>
      <c r="D79" s="810" t="str">
        <f>A79</f>
        <v xml:space="preserve">Lt: </v>
      </c>
      <c r="E79" s="810"/>
      <c r="G79" s="800" t="e">
        <f>'FR PD 001 V1'!T15</f>
        <v>#N/A</v>
      </c>
      <c r="J79" s="800">
        <v>10</v>
      </c>
      <c r="O79" s="350"/>
    </row>
    <row r="80" spans="1:19" ht="9.75" customHeight="1" thickBot="1">
      <c r="A80" s="808" t="str">
        <f>'DATOS ETIQ'!J$11&amp;"  "&amp;'DATOS ETIQ'!K$11</f>
        <v xml:space="preserve">  0</v>
      </c>
      <c r="B80" s="808"/>
      <c r="C80" s="359"/>
      <c r="D80" s="808" t="str">
        <f t="shared" si="5"/>
        <v xml:space="preserve">  0</v>
      </c>
      <c r="E80" s="808"/>
      <c r="G80" s="801"/>
      <c r="J80" s="801"/>
      <c r="O80" s="350"/>
    </row>
    <row r="81" spans="1:19" ht="9.75" customHeight="1">
      <c r="A81" s="811" t="str">
        <f>"QFP: "&amp;'DATOS ETIQ'!L$11&amp;"   QFV: "&amp;'DATOS ETIQ'!M$11</f>
        <v>QFP: JGARCIA   QFV: ADELTORO</v>
      </c>
      <c r="B81" s="811"/>
      <c r="D81" s="811" t="str">
        <f t="shared" si="5"/>
        <v>QFP: JGARCIA   QFV: ADELTORO</v>
      </c>
      <c r="E81" s="811"/>
      <c r="J81" s="356"/>
      <c r="O81" s="350"/>
    </row>
    <row r="82" spans="1:19" ht="9.75" customHeight="1">
      <c r="A82" s="811" t="str">
        <f>'DATOS ETIQ'!N$11&amp;"   Cama: "&amp;'DATOS ETIQ'!O$11</f>
        <v>C.JPC/SEXTO NTE/SCOOP   Cama: NA</v>
      </c>
      <c r="B82" s="811"/>
      <c r="D82" s="811" t="str">
        <f t="shared" si="5"/>
        <v>C.JPC/SEXTO NTE/SCOOP   Cama: NA</v>
      </c>
      <c r="E82" s="811"/>
      <c r="J82" s="356"/>
      <c r="O82" s="350"/>
    </row>
    <row r="83" spans="1:19" ht="9.75" customHeight="1">
      <c r="A83" s="811"/>
      <c r="B83" s="811"/>
      <c r="D83" s="811">
        <f t="shared" si="5"/>
        <v>0</v>
      </c>
      <c r="E83" s="811"/>
      <c r="J83" s="356"/>
      <c r="O83" s="350"/>
    </row>
    <row r="84" spans="1:19" ht="9.75" customHeight="1">
      <c r="A84" s="808" t="e">
        <f>'DATOS ETIQ'!AA$12</f>
        <v>#N/A</v>
      </c>
      <c r="B84" s="808"/>
      <c r="C84" s="359"/>
      <c r="D84" s="808" t="e">
        <f t="shared" si="5"/>
        <v>#N/A</v>
      </c>
      <c r="E84" s="808"/>
      <c r="J84" s="356"/>
      <c r="N84" s="404"/>
      <c r="O84" s="404"/>
      <c r="P84" s="404"/>
      <c r="Q84" s="404"/>
      <c r="R84" s="404"/>
      <c r="S84" s="404"/>
    </row>
    <row r="85" spans="1:19" ht="9.75" customHeight="1">
      <c r="A85" s="808" t="e">
        <f>'DATOS ETIQ'!AC12</f>
        <v>#N/A</v>
      </c>
      <c r="B85" s="808"/>
      <c r="C85" s="359"/>
      <c r="D85" s="808" t="e">
        <f t="shared" si="5"/>
        <v>#N/A</v>
      </c>
      <c r="E85" s="808"/>
      <c r="J85" s="356"/>
      <c r="O85" s="350"/>
    </row>
    <row r="86" spans="1:19" ht="9.75" customHeight="1" thickBot="1">
      <c r="A86" s="360" t="str">
        <f ca="1">"F.Elab: "&amp;TEXT('FORMATO DIL'!$B$5,"dd/mm/yy")</f>
        <v>F.Elab: 04/08/22</v>
      </c>
      <c r="B86" s="360" t="e">
        <f ca="1">'DATOS ETIQ'!H$12</f>
        <v>#N/A</v>
      </c>
      <c r="C86" s="359"/>
      <c r="D86" s="360" t="str">
        <f ca="1">A86</f>
        <v>F.Elab: 04/08/22</v>
      </c>
      <c r="E86" s="360" t="e">
        <f ca="1">B86</f>
        <v>#N/A</v>
      </c>
      <c r="J86" s="356"/>
      <c r="O86" s="350"/>
    </row>
    <row r="87" spans="1:19" ht="9.75" customHeight="1">
      <c r="A87" s="810" t="str">
        <f>"Lt: "&amp;'DATOS ETIQ'!I$12</f>
        <v xml:space="preserve">Lt: </v>
      </c>
      <c r="B87" s="810"/>
      <c r="D87" s="810" t="str">
        <f>A87</f>
        <v xml:space="preserve">Lt: </v>
      </c>
      <c r="E87" s="810"/>
      <c r="G87" s="800" t="e">
        <f>'FR PD 001 V1'!T16</f>
        <v>#N/A</v>
      </c>
      <c r="J87" s="800">
        <v>11</v>
      </c>
      <c r="O87" s="350"/>
    </row>
    <row r="88" spans="1:19" ht="9.75" customHeight="1" thickBot="1">
      <c r="A88" s="808" t="str">
        <f>'DATOS ETIQ'!J$12&amp;"  "&amp;'DATOS ETIQ'!K$12</f>
        <v xml:space="preserve">  0</v>
      </c>
      <c r="B88" s="808"/>
      <c r="C88" s="359"/>
      <c r="D88" s="808" t="str">
        <f t="shared" si="5"/>
        <v xml:space="preserve">  0</v>
      </c>
      <c r="E88" s="808"/>
      <c r="G88" s="801"/>
      <c r="J88" s="801"/>
      <c r="O88" s="350"/>
    </row>
    <row r="89" spans="1:19" ht="9.75" customHeight="1">
      <c r="A89" s="811" t="str">
        <f>"QFP: "&amp;'DATOS ETIQ'!L$12&amp;"   QFV: "&amp;'DATOS ETIQ'!M$12</f>
        <v>QFP: JGARCIA   QFV: ADELTORO</v>
      </c>
      <c r="B89" s="811"/>
      <c r="D89" s="811" t="str">
        <f t="shared" si="5"/>
        <v>QFP: JGARCIA   QFV: ADELTORO</v>
      </c>
      <c r="E89" s="811"/>
      <c r="J89" s="356"/>
      <c r="O89" s="350"/>
    </row>
    <row r="90" spans="1:19" ht="9.75" customHeight="1">
      <c r="A90" s="812" t="str">
        <f>'DATOS ETIQ'!N$12&amp;"   Cama: "&amp;'DATOS ETIQ'!O$12</f>
        <v>C.JPC/SEXTO NTE/SCOOP   Cama: NA</v>
      </c>
      <c r="B90" s="812"/>
      <c r="D90" s="812" t="str">
        <f t="shared" si="5"/>
        <v>C.JPC/SEXTO NTE/SCOOP   Cama: NA</v>
      </c>
      <c r="E90" s="812"/>
      <c r="J90" s="356"/>
      <c r="O90" s="350"/>
    </row>
    <row r="91" spans="1:19" ht="9.75" customHeight="1">
      <c r="A91" s="811"/>
      <c r="B91" s="811"/>
      <c r="D91" s="811">
        <f t="shared" ref="D91:D163" si="6">A91</f>
        <v>0</v>
      </c>
      <c r="E91" s="811"/>
      <c r="J91" s="356"/>
      <c r="O91" s="350"/>
    </row>
    <row r="92" spans="1:19" ht="9.75" customHeight="1">
      <c r="A92" s="808" t="e">
        <f>'DATOS ETIQ'!AA$13</f>
        <v>#N/A</v>
      </c>
      <c r="B92" s="808"/>
      <c r="C92" s="359"/>
      <c r="D92" s="808" t="e">
        <f t="shared" si="6"/>
        <v>#N/A</v>
      </c>
      <c r="E92" s="808"/>
      <c r="J92" s="356"/>
      <c r="N92" s="404"/>
      <c r="O92" s="404"/>
      <c r="P92" s="404"/>
      <c r="Q92" s="404"/>
      <c r="R92" s="404"/>
      <c r="S92" s="404"/>
    </row>
    <row r="93" spans="1:19" ht="9.75" customHeight="1">
      <c r="A93" s="808" t="e">
        <f>'DATOS ETIQ'!AC13</f>
        <v>#N/A</v>
      </c>
      <c r="B93" s="808"/>
      <c r="C93" s="359"/>
      <c r="D93" s="808" t="e">
        <f t="shared" si="6"/>
        <v>#N/A</v>
      </c>
      <c r="E93" s="808"/>
      <c r="J93" s="356"/>
      <c r="O93" s="350"/>
    </row>
    <row r="94" spans="1:19" ht="9.75" customHeight="1" thickBot="1">
      <c r="A94" s="360" t="str">
        <f ca="1">"F.Elab: "&amp;TEXT('FORMATO DIL'!$B$5,"dd/mm/yy")</f>
        <v>F.Elab: 04/08/22</v>
      </c>
      <c r="B94" s="360" t="e">
        <f ca="1">'DATOS ETIQ'!H$13</f>
        <v>#N/A</v>
      </c>
      <c r="C94" s="359"/>
      <c r="D94" s="360" t="str">
        <f ca="1">A94</f>
        <v>F.Elab: 04/08/22</v>
      </c>
      <c r="E94" s="360" t="e">
        <f ca="1">B94</f>
        <v>#N/A</v>
      </c>
      <c r="J94" s="356"/>
      <c r="O94" s="350"/>
    </row>
    <row r="95" spans="1:19" ht="9.75" customHeight="1">
      <c r="A95" s="810" t="str">
        <f>"Lt: "&amp;'DATOS ETIQ'!I$13</f>
        <v xml:space="preserve">Lt: </v>
      </c>
      <c r="B95" s="810"/>
      <c r="D95" s="810" t="str">
        <f>A95</f>
        <v xml:space="preserve">Lt: </v>
      </c>
      <c r="E95" s="810"/>
      <c r="G95" s="800" t="e">
        <f>'FR PD 001 V1'!T17</f>
        <v>#N/A</v>
      </c>
      <c r="J95" s="800">
        <v>12</v>
      </c>
      <c r="O95" s="350"/>
    </row>
    <row r="96" spans="1:19" ht="9.75" customHeight="1" thickBot="1">
      <c r="A96" s="808" t="str">
        <f>'DATOS ETIQ'!J$13&amp;"  "&amp;'DATOS ETIQ'!K$13</f>
        <v xml:space="preserve">  0</v>
      </c>
      <c r="B96" s="808"/>
      <c r="C96" s="359"/>
      <c r="D96" s="808" t="str">
        <f t="shared" si="6"/>
        <v xml:space="preserve">  0</v>
      </c>
      <c r="E96" s="808"/>
      <c r="G96" s="801"/>
      <c r="J96" s="801"/>
      <c r="O96" s="350"/>
    </row>
    <row r="97" spans="1:19" ht="9.75" customHeight="1">
      <c r="A97" s="811" t="str">
        <f>"QFP: "&amp;'DATOS ETIQ'!L$13&amp;"   QFV: "&amp;'DATOS ETIQ'!M$13</f>
        <v>QFP: JGARCIA   QFV: ADELTORO</v>
      </c>
      <c r="B97" s="811"/>
      <c r="D97" s="811" t="str">
        <f t="shared" si="6"/>
        <v>QFP: JGARCIA   QFV: ADELTORO</v>
      </c>
      <c r="E97" s="811"/>
      <c r="J97" s="356"/>
      <c r="O97" s="350"/>
    </row>
    <row r="98" spans="1:19" ht="9.75" customHeight="1">
      <c r="A98" s="812" t="str">
        <f>'DATOS ETIQ'!N$13&amp;"   Cama: "&amp;'DATOS ETIQ'!O$13</f>
        <v>C.JPC/SEXTO NTE/SCOOP   Cama: NA</v>
      </c>
      <c r="B98" s="812"/>
      <c r="D98" s="812" t="str">
        <f t="shared" si="6"/>
        <v>C.JPC/SEXTO NTE/SCOOP   Cama: NA</v>
      </c>
      <c r="E98" s="812"/>
      <c r="J98" s="356"/>
      <c r="O98" s="350"/>
    </row>
    <row r="99" spans="1:19" ht="9.75" customHeight="1">
      <c r="A99" s="811"/>
      <c r="B99" s="811"/>
      <c r="D99" s="811">
        <f t="shared" si="6"/>
        <v>0</v>
      </c>
      <c r="E99" s="811"/>
      <c r="J99" s="356"/>
      <c r="O99" s="350"/>
    </row>
    <row r="100" spans="1:19" ht="9.75" customHeight="1">
      <c r="A100" s="808" t="e">
        <f>'DATOS ETIQ'!AA$14</f>
        <v>#N/A</v>
      </c>
      <c r="B100" s="808"/>
      <c r="C100" s="359"/>
      <c r="D100" s="808" t="e">
        <f t="shared" si="6"/>
        <v>#N/A</v>
      </c>
      <c r="E100" s="808"/>
      <c r="J100" s="356"/>
      <c r="N100" s="404"/>
      <c r="O100" s="404"/>
      <c r="P100" s="404"/>
      <c r="Q100" s="404"/>
      <c r="R100" s="404"/>
      <c r="S100" s="404"/>
    </row>
    <row r="101" spans="1:19" ht="9.75" customHeight="1">
      <c r="A101" s="808" t="e">
        <f>'DATOS ETIQ'!AC14</f>
        <v>#N/A</v>
      </c>
      <c r="B101" s="808"/>
      <c r="C101" s="359"/>
      <c r="D101" s="808" t="e">
        <f t="shared" si="6"/>
        <v>#N/A</v>
      </c>
      <c r="E101" s="808"/>
      <c r="J101" s="356"/>
      <c r="O101" s="350"/>
    </row>
    <row r="102" spans="1:19" ht="9.75" customHeight="1" thickBot="1">
      <c r="A102" s="360" t="str">
        <f ca="1">"F.Elab: "&amp;TEXT('FORMATO DIL'!$B$5,"dd/mm/yy")</f>
        <v>F.Elab: 04/08/22</v>
      </c>
      <c r="B102" s="360" t="e">
        <f ca="1">'DATOS ETIQ'!H$14</f>
        <v>#N/A</v>
      </c>
      <c r="C102" s="359"/>
      <c r="D102" s="360" t="str">
        <f ca="1">A102</f>
        <v>F.Elab: 04/08/22</v>
      </c>
      <c r="E102" s="360" t="e">
        <f ca="1">B102</f>
        <v>#N/A</v>
      </c>
      <c r="J102" s="356"/>
      <c r="O102" s="350"/>
    </row>
    <row r="103" spans="1:19" ht="9.75" customHeight="1">
      <c r="A103" s="810" t="str">
        <f>"Lt: "&amp;'DATOS ETIQ'!I$14</f>
        <v xml:space="preserve">Lt: </v>
      </c>
      <c r="B103" s="810"/>
      <c r="D103" s="810" t="str">
        <f>A103</f>
        <v xml:space="preserve">Lt: </v>
      </c>
      <c r="E103" s="810"/>
      <c r="G103" s="800" t="e">
        <f>'FR PD 001 V1'!T18</f>
        <v>#N/A</v>
      </c>
      <c r="J103" s="800">
        <v>13</v>
      </c>
      <c r="O103" s="350"/>
    </row>
    <row r="104" spans="1:19" ht="9.75" customHeight="1" thickBot="1">
      <c r="A104" s="808" t="str">
        <f>'DATOS ETIQ'!J$14&amp;"  "&amp;'DATOS ETIQ'!K$14</f>
        <v xml:space="preserve">  0</v>
      </c>
      <c r="B104" s="808"/>
      <c r="C104" s="359"/>
      <c r="D104" s="808" t="str">
        <f t="shared" si="6"/>
        <v xml:space="preserve">  0</v>
      </c>
      <c r="E104" s="808"/>
      <c r="G104" s="801"/>
      <c r="J104" s="801"/>
      <c r="O104" s="350"/>
    </row>
    <row r="105" spans="1:19" ht="9.75" customHeight="1">
      <c r="A105" s="811" t="str">
        <f>"QFP: "&amp;'DATOS ETIQ'!L$14&amp;"   QFV: "&amp;'DATOS ETIQ'!M$14</f>
        <v>QFP: JGARCIA   QFV: ADELTORO</v>
      </c>
      <c r="B105" s="811"/>
      <c r="D105" s="811" t="str">
        <f t="shared" si="6"/>
        <v>QFP: JGARCIA   QFV: ADELTORO</v>
      </c>
      <c r="E105" s="811"/>
      <c r="J105" s="356"/>
      <c r="O105" s="350"/>
    </row>
    <row r="106" spans="1:19" ht="9.75" customHeight="1">
      <c r="A106" s="812" t="str">
        <f>'DATOS ETIQ'!N$14&amp;"   Cama: "&amp;'DATOS ETIQ'!O$14</f>
        <v>C.JPC/SEXTO NTE/SCOOP   Cama: NA</v>
      </c>
      <c r="B106" s="812"/>
      <c r="D106" s="812" t="str">
        <f t="shared" si="6"/>
        <v>C.JPC/SEXTO NTE/SCOOP   Cama: NA</v>
      </c>
      <c r="E106" s="812"/>
      <c r="J106" s="356"/>
      <c r="O106" s="350"/>
    </row>
    <row r="107" spans="1:19" ht="9.75" customHeight="1">
      <c r="A107" s="811"/>
      <c r="B107" s="811"/>
      <c r="D107" s="811">
        <f t="shared" si="6"/>
        <v>0</v>
      </c>
      <c r="E107" s="811"/>
      <c r="J107" s="356"/>
      <c r="O107" s="350"/>
    </row>
    <row r="108" spans="1:19" ht="9.75" customHeight="1">
      <c r="A108" s="808" t="e">
        <f>'DATOS ETIQ'!AA$15</f>
        <v>#N/A</v>
      </c>
      <c r="B108" s="808"/>
      <c r="C108" s="359"/>
      <c r="D108" s="808" t="e">
        <f t="shared" si="6"/>
        <v>#N/A</v>
      </c>
      <c r="E108" s="808"/>
      <c r="J108" s="356"/>
      <c r="N108" s="404"/>
      <c r="O108" s="404"/>
      <c r="P108" s="404"/>
      <c r="Q108" s="404"/>
      <c r="R108" s="404"/>
      <c r="S108" s="404"/>
    </row>
    <row r="109" spans="1:19" ht="9.75" customHeight="1">
      <c r="A109" s="808" t="e">
        <f>'DATOS ETIQ'!AC15</f>
        <v>#N/A</v>
      </c>
      <c r="B109" s="808"/>
      <c r="C109" s="359"/>
      <c r="D109" s="808" t="e">
        <f t="shared" si="6"/>
        <v>#N/A</v>
      </c>
      <c r="E109" s="808"/>
      <c r="J109" s="356"/>
      <c r="O109" s="350"/>
    </row>
    <row r="110" spans="1:19" ht="9.75" customHeight="1" thickBot="1">
      <c r="A110" s="360" t="str">
        <f ca="1">"F.Elab: "&amp;TEXT('FORMATO DIL'!$B$5,"dd/mm/yy")</f>
        <v>F.Elab: 04/08/22</v>
      </c>
      <c r="B110" s="360" t="e">
        <f ca="1">'DATOS ETIQ'!H$15</f>
        <v>#N/A</v>
      </c>
      <c r="C110" s="359"/>
      <c r="D110" s="360" t="str">
        <f ca="1">A110</f>
        <v>F.Elab: 04/08/22</v>
      </c>
      <c r="E110" s="360" t="e">
        <f ca="1">B110</f>
        <v>#N/A</v>
      </c>
      <c r="J110" s="356"/>
      <c r="O110" s="350"/>
    </row>
    <row r="111" spans="1:19" ht="9.75" customHeight="1">
      <c r="A111" s="810" t="str">
        <f>"Lt: "&amp;'DATOS ETIQ'!I$15</f>
        <v xml:space="preserve">Lt: </v>
      </c>
      <c r="B111" s="810"/>
      <c r="D111" s="810" t="str">
        <f>A111</f>
        <v xml:space="preserve">Lt: </v>
      </c>
      <c r="E111" s="810"/>
      <c r="G111" s="800" t="e">
        <f>'FR PD 001 V1'!T19</f>
        <v>#N/A</v>
      </c>
      <c r="J111" s="800">
        <v>14</v>
      </c>
      <c r="O111" s="350"/>
    </row>
    <row r="112" spans="1:19" ht="9.75" customHeight="1" thickBot="1">
      <c r="A112" s="808" t="str">
        <f>'DATOS ETIQ'!J$15&amp;"  "&amp;'DATOS ETIQ'!K$15</f>
        <v xml:space="preserve">  0</v>
      </c>
      <c r="B112" s="808"/>
      <c r="C112" s="359"/>
      <c r="D112" s="808" t="str">
        <f t="shared" si="6"/>
        <v xml:space="preserve">  0</v>
      </c>
      <c r="E112" s="808"/>
      <c r="G112" s="801"/>
      <c r="J112" s="801"/>
      <c r="O112" s="350"/>
    </row>
    <row r="113" spans="1:19" ht="9.75" customHeight="1">
      <c r="A113" s="811" t="str">
        <f>"QFP: "&amp;'DATOS ETIQ'!L$15&amp;"   QFV: "&amp;'DATOS ETIQ'!M$15</f>
        <v>QFP: JGARCIA   QFV: ADELTORO</v>
      </c>
      <c r="B113" s="811"/>
      <c r="D113" s="811" t="str">
        <f t="shared" si="6"/>
        <v>QFP: JGARCIA   QFV: ADELTORO</v>
      </c>
      <c r="E113" s="811"/>
      <c r="J113" s="356"/>
      <c r="O113" s="350"/>
    </row>
    <row r="114" spans="1:19" ht="9.75" customHeight="1">
      <c r="A114" s="812" t="str">
        <f>'DATOS ETIQ'!N$15&amp;"   Cama: "&amp;'DATOS ETIQ'!O$15</f>
        <v>C.JPC/SEXTO NTE/SCOOP   Cama: NA</v>
      </c>
      <c r="B114" s="812"/>
      <c r="D114" s="812" t="str">
        <f t="shared" si="6"/>
        <v>C.JPC/SEXTO NTE/SCOOP   Cama: NA</v>
      </c>
      <c r="E114" s="812"/>
      <c r="J114" s="356"/>
      <c r="O114" s="350"/>
    </row>
    <row r="115" spans="1:19" ht="9.75" customHeight="1">
      <c r="A115" s="811"/>
      <c r="B115" s="811"/>
      <c r="D115" s="811">
        <f t="shared" si="6"/>
        <v>0</v>
      </c>
      <c r="E115" s="811"/>
      <c r="J115" s="356"/>
      <c r="O115" s="350"/>
    </row>
    <row r="116" spans="1:19" ht="9.75" customHeight="1">
      <c r="A116" s="808" t="e">
        <f>'DATOS ETIQ'!AA$16</f>
        <v>#N/A</v>
      </c>
      <c r="B116" s="808"/>
      <c r="C116" s="359"/>
      <c r="D116" s="808" t="e">
        <f t="shared" si="6"/>
        <v>#N/A</v>
      </c>
      <c r="E116" s="808"/>
      <c r="J116" s="356"/>
      <c r="N116" s="404"/>
      <c r="O116" s="404"/>
      <c r="P116" s="404"/>
      <c r="Q116" s="404"/>
      <c r="R116" s="404"/>
      <c r="S116" s="404"/>
    </row>
    <row r="117" spans="1:19" ht="9.75" customHeight="1">
      <c r="A117" s="808" t="e">
        <f>'DATOS ETIQ'!AC16</f>
        <v>#N/A</v>
      </c>
      <c r="B117" s="808"/>
      <c r="C117" s="359"/>
      <c r="D117" s="808" t="e">
        <f t="shared" si="6"/>
        <v>#N/A</v>
      </c>
      <c r="E117" s="808"/>
      <c r="J117" s="356"/>
      <c r="O117" s="350"/>
    </row>
    <row r="118" spans="1:19" ht="9.75" customHeight="1" thickBot="1">
      <c r="A118" s="360" t="str">
        <f ca="1">"F.Elab: "&amp;TEXT('FORMATO DIL'!$B$5,"dd/mm/yy")</f>
        <v>F.Elab: 04/08/22</v>
      </c>
      <c r="B118" s="360" t="e">
        <f ca="1">'DATOS ETIQ'!H$16</f>
        <v>#N/A</v>
      </c>
      <c r="C118" s="359"/>
      <c r="D118" s="360" t="str">
        <f ca="1">A118</f>
        <v>F.Elab: 04/08/22</v>
      </c>
      <c r="E118" s="360" t="e">
        <f ca="1">B118</f>
        <v>#N/A</v>
      </c>
      <c r="J118" s="356"/>
      <c r="O118" s="350"/>
    </row>
    <row r="119" spans="1:19" ht="9.75" customHeight="1">
      <c r="A119" s="810" t="str">
        <f>"Lt: "&amp;'DATOS ETIQ'!I$16</f>
        <v xml:space="preserve">Lt: </v>
      </c>
      <c r="B119" s="810"/>
      <c r="D119" s="810" t="str">
        <f>A119</f>
        <v xml:space="preserve">Lt: </v>
      </c>
      <c r="E119" s="810"/>
      <c r="G119" s="800" t="e">
        <f>'FR PD 001 V1'!T20</f>
        <v>#N/A</v>
      </c>
      <c r="J119" s="800">
        <v>15</v>
      </c>
      <c r="O119" s="350"/>
    </row>
    <row r="120" spans="1:19" ht="9.75" customHeight="1" thickBot="1">
      <c r="A120" s="808" t="str">
        <f>'DATOS ETIQ'!J$16&amp;"  "&amp;'DATOS ETIQ'!K$16</f>
        <v xml:space="preserve">  0</v>
      </c>
      <c r="B120" s="808"/>
      <c r="C120" s="359"/>
      <c r="D120" s="808" t="str">
        <f t="shared" si="6"/>
        <v xml:space="preserve">  0</v>
      </c>
      <c r="E120" s="808"/>
      <c r="G120" s="801"/>
      <c r="J120" s="801"/>
      <c r="O120" s="350"/>
    </row>
    <row r="121" spans="1:19" ht="9.75" customHeight="1">
      <c r="A121" s="811" t="str">
        <f>"QFP: "&amp;'DATOS ETIQ'!L$16&amp;"   QFV: "&amp;'DATOS ETIQ'!M$16</f>
        <v>QFP: JGARCIA   QFV: ADELTORO</v>
      </c>
      <c r="B121" s="811"/>
      <c r="D121" s="811" t="str">
        <f t="shared" si="6"/>
        <v>QFP: JGARCIA   QFV: ADELTORO</v>
      </c>
      <c r="E121" s="811"/>
      <c r="J121" s="356"/>
      <c r="O121" s="350"/>
    </row>
    <row r="122" spans="1:19" ht="9.75" customHeight="1">
      <c r="A122" s="812" t="str">
        <f>'DATOS ETIQ'!N$16&amp;"   Cama: "&amp;'DATOS ETIQ'!O$16</f>
        <v>C.JPC/SEXTO NTE/SCOOP   Cama: NA</v>
      </c>
      <c r="B122" s="812"/>
      <c r="D122" s="812" t="str">
        <f t="shared" si="6"/>
        <v>C.JPC/SEXTO NTE/SCOOP   Cama: NA</v>
      </c>
      <c r="E122" s="812"/>
      <c r="J122" s="356"/>
      <c r="O122" s="350"/>
    </row>
    <row r="123" spans="1:19" ht="9.75" customHeight="1">
      <c r="A123" s="811"/>
      <c r="B123" s="811"/>
      <c r="D123" s="811">
        <f t="shared" si="6"/>
        <v>0</v>
      </c>
      <c r="E123" s="811"/>
      <c r="J123" s="356"/>
      <c r="O123" s="350"/>
    </row>
    <row r="124" spans="1:19" ht="9.75" customHeight="1">
      <c r="A124" s="808" t="e">
        <f>'DATOS ETIQ'!AA$17</f>
        <v>#N/A</v>
      </c>
      <c r="B124" s="808"/>
      <c r="C124" s="359"/>
      <c r="D124" s="808" t="e">
        <f t="shared" si="6"/>
        <v>#N/A</v>
      </c>
      <c r="E124" s="808"/>
      <c r="J124" s="356"/>
      <c r="N124" s="404"/>
      <c r="O124" s="404"/>
      <c r="P124" s="404"/>
      <c r="Q124" s="404"/>
      <c r="R124" s="404"/>
      <c r="S124" s="404"/>
    </row>
    <row r="125" spans="1:19" ht="9.75" customHeight="1">
      <c r="A125" s="808" t="e">
        <f>'DATOS ETIQ'!AC17</f>
        <v>#N/A</v>
      </c>
      <c r="B125" s="808"/>
      <c r="C125" s="359"/>
      <c r="D125" s="808" t="e">
        <f t="shared" si="6"/>
        <v>#N/A</v>
      </c>
      <c r="E125" s="808"/>
      <c r="J125" s="356"/>
      <c r="O125" s="350"/>
    </row>
    <row r="126" spans="1:19" ht="9.75" customHeight="1" thickBot="1">
      <c r="A126" s="360" t="str">
        <f ca="1">"F.Elab: "&amp;TEXT('FORMATO DIL'!$B$5,"dd/mm/yy")</f>
        <v>F.Elab: 04/08/22</v>
      </c>
      <c r="B126" s="360" t="e">
        <f ca="1">'DATOS ETIQ'!H$17</f>
        <v>#N/A</v>
      </c>
      <c r="C126" s="359"/>
      <c r="D126" s="360" t="str">
        <f ca="1">A126</f>
        <v>F.Elab: 04/08/22</v>
      </c>
      <c r="E126" s="360" t="e">
        <f ca="1">B126</f>
        <v>#N/A</v>
      </c>
      <c r="J126" s="356"/>
      <c r="O126" s="350"/>
    </row>
    <row r="127" spans="1:19" ht="9.75" customHeight="1">
      <c r="A127" s="810" t="str">
        <f>"Lt: "&amp;'DATOS ETIQ'!I$17</f>
        <v xml:space="preserve">Lt: </v>
      </c>
      <c r="B127" s="810"/>
      <c r="D127" s="810" t="str">
        <f>A127</f>
        <v xml:space="preserve">Lt: </v>
      </c>
      <c r="E127" s="810"/>
      <c r="G127" s="800" t="e">
        <f>'FR PD 001 V1'!T21</f>
        <v>#N/A</v>
      </c>
      <c r="J127" s="800">
        <v>16</v>
      </c>
      <c r="O127" s="350"/>
    </row>
    <row r="128" spans="1:19" ht="9.75" customHeight="1" thickBot="1">
      <c r="A128" s="808" t="str">
        <f>'DATOS ETIQ'!J$17&amp;"  "&amp;'DATOS ETIQ'!K$17</f>
        <v xml:space="preserve">  0</v>
      </c>
      <c r="B128" s="808"/>
      <c r="C128" s="359"/>
      <c r="D128" s="808" t="str">
        <f t="shared" si="6"/>
        <v xml:space="preserve">  0</v>
      </c>
      <c r="E128" s="808"/>
      <c r="G128" s="801"/>
      <c r="J128" s="801"/>
      <c r="O128" s="350"/>
    </row>
    <row r="129" spans="1:19" ht="9.75" customHeight="1">
      <c r="A129" s="811" t="str">
        <f>"QFP: "&amp;'DATOS ETIQ'!L$17&amp;"   QFV: "&amp;'DATOS ETIQ'!M$17</f>
        <v>QFP: JGARCIA   QFV: ADELTORO</v>
      </c>
      <c r="B129" s="811"/>
      <c r="D129" s="811" t="str">
        <f t="shared" si="6"/>
        <v>QFP: JGARCIA   QFV: ADELTORO</v>
      </c>
      <c r="E129" s="811"/>
      <c r="J129" s="356"/>
      <c r="O129" s="350"/>
    </row>
    <row r="130" spans="1:19" ht="9.75" customHeight="1">
      <c r="A130" s="812" t="str">
        <f>'DATOS ETIQ'!N$17&amp;"   Cama: "&amp;'DATOS ETIQ'!O$17</f>
        <v>C.JPC/SEXTO NTE/SCOOP   Cama: NA</v>
      </c>
      <c r="B130" s="812"/>
      <c r="D130" s="812" t="str">
        <f t="shared" si="6"/>
        <v>C.JPC/SEXTO NTE/SCOOP   Cama: NA</v>
      </c>
      <c r="E130" s="812"/>
      <c r="J130" s="356"/>
      <c r="O130" s="350"/>
    </row>
    <row r="131" spans="1:19" ht="9.75" customHeight="1">
      <c r="A131" s="811"/>
      <c r="B131" s="811"/>
      <c r="D131" s="811">
        <f t="shared" si="6"/>
        <v>0</v>
      </c>
      <c r="E131" s="811"/>
      <c r="J131" s="356"/>
      <c r="O131" s="350"/>
    </row>
    <row r="132" spans="1:19" ht="9.75" customHeight="1">
      <c r="A132" s="808" t="e">
        <f>'DATOS ETIQ'!AA$18</f>
        <v>#N/A</v>
      </c>
      <c r="B132" s="808"/>
      <c r="C132" s="359"/>
      <c r="D132" s="808" t="e">
        <f t="shared" si="6"/>
        <v>#N/A</v>
      </c>
      <c r="E132" s="808"/>
      <c r="J132" s="356"/>
      <c r="N132" s="404"/>
      <c r="O132" s="404"/>
      <c r="P132" s="404"/>
      <c r="Q132" s="404"/>
      <c r="R132" s="404"/>
      <c r="S132" s="404"/>
    </row>
    <row r="133" spans="1:19" ht="9.75" customHeight="1">
      <c r="A133" s="808" t="e">
        <f>'DATOS ETIQ'!AC18</f>
        <v>#N/A</v>
      </c>
      <c r="B133" s="808"/>
      <c r="C133" s="359"/>
      <c r="D133" s="808" t="e">
        <f t="shared" si="6"/>
        <v>#N/A</v>
      </c>
      <c r="E133" s="808"/>
      <c r="J133" s="356"/>
      <c r="O133" s="350"/>
    </row>
    <row r="134" spans="1:19" ht="9.75" customHeight="1" thickBot="1">
      <c r="A134" s="360" t="str">
        <f ca="1">"F.Elab: "&amp;TEXT('FORMATO DIL'!$B$5,"dd/mm/yy")</f>
        <v>F.Elab: 04/08/22</v>
      </c>
      <c r="B134" s="360" t="e">
        <f ca="1">'DATOS ETIQ'!H$18</f>
        <v>#N/A</v>
      </c>
      <c r="C134" s="359"/>
      <c r="D134" s="360" t="str">
        <f ca="1">A134</f>
        <v>F.Elab: 04/08/22</v>
      </c>
      <c r="E134" s="360" t="e">
        <f ca="1">B134</f>
        <v>#N/A</v>
      </c>
      <c r="J134" s="356"/>
      <c r="O134" s="350"/>
    </row>
    <row r="135" spans="1:19" ht="9.75" customHeight="1">
      <c r="A135" s="810" t="str">
        <f>"Lt: "&amp;'DATOS ETIQ'!I$18</f>
        <v xml:space="preserve">Lt: </v>
      </c>
      <c r="B135" s="810"/>
      <c r="D135" s="810" t="str">
        <f>A135</f>
        <v xml:space="preserve">Lt: </v>
      </c>
      <c r="E135" s="810"/>
      <c r="G135" s="800" t="e">
        <f>'FR PD 001 V1'!T22</f>
        <v>#N/A</v>
      </c>
      <c r="J135" s="800">
        <v>17</v>
      </c>
      <c r="O135" s="350"/>
    </row>
    <row r="136" spans="1:19" ht="9.75" customHeight="1" thickBot="1">
      <c r="A136" s="808" t="str">
        <f>'DATOS ETIQ'!J$18&amp;"  "&amp;'DATOS ETIQ'!K$18</f>
        <v xml:space="preserve">  0</v>
      </c>
      <c r="B136" s="808"/>
      <c r="C136" s="359"/>
      <c r="D136" s="808" t="str">
        <f t="shared" si="6"/>
        <v xml:space="preserve">  0</v>
      </c>
      <c r="E136" s="808"/>
      <c r="G136" s="801"/>
      <c r="J136" s="801"/>
      <c r="O136" s="350"/>
    </row>
    <row r="137" spans="1:19" ht="9.75" customHeight="1">
      <c r="A137" s="811" t="str">
        <f>"QFP: "&amp;'DATOS ETIQ'!L$18&amp;"   QFV: "&amp;'DATOS ETIQ'!M$18</f>
        <v>QFP: JGARCIA   QFV: ADELTORO</v>
      </c>
      <c r="B137" s="811"/>
      <c r="D137" s="811" t="str">
        <f t="shared" si="6"/>
        <v>QFP: JGARCIA   QFV: ADELTORO</v>
      </c>
      <c r="E137" s="811"/>
      <c r="J137" s="356"/>
      <c r="O137" s="350"/>
    </row>
    <row r="138" spans="1:19" ht="9.75" customHeight="1">
      <c r="A138" s="812" t="str">
        <f>'DATOS ETIQ'!N$18&amp;"   Cama: "&amp;'DATOS ETIQ'!O$18</f>
        <v>C.JPC/SEXTO NTE/SCOOP   Cama: NA</v>
      </c>
      <c r="B138" s="812"/>
      <c r="D138" s="812" t="str">
        <f t="shared" si="6"/>
        <v>C.JPC/SEXTO NTE/SCOOP   Cama: NA</v>
      </c>
      <c r="E138" s="812"/>
      <c r="J138" s="356"/>
      <c r="O138" s="350"/>
    </row>
    <row r="139" spans="1:19" ht="9.75" customHeight="1">
      <c r="A139" s="811"/>
      <c r="B139" s="811"/>
      <c r="D139" s="811">
        <f t="shared" si="6"/>
        <v>0</v>
      </c>
      <c r="E139" s="811"/>
      <c r="J139" s="356"/>
      <c r="O139" s="350"/>
    </row>
    <row r="140" spans="1:19" ht="9.75" customHeight="1">
      <c r="A140" s="808" t="e">
        <f>'DATOS ETIQ'!AA$19</f>
        <v>#N/A</v>
      </c>
      <c r="B140" s="808"/>
      <c r="C140" s="359"/>
      <c r="D140" s="808" t="e">
        <f t="shared" si="6"/>
        <v>#N/A</v>
      </c>
      <c r="E140" s="808"/>
      <c r="J140" s="356"/>
      <c r="N140" s="404"/>
      <c r="O140" s="404"/>
      <c r="P140" s="404"/>
      <c r="Q140" s="404"/>
      <c r="R140" s="404"/>
      <c r="S140" s="404"/>
    </row>
    <row r="141" spans="1:19" ht="9.75" customHeight="1">
      <c r="A141" s="808" t="e">
        <f>'DATOS ETIQ'!AC19</f>
        <v>#N/A</v>
      </c>
      <c r="B141" s="808"/>
      <c r="C141" s="359"/>
      <c r="D141" s="808" t="e">
        <f t="shared" si="6"/>
        <v>#N/A</v>
      </c>
      <c r="E141" s="808"/>
      <c r="J141" s="356"/>
      <c r="O141" s="350"/>
    </row>
    <row r="142" spans="1:19" ht="9.75" customHeight="1" thickBot="1">
      <c r="A142" s="360" t="str">
        <f ca="1">"F.Elab: "&amp;TEXT('FORMATO DIL'!$B$5,"dd/mm/yy")</f>
        <v>F.Elab: 04/08/22</v>
      </c>
      <c r="B142" s="360" t="e">
        <f ca="1">'DATOS ETIQ'!H$19</f>
        <v>#N/A</v>
      </c>
      <c r="C142" s="359"/>
      <c r="D142" s="360" t="str">
        <f ca="1">A142</f>
        <v>F.Elab: 04/08/22</v>
      </c>
      <c r="E142" s="360" t="e">
        <f ca="1">B142</f>
        <v>#N/A</v>
      </c>
      <c r="J142" s="356"/>
      <c r="O142" s="350"/>
    </row>
    <row r="143" spans="1:19" ht="9.75" customHeight="1">
      <c r="A143" s="810" t="str">
        <f>"Lt: "&amp;'DATOS ETIQ'!I$19</f>
        <v xml:space="preserve">Lt: </v>
      </c>
      <c r="B143" s="810"/>
      <c r="D143" s="810" t="str">
        <f>A143</f>
        <v xml:space="preserve">Lt: </v>
      </c>
      <c r="E143" s="810"/>
      <c r="G143" s="800" t="e">
        <f>'FR PD 001 V1'!T23</f>
        <v>#N/A</v>
      </c>
      <c r="J143" s="800">
        <v>18</v>
      </c>
      <c r="O143" s="350"/>
    </row>
    <row r="144" spans="1:19" ht="9.75" customHeight="1" thickBot="1">
      <c r="A144" s="808" t="str">
        <f>'DATOS ETIQ'!J$19&amp;"  "&amp;'DATOS ETIQ'!K$19</f>
        <v xml:space="preserve">  0</v>
      </c>
      <c r="B144" s="808"/>
      <c r="C144" s="359"/>
      <c r="D144" s="808" t="str">
        <f t="shared" si="6"/>
        <v xml:space="preserve">  0</v>
      </c>
      <c r="E144" s="808"/>
      <c r="G144" s="801"/>
      <c r="J144" s="801"/>
      <c r="O144" s="350"/>
    </row>
    <row r="145" spans="1:19" ht="9.75" customHeight="1">
      <c r="A145" s="811" t="str">
        <f>"QFP: "&amp;'DATOS ETIQ'!L$19&amp;"   QFV: "&amp;'DATOS ETIQ'!M$19</f>
        <v>QFP: JGARCIA   QFV: ADELTORO</v>
      </c>
      <c r="B145" s="811"/>
      <c r="D145" s="811" t="str">
        <f t="shared" si="6"/>
        <v>QFP: JGARCIA   QFV: ADELTORO</v>
      </c>
      <c r="E145" s="811"/>
      <c r="J145" s="356"/>
      <c r="O145" s="350"/>
    </row>
    <row r="146" spans="1:19" ht="9.75" customHeight="1">
      <c r="A146" s="812" t="str">
        <f>'DATOS ETIQ'!N$19&amp;"   Cama: "&amp;'DATOS ETIQ'!O$19</f>
        <v>C.JPC/SEXTO NTE/SCOOP   Cama: NA</v>
      </c>
      <c r="B146" s="812"/>
      <c r="D146" s="812" t="str">
        <f t="shared" si="6"/>
        <v>C.JPC/SEXTO NTE/SCOOP   Cama: NA</v>
      </c>
      <c r="E146" s="812"/>
      <c r="J146" s="356"/>
      <c r="O146" s="350"/>
    </row>
    <row r="147" spans="1:19" ht="9.75" customHeight="1">
      <c r="A147" s="811"/>
      <c r="B147" s="811"/>
      <c r="D147" s="811">
        <f t="shared" si="6"/>
        <v>0</v>
      </c>
      <c r="E147" s="811"/>
      <c r="J147" s="356"/>
      <c r="O147" s="350"/>
    </row>
    <row r="148" spans="1:19" ht="9.75" customHeight="1">
      <c r="A148" s="808" t="e">
        <f>'DATOS ETIQ'!AA$20</f>
        <v>#N/A</v>
      </c>
      <c r="B148" s="808"/>
      <c r="C148" s="359"/>
      <c r="D148" s="808" t="e">
        <f t="shared" si="6"/>
        <v>#N/A</v>
      </c>
      <c r="E148" s="808"/>
      <c r="J148" s="356"/>
      <c r="N148" s="404"/>
      <c r="O148" s="404"/>
      <c r="P148" s="404"/>
      <c r="Q148" s="404"/>
      <c r="R148" s="404"/>
      <c r="S148" s="404"/>
    </row>
    <row r="149" spans="1:19" ht="9.75" customHeight="1">
      <c r="A149" s="808" t="e">
        <f>'DATOS ETIQ'!AC20</f>
        <v>#N/A</v>
      </c>
      <c r="B149" s="808"/>
      <c r="C149" s="359"/>
      <c r="D149" s="808" t="e">
        <f t="shared" si="6"/>
        <v>#N/A</v>
      </c>
      <c r="E149" s="808"/>
      <c r="J149" s="356"/>
      <c r="O149" s="350"/>
    </row>
    <row r="150" spans="1:19" ht="9.75" customHeight="1" thickBot="1">
      <c r="A150" s="360" t="str">
        <f ca="1">"F.Elab: "&amp;TEXT('FORMATO DIL'!$B$5,"dd/mm/yy")</f>
        <v>F.Elab: 04/08/22</v>
      </c>
      <c r="B150" s="360" t="e">
        <f ca="1">'DATOS ETIQ'!H$20</f>
        <v>#N/A</v>
      </c>
      <c r="C150" s="359"/>
      <c r="D150" s="360" t="str">
        <f ca="1">A150</f>
        <v>F.Elab: 04/08/22</v>
      </c>
      <c r="E150" s="360" t="e">
        <f ca="1">B150</f>
        <v>#N/A</v>
      </c>
      <c r="J150" s="356"/>
      <c r="O150" s="350"/>
    </row>
    <row r="151" spans="1:19" ht="9.75" customHeight="1">
      <c r="A151" s="810" t="str">
        <f>"Lt: "&amp;'DATOS ETIQ'!I$20</f>
        <v xml:space="preserve">Lt: </v>
      </c>
      <c r="B151" s="810"/>
      <c r="D151" s="810" t="str">
        <f>A151</f>
        <v xml:space="preserve">Lt: </v>
      </c>
      <c r="E151" s="810"/>
      <c r="G151" s="800" t="e">
        <f>'FR PD 001 V1'!T24</f>
        <v>#N/A</v>
      </c>
      <c r="J151" s="800">
        <v>19</v>
      </c>
      <c r="O151" s="350"/>
    </row>
    <row r="152" spans="1:19" ht="9.75" customHeight="1" thickBot="1">
      <c r="A152" s="808" t="str">
        <f>'DATOS ETIQ'!J$20&amp;"  "&amp;'DATOS ETIQ'!K$20</f>
        <v xml:space="preserve">  0</v>
      </c>
      <c r="B152" s="808"/>
      <c r="C152" s="359"/>
      <c r="D152" s="808" t="str">
        <f t="shared" si="6"/>
        <v xml:space="preserve">  0</v>
      </c>
      <c r="E152" s="808"/>
      <c r="G152" s="801"/>
      <c r="J152" s="801"/>
    </row>
    <row r="153" spans="1:19" ht="9.75" customHeight="1">
      <c r="A153" s="811" t="str">
        <f>"QFP: "&amp;'DATOS ETIQ'!L$20&amp;"   QFV: "&amp;'DATOS ETIQ'!M$20</f>
        <v>QFP: JGARCIA   QFV: ADELTORO</v>
      </c>
      <c r="B153" s="811"/>
      <c r="D153" s="811" t="str">
        <f t="shared" si="6"/>
        <v>QFP: JGARCIA   QFV: ADELTORO</v>
      </c>
      <c r="E153" s="811"/>
      <c r="J153" s="356"/>
    </row>
    <row r="154" spans="1:19" ht="9.75" customHeight="1">
      <c r="A154" s="812" t="str">
        <f>'DATOS ETIQ'!N$20&amp;"   Cama: "&amp;'DATOS ETIQ'!O$20</f>
        <v>C.JPC/SEXTO NTE/SCOOP   Cama: NA</v>
      </c>
      <c r="B154" s="812"/>
      <c r="D154" s="812" t="str">
        <f t="shared" si="6"/>
        <v>C.JPC/SEXTO NTE/SCOOP   Cama: NA</v>
      </c>
      <c r="E154" s="812"/>
      <c r="J154" s="356"/>
    </row>
    <row r="155" spans="1:19" ht="9.75" customHeight="1">
      <c r="A155" s="811"/>
      <c r="B155" s="811"/>
      <c r="D155" s="811">
        <f t="shared" si="6"/>
        <v>0</v>
      </c>
      <c r="E155" s="811"/>
      <c r="J155" s="356"/>
    </row>
    <row r="156" spans="1:19" ht="9.75" customHeight="1">
      <c r="A156" s="808" t="e">
        <f>'DATOS ETIQ'!AA$21</f>
        <v>#N/A</v>
      </c>
      <c r="B156" s="808"/>
      <c r="C156" s="359"/>
      <c r="D156" s="808" t="e">
        <f t="shared" si="6"/>
        <v>#N/A</v>
      </c>
      <c r="E156" s="808"/>
      <c r="J156" s="356"/>
      <c r="N156" s="404"/>
      <c r="O156" s="404"/>
      <c r="P156" s="404"/>
      <c r="Q156" s="404"/>
      <c r="R156" s="404"/>
      <c r="S156" s="404"/>
    </row>
    <row r="157" spans="1:19" ht="9.75" customHeight="1">
      <c r="A157" s="808" t="e">
        <f>'DATOS ETIQ'!AC21</f>
        <v>#N/A</v>
      </c>
      <c r="B157" s="808"/>
      <c r="C157" s="359"/>
      <c r="D157" s="808" t="e">
        <f t="shared" si="6"/>
        <v>#N/A</v>
      </c>
      <c r="E157" s="808"/>
      <c r="J157" s="356"/>
    </row>
    <row r="158" spans="1:19" ht="9.75" customHeight="1" thickBot="1">
      <c r="A158" s="360" t="str">
        <f ca="1">"F.Elab: "&amp;TEXT('FORMATO DIL'!$B$5,"dd/mm/yy")</f>
        <v>F.Elab: 04/08/22</v>
      </c>
      <c r="B158" s="360" t="e">
        <f ca="1">'DATOS ETIQ'!H$21</f>
        <v>#N/A</v>
      </c>
      <c r="C158" s="359"/>
      <c r="D158" s="360" t="str">
        <f ca="1">A158</f>
        <v>F.Elab: 04/08/22</v>
      </c>
      <c r="E158" s="360" t="e">
        <f ca="1">B158</f>
        <v>#N/A</v>
      </c>
      <c r="J158" s="356"/>
    </row>
    <row r="159" spans="1:19" ht="9.75" customHeight="1">
      <c r="A159" s="810" t="str">
        <f>"Lt: "&amp;'DATOS ETIQ'!I$21</f>
        <v xml:space="preserve">Lt: </v>
      </c>
      <c r="B159" s="810"/>
      <c r="D159" s="810" t="str">
        <f>A159</f>
        <v xml:space="preserve">Lt: </v>
      </c>
      <c r="E159" s="810"/>
      <c r="G159" s="800" t="e">
        <f>'FR PD 001 V1'!T25</f>
        <v>#N/A</v>
      </c>
      <c r="J159" s="800">
        <v>20</v>
      </c>
    </row>
    <row r="160" spans="1:19" ht="9.75" customHeight="1" thickBot="1">
      <c r="A160" s="808" t="str">
        <f>'DATOS ETIQ'!J$21&amp;"  "&amp;'DATOS ETIQ'!K$21</f>
        <v xml:space="preserve">  0</v>
      </c>
      <c r="B160" s="808"/>
      <c r="C160" s="359"/>
      <c r="D160" s="808" t="str">
        <f t="shared" si="6"/>
        <v xml:space="preserve">  0</v>
      </c>
      <c r="E160" s="808"/>
      <c r="G160" s="801"/>
      <c r="J160" s="801"/>
    </row>
    <row r="161" spans="1:19" ht="9.75" customHeight="1">
      <c r="A161" s="811" t="str">
        <f>"QFP: "&amp;'DATOS ETIQ'!L$21&amp;"   QFV: "&amp;'DATOS ETIQ'!M$21</f>
        <v>QFP: JGARCIA   QFV: ADELTORO</v>
      </c>
      <c r="B161" s="811"/>
      <c r="D161" s="811" t="str">
        <f t="shared" si="6"/>
        <v>QFP: JGARCIA   QFV: ADELTORO</v>
      </c>
      <c r="E161" s="811"/>
      <c r="J161" s="356"/>
    </row>
    <row r="162" spans="1:19" ht="9.75" customHeight="1">
      <c r="A162" s="812" t="str">
        <f>'DATOS ETIQ'!N$21&amp;"   Cama: "&amp;'DATOS ETIQ'!O$21</f>
        <v>C.JPC/SEXTO NTE/SCOOP   Cama: NA</v>
      </c>
      <c r="B162" s="812"/>
      <c r="D162" s="812" t="str">
        <f t="shared" si="6"/>
        <v>C.JPC/SEXTO NTE/SCOOP   Cama: NA</v>
      </c>
      <c r="E162" s="812"/>
      <c r="J162" s="356"/>
    </row>
    <row r="163" spans="1:19" ht="9.75" customHeight="1">
      <c r="A163" s="811"/>
      <c r="B163" s="811"/>
      <c r="D163" s="811">
        <f t="shared" si="6"/>
        <v>0</v>
      </c>
      <c r="E163" s="811"/>
      <c r="J163" s="356"/>
    </row>
    <row r="164" spans="1:19" ht="9.75" customHeight="1">
      <c r="A164" s="808" t="e">
        <f>'DATOS ETIQ'!AA$22</f>
        <v>#N/A</v>
      </c>
      <c r="B164" s="808"/>
      <c r="C164" s="359"/>
      <c r="D164" s="808" t="e">
        <f t="shared" ref="D164:D236" si="7">A164</f>
        <v>#N/A</v>
      </c>
      <c r="E164" s="808"/>
      <c r="J164" s="356"/>
      <c r="N164" s="404"/>
      <c r="O164" s="404"/>
      <c r="P164" s="404"/>
      <c r="Q164" s="404"/>
      <c r="R164" s="404"/>
      <c r="S164" s="404"/>
    </row>
    <row r="165" spans="1:19" ht="9.75" customHeight="1">
      <c r="A165" s="808" t="e">
        <f>'DATOS ETIQ'!AC22</f>
        <v>#N/A</v>
      </c>
      <c r="B165" s="808"/>
      <c r="C165" s="359"/>
      <c r="D165" s="808" t="e">
        <f t="shared" si="7"/>
        <v>#N/A</v>
      </c>
      <c r="E165" s="808"/>
      <c r="J165" s="356"/>
    </row>
    <row r="166" spans="1:19" ht="9.75" customHeight="1" thickBot="1">
      <c r="A166" s="360" t="str">
        <f ca="1">"F.Elab: "&amp;TEXT('FORMATO DIL'!$B$5,"dd/mm/yy")</f>
        <v>F.Elab: 04/08/22</v>
      </c>
      <c r="B166" s="360" t="e">
        <f ca="1">'DATOS ETIQ'!H$22</f>
        <v>#N/A</v>
      </c>
      <c r="C166" s="359"/>
      <c r="D166" s="360" t="str">
        <f ca="1">A166</f>
        <v>F.Elab: 04/08/22</v>
      </c>
      <c r="E166" s="360" t="e">
        <f ca="1">B166</f>
        <v>#N/A</v>
      </c>
      <c r="J166" s="356"/>
    </row>
    <row r="167" spans="1:19" ht="9.75" customHeight="1">
      <c r="A167" s="810" t="str">
        <f>"Lt: "&amp;'DATOS ETIQ'!I$22</f>
        <v xml:space="preserve">Lt: </v>
      </c>
      <c r="B167" s="810"/>
      <c r="D167" s="810" t="str">
        <f>A167</f>
        <v xml:space="preserve">Lt: </v>
      </c>
      <c r="E167" s="810"/>
      <c r="G167" s="800" t="e">
        <f>'FR PD 001 V1'!T26</f>
        <v>#N/A</v>
      </c>
      <c r="J167" s="800">
        <v>21</v>
      </c>
    </row>
    <row r="168" spans="1:19" ht="9.75" customHeight="1" thickBot="1">
      <c r="A168" s="808" t="str">
        <f>'DATOS ETIQ'!J$22&amp;"  "&amp;'DATOS ETIQ'!K$22</f>
        <v xml:space="preserve">  0</v>
      </c>
      <c r="B168" s="808"/>
      <c r="C168" s="359"/>
      <c r="D168" s="808" t="str">
        <f t="shared" si="7"/>
        <v xml:space="preserve">  0</v>
      </c>
      <c r="E168" s="808"/>
      <c r="G168" s="801"/>
      <c r="J168" s="801"/>
    </row>
    <row r="169" spans="1:19" ht="9.75" customHeight="1">
      <c r="A169" s="811" t="str">
        <f>"QFP: "&amp;'DATOS ETIQ'!L$22&amp;"   QFV: "&amp;'DATOS ETIQ'!M$22</f>
        <v>QFP: JGARCIA   QFV: ADELTORO</v>
      </c>
      <c r="B169" s="811"/>
      <c r="D169" s="811" t="str">
        <f t="shared" si="7"/>
        <v>QFP: JGARCIA   QFV: ADELTORO</v>
      </c>
      <c r="E169" s="811"/>
      <c r="J169" s="356"/>
    </row>
    <row r="170" spans="1:19" ht="9.75" customHeight="1">
      <c r="A170" s="812" t="str">
        <f>'DATOS ETIQ'!N$22&amp;"   Cama: "&amp;'DATOS ETIQ'!O$22</f>
        <v>C.JPC/SEXTO NTE/SCOOP   Cama: NA</v>
      </c>
      <c r="B170" s="812"/>
      <c r="D170" s="812" t="str">
        <f t="shared" si="7"/>
        <v>C.JPC/SEXTO NTE/SCOOP   Cama: NA</v>
      </c>
      <c r="E170" s="812"/>
      <c r="J170" s="356"/>
    </row>
    <row r="171" spans="1:19" ht="9.75" customHeight="1">
      <c r="A171" s="811"/>
      <c r="B171" s="811"/>
      <c r="D171" s="811">
        <f t="shared" si="7"/>
        <v>0</v>
      </c>
      <c r="E171" s="811"/>
      <c r="J171" s="356"/>
    </row>
    <row r="172" spans="1:19" ht="9.75" customHeight="1">
      <c r="A172" s="808" t="e">
        <f>'DATOS ETIQ'!AA$23</f>
        <v>#N/A</v>
      </c>
      <c r="B172" s="808"/>
      <c r="C172" s="359"/>
      <c r="D172" s="808" t="e">
        <f t="shared" si="7"/>
        <v>#N/A</v>
      </c>
      <c r="E172" s="808"/>
      <c r="J172" s="356"/>
      <c r="N172" s="404"/>
      <c r="O172" s="404"/>
      <c r="P172" s="404"/>
      <c r="Q172" s="404"/>
      <c r="R172" s="404"/>
      <c r="S172" s="404"/>
    </row>
    <row r="173" spans="1:19" ht="9.75" customHeight="1">
      <c r="A173" s="808" t="e">
        <f>'DATOS ETIQ'!AC23</f>
        <v>#N/A</v>
      </c>
      <c r="B173" s="808"/>
      <c r="C173" s="359"/>
      <c r="D173" s="808" t="e">
        <f t="shared" si="7"/>
        <v>#N/A</v>
      </c>
      <c r="E173" s="808"/>
      <c r="J173" s="356"/>
    </row>
    <row r="174" spans="1:19" ht="9.75" customHeight="1" thickBot="1">
      <c r="A174" s="360" t="str">
        <f ca="1">"F.Elab: "&amp;TEXT('FORMATO DIL'!$B$5,"dd/mm/yy")</f>
        <v>F.Elab: 04/08/22</v>
      </c>
      <c r="B174" s="360" t="e">
        <f ca="1">'DATOS ETIQ'!H$23</f>
        <v>#N/A</v>
      </c>
      <c r="C174" s="359"/>
      <c r="D174" s="360" t="str">
        <f ca="1">A174</f>
        <v>F.Elab: 04/08/22</v>
      </c>
      <c r="E174" s="360" t="e">
        <f ca="1">B174</f>
        <v>#N/A</v>
      </c>
      <c r="J174" s="356"/>
    </row>
    <row r="175" spans="1:19" ht="9.75" customHeight="1">
      <c r="A175" s="810" t="str">
        <f>"Lt: "&amp;'DATOS ETIQ'!I$23</f>
        <v xml:space="preserve">Lt: </v>
      </c>
      <c r="B175" s="810"/>
      <c r="D175" s="810" t="str">
        <f>A175</f>
        <v xml:space="preserve">Lt: </v>
      </c>
      <c r="E175" s="810"/>
      <c r="G175" s="800" t="e">
        <f>'FR PD 001 V1'!T27</f>
        <v>#N/A</v>
      </c>
      <c r="J175" s="800">
        <v>22</v>
      </c>
    </row>
    <row r="176" spans="1:19" ht="9.75" customHeight="1" thickBot="1">
      <c r="A176" s="808" t="str">
        <f>'DATOS ETIQ'!J$23&amp;"  "&amp;'DATOS ETIQ'!K$23</f>
        <v xml:space="preserve">  0</v>
      </c>
      <c r="B176" s="808"/>
      <c r="C176" s="359"/>
      <c r="D176" s="808" t="str">
        <f t="shared" si="7"/>
        <v xml:space="preserve">  0</v>
      </c>
      <c r="E176" s="808"/>
      <c r="G176" s="801"/>
      <c r="J176" s="801"/>
    </row>
    <row r="177" spans="1:19" ht="9.75" customHeight="1">
      <c r="A177" s="811" t="str">
        <f>"QFP: "&amp;'DATOS ETIQ'!L$23&amp;"   QFV: "&amp;'DATOS ETIQ'!M$23</f>
        <v>QFP: JGARCIA   QFV: ADELTORO</v>
      </c>
      <c r="B177" s="811"/>
      <c r="D177" s="811" t="str">
        <f t="shared" si="7"/>
        <v>QFP: JGARCIA   QFV: ADELTORO</v>
      </c>
      <c r="E177" s="811"/>
      <c r="J177" s="356"/>
    </row>
    <row r="178" spans="1:19" ht="9.75" customHeight="1">
      <c r="A178" s="812" t="str">
        <f>'DATOS ETIQ'!N$23&amp;"   Cama: "&amp;'DATOS ETIQ'!O$23</f>
        <v>C.JPC/SEXTO NTE/SCOOP   Cama: NA</v>
      </c>
      <c r="B178" s="812"/>
      <c r="D178" s="812" t="str">
        <f t="shared" si="7"/>
        <v>C.JPC/SEXTO NTE/SCOOP   Cama: NA</v>
      </c>
      <c r="E178" s="812"/>
      <c r="J178" s="356"/>
    </row>
    <row r="179" spans="1:19" ht="9.75" customHeight="1">
      <c r="A179" s="811"/>
      <c r="B179" s="811"/>
      <c r="D179" s="811">
        <f t="shared" si="7"/>
        <v>0</v>
      </c>
      <c r="E179" s="811"/>
      <c r="J179" s="356"/>
    </row>
    <row r="180" spans="1:19" ht="9.75" customHeight="1">
      <c r="A180" s="808" t="e">
        <f>'DATOS ETIQ'!AA$24</f>
        <v>#N/A</v>
      </c>
      <c r="B180" s="808"/>
      <c r="C180" s="359"/>
      <c r="D180" s="808" t="e">
        <f t="shared" si="7"/>
        <v>#N/A</v>
      </c>
      <c r="E180" s="808"/>
      <c r="J180" s="356"/>
      <c r="N180" s="404"/>
      <c r="O180" s="404"/>
      <c r="P180" s="404"/>
      <c r="Q180" s="404"/>
      <c r="R180" s="404"/>
      <c r="S180" s="404"/>
    </row>
    <row r="181" spans="1:19" ht="9.75" customHeight="1">
      <c r="A181" s="808" t="e">
        <f>'DATOS ETIQ'!AC24</f>
        <v>#N/A</v>
      </c>
      <c r="B181" s="808"/>
      <c r="C181" s="359"/>
      <c r="D181" s="808" t="e">
        <f t="shared" si="7"/>
        <v>#N/A</v>
      </c>
      <c r="E181" s="808"/>
      <c r="J181" s="356"/>
    </row>
    <row r="182" spans="1:19" ht="9.75" customHeight="1" thickBot="1">
      <c r="A182" s="360" t="str">
        <f ca="1">"F.Elab: "&amp;TEXT('FORMATO DIL'!$B$5,"dd/mm/yy")</f>
        <v>F.Elab: 04/08/22</v>
      </c>
      <c r="B182" s="360" t="e">
        <f ca="1">'DATOS ETIQ'!H$24</f>
        <v>#N/A</v>
      </c>
      <c r="C182" s="359"/>
      <c r="D182" s="360" t="str">
        <f ca="1">A182</f>
        <v>F.Elab: 04/08/22</v>
      </c>
      <c r="E182" s="360" t="e">
        <f ca="1">B182</f>
        <v>#N/A</v>
      </c>
      <c r="J182" s="356"/>
    </row>
    <row r="183" spans="1:19" ht="9.75" customHeight="1">
      <c r="A183" s="810" t="str">
        <f>"Lt: "&amp;'DATOS ETIQ'!I$24</f>
        <v xml:space="preserve">Lt: </v>
      </c>
      <c r="B183" s="810"/>
      <c r="D183" s="810" t="str">
        <f>A183</f>
        <v xml:space="preserve">Lt: </v>
      </c>
      <c r="E183" s="810"/>
      <c r="G183" s="800" t="e">
        <f>'FR PD 001 V1'!T28</f>
        <v>#N/A</v>
      </c>
      <c r="J183" s="800">
        <v>23</v>
      </c>
    </row>
    <row r="184" spans="1:19" ht="9.75" customHeight="1" thickBot="1">
      <c r="A184" s="808" t="str">
        <f>'DATOS ETIQ'!J$24&amp;"  "&amp;'DATOS ETIQ'!K$24</f>
        <v xml:space="preserve">  0</v>
      </c>
      <c r="B184" s="808"/>
      <c r="C184" s="359"/>
      <c r="D184" s="808" t="str">
        <f t="shared" si="7"/>
        <v xml:space="preserve">  0</v>
      </c>
      <c r="E184" s="808"/>
      <c r="G184" s="801"/>
      <c r="J184" s="801"/>
    </row>
    <row r="185" spans="1:19" ht="9.75" customHeight="1">
      <c r="A185" s="811" t="str">
        <f>"QFP: "&amp;'DATOS ETIQ'!L$24&amp;"   QFV: "&amp;'DATOS ETIQ'!M$24</f>
        <v>QFP: JGARCIA   QFV: ADELTORO</v>
      </c>
      <c r="B185" s="811"/>
      <c r="D185" s="811" t="str">
        <f t="shared" si="7"/>
        <v>QFP: JGARCIA   QFV: ADELTORO</v>
      </c>
      <c r="E185" s="811"/>
      <c r="J185" s="356"/>
    </row>
    <row r="186" spans="1:19" ht="9.75" customHeight="1">
      <c r="A186" s="812" t="str">
        <f>'DATOS ETIQ'!N$24&amp;"   Cama: "&amp;'DATOS ETIQ'!O$24</f>
        <v>C.JPC/SEXTO NTE/SCOOP   Cama: NA</v>
      </c>
      <c r="B186" s="812"/>
      <c r="D186" s="812" t="str">
        <f t="shared" si="7"/>
        <v>C.JPC/SEXTO NTE/SCOOP   Cama: NA</v>
      </c>
      <c r="E186" s="812"/>
      <c r="J186" s="356"/>
    </row>
    <row r="187" spans="1:19" ht="9.75" customHeight="1">
      <c r="A187" s="811"/>
      <c r="B187" s="811"/>
      <c r="D187" s="811">
        <f t="shared" si="7"/>
        <v>0</v>
      </c>
      <c r="E187" s="811"/>
      <c r="J187" s="356"/>
    </row>
    <row r="188" spans="1:19" ht="9.75" customHeight="1">
      <c r="A188" s="808" t="e">
        <f>'DATOS ETIQ'!AA$25</f>
        <v>#N/A</v>
      </c>
      <c r="B188" s="808"/>
      <c r="C188" s="359"/>
      <c r="D188" s="808" t="e">
        <f t="shared" si="7"/>
        <v>#N/A</v>
      </c>
      <c r="E188" s="808"/>
      <c r="J188" s="356"/>
      <c r="N188" s="404"/>
      <c r="O188" s="404"/>
      <c r="P188" s="404"/>
      <c r="Q188" s="404"/>
      <c r="R188" s="404"/>
      <c r="S188" s="404"/>
    </row>
    <row r="189" spans="1:19" ht="9.75" customHeight="1">
      <c r="A189" s="808" t="e">
        <f>'DATOS ETIQ'!AC25</f>
        <v>#N/A</v>
      </c>
      <c r="B189" s="808"/>
      <c r="C189" s="359"/>
      <c r="D189" s="808" t="e">
        <f t="shared" si="7"/>
        <v>#N/A</v>
      </c>
      <c r="E189" s="808"/>
      <c r="J189" s="356"/>
    </row>
    <row r="190" spans="1:19" ht="9.75" customHeight="1" thickBot="1">
      <c r="A190" s="360" t="str">
        <f ca="1">"F.Elab: "&amp;TEXT('FORMATO DIL'!$B$5,"dd/mm/yy")</f>
        <v>F.Elab: 04/08/22</v>
      </c>
      <c r="B190" s="360" t="e">
        <f ca="1">'DATOS ETIQ'!H$25</f>
        <v>#N/A</v>
      </c>
      <c r="C190" s="359"/>
      <c r="D190" s="360" t="str">
        <f ca="1">A190</f>
        <v>F.Elab: 04/08/22</v>
      </c>
      <c r="E190" s="360" t="e">
        <f ca="1">B190</f>
        <v>#N/A</v>
      </c>
      <c r="J190" s="356"/>
    </row>
    <row r="191" spans="1:19" ht="9.75" customHeight="1">
      <c r="A191" s="810" t="str">
        <f>"Lt: "&amp;'DATOS ETIQ'!I$25</f>
        <v xml:space="preserve">Lt: </v>
      </c>
      <c r="B191" s="810"/>
      <c r="D191" s="810" t="str">
        <f>A191</f>
        <v xml:space="preserve">Lt: </v>
      </c>
      <c r="E191" s="810"/>
      <c r="G191" s="800" t="e">
        <f>'FR PD 001 V1'!T29</f>
        <v>#N/A</v>
      </c>
      <c r="J191" s="800">
        <v>24</v>
      </c>
    </row>
    <row r="192" spans="1:19" ht="9.75" customHeight="1" thickBot="1">
      <c r="A192" s="808" t="str">
        <f>'DATOS ETIQ'!J$25&amp;"  "&amp;'DATOS ETIQ'!K$25</f>
        <v xml:space="preserve">  0</v>
      </c>
      <c r="B192" s="808"/>
      <c r="C192" s="359"/>
      <c r="D192" s="808" t="str">
        <f t="shared" si="7"/>
        <v xml:space="preserve">  0</v>
      </c>
      <c r="E192" s="808"/>
      <c r="G192" s="801"/>
      <c r="J192" s="801"/>
    </row>
    <row r="193" spans="1:19" ht="9.75" customHeight="1">
      <c r="A193" s="811" t="str">
        <f>"QFP: "&amp;'DATOS ETIQ'!L$25&amp;"   QFV: "&amp;'DATOS ETIQ'!M$25</f>
        <v>QFP: JGARCIA   QFV: ADELTORO</v>
      </c>
      <c r="B193" s="811"/>
      <c r="D193" s="811" t="str">
        <f t="shared" si="7"/>
        <v>QFP: JGARCIA   QFV: ADELTORO</v>
      </c>
      <c r="E193" s="811"/>
      <c r="J193" s="356"/>
    </row>
    <row r="194" spans="1:19" ht="9.75" customHeight="1">
      <c r="A194" s="812" t="str">
        <f>'DATOS ETIQ'!N$25&amp;"   Cama: "&amp;'DATOS ETIQ'!O$25</f>
        <v>C.JPC/SEXTO NTE/SCOOP   Cama: NA</v>
      </c>
      <c r="B194" s="812"/>
      <c r="D194" s="812" t="str">
        <f t="shared" si="7"/>
        <v>C.JPC/SEXTO NTE/SCOOP   Cama: NA</v>
      </c>
      <c r="E194" s="812"/>
      <c r="J194" s="356"/>
    </row>
    <row r="195" spans="1:19" ht="9.75" customHeight="1">
      <c r="A195" s="811"/>
      <c r="B195" s="811"/>
      <c r="D195" s="811">
        <f t="shared" si="7"/>
        <v>0</v>
      </c>
      <c r="E195" s="811"/>
      <c r="J195" s="356"/>
    </row>
    <row r="196" spans="1:19" ht="9.75" customHeight="1">
      <c r="A196" s="808" t="e">
        <f>'DATOS ETIQ'!AA$26</f>
        <v>#N/A</v>
      </c>
      <c r="B196" s="808"/>
      <c r="C196" s="359"/>
      <c r="D196" s="808" t="e">
        <f t="shared" si="7"/>
        <v>#N/A</v>
      </c>
      <c r="E196" s="808"/>
      <c r="J196" s="356"/>
      <c r="N196" s="404"/>
      <c r="O196" s="404"/>
      <c r="P196" s="404"/>
      <c r="Q196" s="404"/>
      <c r="R196" s="404"/>
      <c r="S196" s="404"/>
    </row>
    <row r="197" spans="1:19" ht="9.75" customHeight="1">
      <c r="A197" s="808" t="e">
        <f>'DATOS ETIQ'!AC26</f>
        <v>#N/A</v>
      </c>
      <c r="B197" s="808"/>
      <c r="C197" s="359"/>
      <c r="D197" s="808" t="e">
        <f t="shared" si="7"/>
        <v>#N/A</v>
      </c>
      <c r="E197" s="808"/>
      <c r="J197" s="356"/>
    </row>
    <row r="198" spans="1:19" ht="9.75" customHeight="1" thickBot="1">
      <c r="A198" s="360" t="str">
        <f ca="1">"F.Elab: "&amp;TEXT('FORMATO DIL'!$B$5,"dd/mm/yy")</f>
        <v>F.Elab: 04/08/22</v>
      </c>
      <c r="B198" s="360" t="e">
        <f ca="1">'DATOS ETIQ'!H$26</f>
        <v>#N/A</v>
      </c>
      <c r="C198" s="359"/>
      <c r="D198" s="360" t="str">
        <f ca="1">A198</f>
        <v>F.Elab: 04/08/22</v>
      </c>
      <c r="E198" s="360" t="e">
        <f ca="1">B198</f>
        <v>#N/A</v>
      </c>
      <c r="J198" s="356"/>
    </row>
    <row r="199" spans="1:19" ht="9.75" customHeight="1">
      <c r="A199" s="810" t="str">
        <f>"Lt: "&amp;'DATOS ETIQ'!I$26</f>
        <v xml:space="preserve">Lt: </v>
      </c>
      <c r="B199" s="810"/>
      <c r="D199" s="810" t="str">
        <f>A199</f>
        <v xml:space="preserve">Lt: </v>
      </c>
      <c r="E199" s="810"/>
      <c r="G199" s="800" t="e">
        <f>'FR PD 001 V1'!T30</f>
        <v>#N/A</v>
      </c>
      <c r="J199" s="800">
        <v>25</v>
      </c>
    </row>
    <row r="200" spans="1:19" ht="9.75" customHeight="1" thickBot="1">
      <c r="A200" s="808" t="str">
        <f>'DATOS ETIQ'!J$26&amp;"  "&amp;'DATOS ETIQ'!K$26</f>
        <v xml:space="preserve">  0</v>
      </c>
      <c r="B200" s="808"/>
      <c r="C200" s="359"/>
      <c r="D200" s="808" t="str">
        <f t="shared" si="7"/>
        <v xml:space="preserve">  0</v>
      </c>
      <c r="E200" s="808"/>
      <c r="G200" s="801"/>
      <c r="J200" s="801"/>
    </row>
    <row r="201" spans="1:19" ht="9.75" customHeight="1">
      <c r="A201" s="811" t="str">
        <f>"QFP: "&amp;'DATOS ETIQ'!L$26&amp;"   QFV: "&amp;'DATOS ETIQ'!M$26</f>
        <v>QFP: JGARCIA   QFV: ADELTORO</v>
      </c>
      <c r="B201" s="811"/>
      <c r="D201" s="811" t="str">
        <f t="shared" si="7"/>
        <v>QFP: JGARCIA   QFV: ADELTORO</v>
      </c>
      <c r="E201" s="811"/>
      <c r="J201" s="356"/>
    </row>
    <row r="202" spans="1:19" ht="9.75" customHeight="1">
      <c r="A202" s="812" t="str">
        <f>'DATOS ETIQ'!N$26&amp;"   Cama: "&amp;'DATOS ETIQ'!O$26</f>
        <v>C.JPC/SEXTO NTE/SCOOP   Cama: NA</v>
      </c>
      <c r="B202" s="812"/>
      <c r="D202" s="812" t="str">
        <f t="shared" si="7"/>
        <v>C.JPC/SEXTO NTE/SCOOP   Cama: NA</v>
      </c>
      <c r="E202" s="812"/>
      <c r="J202" s="356"/>
    </row>
    <row r="203" spans="1:19" ht="9.75" customHeight="1">
      <c r="A203" s="811"/>
      <c r="B203" s="811"/>
      <c r="D203" s="811">
        <f t="shared" si="7"/>
        <v>0</v>
      </c>
      <c r="E203" s="811"/>
      <c r="J203" s="356"/>
    </row>
    <row r="204" spans="1:19" ht="9.75" customHeight="1">
      <c r="A204" s="808" t="e">
        <f>'DATOS ETIQ'!AA$27</f>
        <v>#N/A</v>
      </c>
      <c r="B204" s="808"/>
      <c r="C204" s="359"/>
      <c r="D204" s="808" t="e">
        <f t="shared" si="7"/>
        <v>#N/A</v>
      </c>
      <c r="E204" s="808"/>
      <c r="J204" s="356"/>
      <c r="N204" s="404"/>
      <c r="O204" s="404"/>
      <c r="P204" s="404"/>
      <c r="Q204" s="404"/>
      <c r="R204" s="404"/>
      <c r="S204" s="404"/>
    </row>
    <row r="205" spans="1:19" ht="9.75" customHeight="1">
      <c r="A205" s="808" t="e">
        <f>'DATOS ETIQ'!AC27</f>
        <v>#N/A</v>
      </c>
      <c r="B205" s="808"/>
      <c r="C205" s="359"/>
      <c r="D205" s="808" t="e">
        <f t="shared" si="7"/>
        <v>#N/A</v>
      </c>
      <c r="E205" s="808"/>
      <c r="J205" s="356"/>
    </row>
    <row r="206" spans="1:19" ht="9.75" customHeight="1" thickBot="1">
      <c r="A206" s="360" t="str">
        <f ca="1">"F.Elab: "&amp;TEXT('FORMATO DIL'!$B$5,"dd/mm/yy")</f>
        <v>F.Elab: 04/08/22</v>
      </c>
      <c r="B206" s="360" t="e">
        <f ca="1">'DATOS ETIQ'!H$27</f>
        <v>#N/A</v>
      </c>
      <c r="C206" s="359"/>
      <c r="D206" s="360" t="str">
        <f ca="1">A206</f>
        <v>F.Elab: 04/08/22</v>
      </c>
      <c r="E206" s="360" t="e">
        <f ca="1">B206</f>
        <v>#N/A</v>
      </c>
      <c r="J206" s="356"/>
    </row>
    <row r="207" spans="1:19" ht="9.75" customHeight="1">
      <c r="A207" s="810" t="str">
        <f>"Lt: "&amp;'DATOS ETIQ'!I$27</f>
        <v xml:space="preserve">Lt: </v>
      </c>
      <c r="B207" s="810"/>
      <c r="D207" s="810" t="str">
        <f>A207</f>
        <v xml:space="preserve">Lt: </v>
      </c>
      <c r="E207" s="810"/>
      <c r="G207" s="800" t="e">
        <f>'FR PD 001 V1'!T31</f>
        <v>#N/A</v>
      </c>
      <c r="J207" s="800">
        <v>26</v>
      </c>
    </row>
    <row r="208" spans="1:19" ht="9.75" customHeight="1" thickBot="1">
      <c r="A208" s="808" t="str">
        <f>'DATOS ETIQ'!J$27&amp;"  "&amp;'DATOS ETIQ'!K$27</f>
        <v xml:space="preserve">  0</v>
      </c>
      <c r="B208" s="808"/>
      <c r="C208" s="359"/>
      <c r="D208" s="808" t="str">
        <f t="shared" si="7"/>
        <v xml:space="preserve">  0</v>
      </c>
      <c r="E208" s="808"/>
      <c r="G208" s="801"/>
      <c r="J208" s="801"/>
    </row>
    <row r="209" spans="1:19" ht="9.75" customHeight="1">
      <c r="A209" s="811" t="str">
        <f>"QFP: "&amp;'DATOS ETIQ'!L$27&amp;"   QFV: "&amp;'DATOS ETIQ'!M$27</f>
        <v>QFP: JGARCIA   QFV: ADELTORO</v>
      </c>
      <c r="B209" s="811"/>
      <c r="D209" s="811" t="str">
        <f t="shared" si="7"/>
        <v>QFP: JGARCIA   QFV: ADELTORO</v>
      </c>
      <c r="E209" s="811"/>
      <c r="J209" s="356"/>
    </row>
    <row r="210" spans="1:19" ht="9.75" customHeight="1">
      <c r="A210" s="812" t="str">
        <f>'DATOS ETIQ'!N$27&amp;"   Cama: "&amp;'DATOS ETIQ'!O$27</f>
        <v>C.JPC/SEXTO NTE/SCOOP   Cama: NA</v>
      </c>
      <c r="B210" s="812"/>
      <c r="D210" s="812" t="str">
        <f t="shared" si="7"/>
        <v>C.JPC/SEXTO NTE/SCOOP   Cama: NA</v>
      </c>
      <c r="E210" s="812"/>
      <c r="J210" s="356"/>
    </row>
    <row r="211" spans="1:19" ht="9.75" customHeight="1">
      <c r="A211" s="811"/>
      <c r="B211" s="811"/>
      <c r="D211" s="811">
        <f t="shared" si="7"/>
        <v>0</v>
      </c>
      <c r="E211" s="811"/>
      <c r="J211" s="356"/>
    </row>
    <row r="212" spans="1:19" ht="9.75" customHeight="1">
      <c r="A212" s="808" t="e">
        <f>'DATOS ETIQ'!AA$28</f>
        <v>#N/A</v>
      </c>
      <c r="B212" s="808"/>
      <c r="C212" s="359"/>
      <c r="D212" s="808" t="e">
        <f t="shared" si="7"/>
        <v>#N/A</v>
      </c>
      <c r="E212" s="808"/>
      <c r="J212" s="356"/>
      <c r="N212" s="404"/>
      <c r="O212" s="404"/>
      <c r="P212" s="404"/>
      <c r="Q212" s="404"/>
      <c r="R212" s="404"/>
      <c r="S212" s="404"/>
    </row>
    <row r="213" spans="1:19" ht="9.75" customHeight="1">
      <c r="A213" s="808" t="e">
        <f>'DATOS ETIQ'!AC28</f>
        <v>#N/A</v>
      </c>
      <c r="B213" s="808"/>
      <c r="C213" s="359"/>
      <c r="D213" s="808" t="e">
        <f t="shared" si="7"/>
        <v>#N/A</v>
      </c>
      <c r="E213" s="808"/>
      <c r="J213" s="356"/>
    </row>
    <row r="214" spans="1:19" ht="9.75" customHeight="1" thickBot="1">
      <c r="A214" s="360" t="str">
        <f ca="1">"F.Elab: "&amp;TEXT('FORMATO DIL'!$B$5,"dd/mm/yy")</f>
        <v>F.Elab: 04/08/22</v>
      </c>
      <c r="B214" s="360" t="e">
        <f ca="1">'DATOS ETIQ'!H$28</f>
        <v>#N/A</v>
      </c>
      <c r="C214" s="359"/>
      <c r="D214" s="360" t="str">
        <f ca="1">A214</f>
        <v>F.Elab: 04/08/22</v>
      </c>
      <c r="E214" s="360" t="e">
        <f ca="1">B214</f>
        <v>#N/A</v>
      </c>
      <c r="J214" s="356"/>
    </row>
    <row r="215" spans="1:19" ht="9.75" customHeight="1">
      <c r="A215" s="810" t="str">
        <f>"Lt: "&amp;'DATOS ETIQ'!I$28</f>
        <v xml:space="preserve">Lt: </v>
      </c>
      <c r="B215" s="810"/>
      <c r="D215" s="810" t="str">
        <f>A215</f>
        <v xml:space="preserve">Lt: </v>
      </c>
      <c r="E215" s="810"/>
      <c r="G215" s="800" t="e">
        <f>'FR PD 001 V1'!T32</f>
        <v>#N/A</v>
      </c>
      <c r="J215" s="800">
        <v>27</v>
      </c>
    </row>
    <row r="216" spans="1:19" ht="9.75" customHeight="1" thickBot="1">
      <c r="A216" s="808" t="str">
        <f>'DATOS ETIQ'!J$28&amp;"  "&amp;'DATOS ETIQ'!K$28</f>
        <v xml:space="preserve">  0</v>
      </c>
      <c r="B216" s="808"/>
      <c r="C216" s="359"/>
      <c r="D216" s="808" t="str">
        <f t="shared" si="7"/>
        <v xml:space="preserve">  0</v>
      </c>
      <c r="E216" s="808"/>
      <c r="G216" s="801"/>
      <c r="J216" s="801"/>
    </row>
    <row r="217" spans="1:19" ht="9.75" customHeight="1">
      <c r="A217" s="811" t="str">
        <f>"QFP: "&amp;'DATOS ETIQ'!L$28&amp;"   QFV: "&amp;'DATOS ETIQ'!M$28</f>
        <v>QFP: JGARCIA   QFV: ADELTORO</v>
      </c>
      <c r="B217" s="811"/>
      <c r="D217" s="811" t="str">
        <f t="shared" si="7"/>
        <v>QFP: JGARCIA   QFV: ADELTORO</v>
      </c>
      <c r="E217" s="811"/>
      <c r="J217" s="356"/>
    </row>
    <row r="218" spans="1:19" ht="9.75" customHeight="1">
      <c r="A218" s="812" t="str">
        <f>'DATOS ETIQ'!N$28&amp;"   Cama: "&amp;'DATOS ETIQ'!O$28</f>
        <v>C.JPC/SEXTO NTE/SCOOP   Cama: NA</v>
      </c>
      <c r="B218" s="812"/>
      <c r="D218" s="812" t="str">
        <f t="shared" si="7"/>
        <v>C.JPC/SEXTO NTE/SCOOP   Cama: NA</v>
      </c>
      <c r="E218" s="812"/>
      <c r="J218" s="356"/>
    </row>
    <row r="219" spans="1:19" ht="9.75" customHeight="1">
      <c r="A219" s="811"/>
      <c r="B219" s="811"/>
      <c r="D219" s="811">
        <f t="shared" si="7"/>
        <v>0</v>
      </c>
      <c r="E219" s="811"/>
      <c r="J219" s="356"/>
    </row>
    <row r="220" spans="1:19" ht="9.75" customHeight="1">
      <c r="A220" s="808" t="e">
        <f>'DATOS ETIQ'!AA$29</f>
        <v>#N/A</v>
      </c>
      <c r="B220" s="808"/>
      <c r="C220" s="359"/>
      <c r="D220" s="808" t="e">
        <f t="shared" si="7"/>
        <v>#N/A</v>
      </c>
      <c r="E220" s="808"/>
      <c r="J220" s="356"/>
      <c r="N220" s="404"/>
      <c r="O220" s="404"/>
      <c r="P220" s="404"/>
      <c r="Q220" s="404"/>
      <c r="R220" s="404"/>
      <c r="S220" s="404"/>
    </row>
    <row r="221" spans="1:19" ht="9.75" customHeight="1">
      <c r="A221" s="808" t="e">
        <f>'DATOS ETIQ'!AC29</f>
        <v>#N/A</v>
      </c>
      <c r="B221" s="808"/>
      <c r="C221" s="359"/>
      <c r="D221" s="808" t="e">
        <f t="shared" si="7"/>
        <v>#N/A</v>
      </c>
      <c r="E221" s="808"/>
      <c r="J221" s="356"/>
    </row>
    <row r="222" spans="1:19" ht="9.75" customHeight="1" thickBot="1">
      <c r="A222" s="360" t="str">
        <f ca="1">"F.Elab: "&amp;TEXT('FORMATO DIL'!$B$5,"dd/mm/yy")</f>
        <v>F.Elab: 04/08/22</v>
      </c>
      <c r="B222" s="360" t="e">
        <f ca="1">'DATOS ETIQ'!H$29</f>
        <v>#N/A</v>
      </c>
      <c r="C222" s="359"/>
      <c r="D222" s="360" t="str">
        <f ca="1">A222</f>
        <v>F.Elab: 04/08/22</v>
      </c>
      <c r="E222" s="360" t="e">
        <f ca="1">B222</f>
        <v>#N/A</v>
      </c>
      <c r="J222" s="356"/>
    </row>
    <row r="223" spans="1:19" ht="9.75" customHeight="1">
      <c r="A223" s="810" t="str">
        <f>"Lt: "&amp;'DATOS ETIQ'!I$29</f>
        <v xml:space="preserve">Lt: </v>
      </c>
      <c r="B223" s="810"/>
      <c r="D223" s="810" t="str">
        <f>A223</f>
        <v xml:space="preserve">Lt: </v>
      </c>
      <c r="E223" s="810"/>
      <c r="G223" s="800" t="e">
        <f>'FR PD 001 V1'!T33</f>
        <v>#N/A</v>
      </c>
      <c r="J223" s="800">
        <v>28</v>
      </c>
    </row>
    <row r="224" spans="1:19" ht="9.75" customHeight="1" thickBot="1">
      <c r="A224" s="808" t="str">
        <f>'DATOS ETIQ'!J$29&amp;"  "&amp;'DATOS ETIQ'!K$29</f>
        <v xml:space="preserve">  0</v>
      </c>
      <c r="B224" s="808"/>
      <c r="C224" s="359"/>
      <c r="D224" s="808" t="str">
        <f t="shared" si="7"/>
        <v xml:space="preserve">  0</v>
      </c>
      <c r="E224" s="808"/>
      <c r="G224" s="801"/>
      <c r="J224" s="801"/>
    </row>
    <row r="225" spans="1:19" ht="9.75" customHeight="1">
      <c r="A225" s="811" t="str">
        <f>"QFP: "&amp;'DATOS ETIQ'!L$29&amp;"   QFV: "&amp;'DATOS ETIQ'!M$29</f>
        <v>QFP: JGARCIA   QFV: ADELTORO</v>
      </c>
      <c r="B225" s="811"/>
      <c r="D225" s="811" t="str">
        <f t="shared" si="7"/>
        <v>QFP: JGARCIA   QFV: ADELTORO</v>
      </c>
      <c r="E225" s="811"/>
      <c r="J225" s="356"/>
    </row>
    <row r="226" spans="1:19" ht="9.75" customHeight="1">
      <c r="A226" s="812" t="str">
        <f>'DATOS ETIQ'!N$29&amp;"   Cama: "&amp;'DATOS ETIQ'!O$29</f>
        <v>C.JPC/SEXTO NTE/SCOOP   Cama: NA</v>
      </c>
      <c r="B226" s="812"/>
      <c r="D226" s="812" t="str">
        <f t="shared" si="7"/>
        <v>C.JPC/SEXTO NTE/SCOOP   Cama: NA</v>
      </c>
      <c r="E226" s="812"/>
      <c r="J226" s="356"/>
    </row>
    <row r="227" spans="1:19" ht="9.75" customHeight="1">
      <c r="A227" s="811"/>
      <c r="B227" s="811"/>
      <c r="D227" s="811">
        <f t="shared" si="7"/>
        <v>0</v>
      </c>
      <c r="E227" s="811"/>
      <c r="J227" s="356"/>
    </row>
    <row r="228" spans="1:19" ht="9.75" customHeight="1">
      <c r="A228" s="808" t="e">
        <f>'DATOS ETIQ'!AA$30</f>
        <v>#N/A</v>
      </c>
      <c r="B228" s="808"/>
      <c r="C228" s="359"/>
      <c r="D228" s="808" t="e">
        <f t="shared" si="7"/>
        <v>#N/A</v>
      </c>
      <c r="E228" s="808"/>
      <c r="J228" s="356"/>
      <c r="N228" s="404"/>
      <c r="O228" s="404"/>
      <c r="P228" s="404"/>
      <c r="Q228" s="404"/>
      <c r="R228" s="404"/>
      <c r="S228" s="404"/>
    </row>
    <row r="229" spans="1:19" ht="9.75" customHeight="1">
      <c r="A229" s="808" t="e">
        <f>'DATOS ETIQ'!AC30</f>
        <v>#N/A</v>
      </c>
      <c r="B229" s="808"/>
      <c r="C229" s="359"/>
      <c r="D229" s="808" t="e">
        <f t="shared" si="7"/>
        <v>#N/A</v>
      </c>
      <c r="E229" s="808"/>
      <c r="J229" s="356"/>
    </row>
    <row r="230" spans="1:19" ht="9.75" customHeight="1" thickBot="1">
      <c r="A230" s="360" t="str">
        <f ca="1">"F.Elab: "&amp;TEXT('FORMATO DIL'!$B$5,"dd/mm/yy")</f>
        <v>F.Elab: 04/08/22</v>
      </c>
      <c r="B230" s="360" t="e">
        <f ca="1">'DATOS ETIQ'!H$30</f>
        <v>#N/A</v>
      </c>
      <c r="C230" s="359"/>
      <c r="D230" s="360" t="str">
        <f ca="1">A230</f>
        <v>F.Elab: 04/08/22</v>
      </c>
      <c r="E230" s="360" t="e">
        <f ca="1">B230</f>
        <v>#N/A</v>
      </c>
      <c r="J230" s="356"/>
    </row>
    <row r="231" spans="1:19" ht="9.75" customHeight="1">
      <c r="A231" s="810" t="str">
        <f>"Lt: "&amp;'DATOS ETIQ'!I$30</f>
        <v xml:space="preserve">Lt: </v>
      </c>
      <c r="B231" s="810"/>
      <c r="D231" s="810" t="str">
        <f>A231</f>
        <v xml:space="preserve">Lt: </v>
      </c>
      <c r="E231" s="810"/>
      <c r="G231" s="800" t="e">
        <f>'FR PD 001 V1'!T34</f>
        <v>#N/A</v>
      </c>
      <c r="J231" s="800">
        <v>29</v>
      </c>
    </row>
    <row r="232" spans="1:19" ht="9.75" customHeight="1" thickBot="1">
      <c r="A232" s="808" t="str">
        <f>'DATOS ETIQ'!J$30&amp;"  "&amp;'DATOS ETIQ'!K$30</f>
        <v xml:space="preserve">  0</v>
      </c>
      <c r="B232" s="808"/>
      <c r="C232" s="359"/>
      <c r="D232" s="808" t="str">
        <f t="shared" si="7"/>
        <v xml:space="preserve">  0</v>
      </c>
      <c r="E232" s="808"/>
      <c r="G232" s="801"/>
      <c r="J232" s="801"/>
    </row>
    <row r="233" spans="1:19" ht="9.75" customHeight="1">
      <c r="A233" s="811" t="str">
        <f>"QFP: "&amp;'DATOS ETIQ'!L$30&amp;"   QFV: "&amp;'DATOS ETIQ'!M$30</f>
        <v>QFP: JGARCIA   QFV: ADELTORO</v>
      </c>
      <c r="B233" s="811"/>
      <c r="D233" s="811" t="str">
        <f t="shared" si="7"/>
        <v>QFP: JGARCIA   QFV: ADELTORO</v>
      </c>
      <c r="E233" s="811"/>
      <c r="J233" s="356"/>
    </row>
    <row r="234" spans="1:19" ht="9.75" customHeight="1">
      <c r="A234" s="812" t="str">
        <f>'DATOS ETIQ'!N$30&amp;"   Cama: "&amp;'DATOS ETIQ'!O$30</f>
        <v>C.JPC/SEXTO NTE/SCOOP   Cama: NA</v>
      </c>
      <c r="B234" s="812"/>
      <c r="D234" s="812" t="str">
        <f t="shared" si="7"/>
        <v>C.JPC/SEXTO NTE/SCOOP   Cama: NA</v>
      </c>
      <c r="E234" s="812"/>
      <c r="J234" s="356"/>
    </row>
    <row r="235" spans="1:19" ht="9.75" customHeight="1">
      <c r="A235" s="811"/>
      <c r="B235" s="811"/>
      <c r="D235" s="811">
        <f t="shared" si="7"/>
        <v>0</v>
      </c>
      <c r="E235" s="811"/>
      <c r="J235" s="356"/>
    </row>
    <row r="236" spans="1:19" ht="9.75" customHeight="1">
      <c r="A236" s="808" t="e">
        <f>'DATOS ETIQ'!AA$31</f>
        <v>#N/A</v>
      </c>
      <c r="B236" s="808"/>
      <c r="C236" s="359"/>
      <c r="D236" s="808" t="e">
        <f t="shared" si="7"/>
        <v>#N/A</v>
      </c>
      <c r="E236" s="808"/>
      <c r="J236" s="356"/>
      <c r="N236" s="404"/>
      <c r="O236" s="404"/>
      <c r="P236" s="404"/>
      <c r="Q236" s="404"/>
      <c r="R236" s="404"/>
      <c r="S236" s="404"/>
    </row>
    <row r="237" spans="1:19" ht="9.75" customHeight="1">
      <c r="A237" s="808" t="e">
        <f>'DATOS ETIQ'!AC31</f>
        <v>#N/A</v>
      </c>
      <c r="B237" s="808"/>
      <c r="C237" s="359"/>
      <c r="D237" s="808" t="e">
        <f t="shared" ref="D237:D309" si="8">A237</f>
        <v>#N/A</v>
      </c>
      <c r="E237" s="808"/>
      <c r="J237" s="356"/>
    </row>
    <row r="238" spans="1:19" ht="9.75" customHeight="1" thickBot="1">
      <c r="A238" s="360" t="str">
        <f ca="1">"F.Elab: "&amp;TEXT('FORMATO DIL'!$B$5,"dd/mm/yy")</f>
        <v>F.Elab: 04/08/22</v>
      </c>
      <c r="B238" s="360" t="e">
        <f ca="1">'DATOS ETIQ'!H$31</f>
        <v>#N/A</v>
      </c>
      <c r="C238" s="359"/>
      <c r="D238" s="360" t="str">
        <f ca="1">A238</f>
        <v>F.Elab: 04/08/22</v>
      </c>
      <c r="E238" s="360" t="e">
        <f ca="1">B238</f>
        <v>#N/A</v>
      </c>
      <c r="J238" s="356"/>
    </row>
    <row r="239" spans="1:19" ht="9.75" customHeight="1">
      <c r="A239" s="810" t="str">
        <f>"Lt: "&amp;'DATOS ETIQ'!I$31</f>
        <v xml:space="preserve">Lt: </v>
      </c>
      <c r="B239" s="810"/>
      <c r="D239" s="810" t="str">
        <f>A239</f>
        <v xml:space="preserve">Lt: </v>
      </c>
      <c r="E239" s="810"/>
      <c r="G239" s="800" t="e">
        <f>'FR PD 001 V1'!T35</f>
        <v>#N/A</v>
      </c>
      <c r="J239" s="800">
        <v>30</v>
      </c>
    </row>
    <row r="240" spans="1:19" ht="9.75" customHeight="1" thickBot="1">
      <c r="A240" s="808" t="str">
        <f>'DATOS ETIQ'!J$31&amp;"  "&amp;'DATOS ETIQ'!K$31</f>
        <v xml:space="preserve">  0</v>
      </c>
      <c r="B240" s="808"/>
      <c r="C240" s="359"/>
      <c r="D240" s="808" t="str">
        <f t="shared" si="8"/>
        <v xml:space="preserve">  0</v>
      </c>
      <c r="E240" s="808"/>
      <c r="G240" s="801"/>
      <c r="J240" s="801"/>
    </row>
    <row r="241" spans="1:19" ht="9.75" customHeight="1">
      <c r="A241" s="811" t="str">
        <f>"QFP: "&amp;'DATOS ETIQ'!L$31&amp;"   QFV: "&amp;'DATOS ETIQ'!M$31</f>
        <v>QFP: JGARCIA   QFV: ADELTORO</v>
      </c>
      <c r="B241" s="811"/>
      <c r="D241" s="811" t="str">
        <f t="shared" si="8"/>
        <v>QFP: JGARCIA   QFV: ADELTORO</v>
      </c>
      <c r="E241" s="811"/>
      <c r="J241" s="356"/>
    </row>
    <row r="242" spans="1:19" ht="9.75" customHeight="1">
      <c r="A242" s="812" t="str">
        <f>'DATOS ETIQ'!N$31&amp;"   Cama: "&amp;'DATOS ETIQ'!O$31</f>
        <v>C.JPC/SEXTO NTE/SCOOP   Cama: NA</v>
      </c>
      <c r="B242" s="812"/>
      <c r="D242" s="812" t="str">
        <f t="shared" si="8"/>
        <v>C.JPC/SEXTO NTE/SCOOP   Cama: NA</v>
      </c>
      <c r="E242" s="812"/>
      <c r="J242" s="356"/>
    </row>
    <row r="243" spans="1:19" ht="9.75" customHeight="1">
      <c r="A243" s="811"/>
      <c r="B243" s="811"/>
      <c r="D243" s="811">
        <f t="shared" si="8"/>
        <v>0</v>
      </c>
      <c r="E243" s="811"/>
      <c r="J243" s="356"/>
    </row>
    <row r="244" spans="1:19" ht="9.75" customHeight="1">
      <c r="A244" s="808" t="e">
        <f>'DATOS ETIQ'!AA$32</f>
        <v>#N/A</v>
      </c>
      <c r="B244" s="808"/>
      <c r="C244" s="359"/>
      <c r="D244" s="808" t="e">
        <f t="shared" si="8"/>
        <v>#N/A</v>
      </c>
      <c r="E244" s="808"/>
      <c r="J244" s="356"/>
      <c r="N244" s="404"/>
      <c r="O244" s="404"/>
      <c r="P244" s="404"/>
      <c r="Q244" s="404"/>
      <c r="R244" s="404"/>
      <c r="S244" s="404"/>
    </row>
    <row r="245" spans="1:19" ht="9.75" customHeight="1">
      <c r="A245" s="808" t="e">
        <f>'DATOS ETIQ'!AC32</f>
        <v>#N/A</v>
      </c>
      <c r="B245" s="808"/>
      <c r="C245" s="359"/>
      <c r="D245" s="808" t="e">
        <f t="shared" si="8"/>
        <v>#N/A</v>
      </c>
      <c r="E245" s="808"/>
      <c r="J245" s="356"/>
    </row>
    <row r="246" spans="1:19" ht="9.75" customHeight="1" thickBot="1">
      <c r="A246" s="360" t="str">
        <f ca="1">"F.Elab: "&amp;TEXT('FORMATO DIL'!$B$5,"dd/mm/yy")</f>
        <v>F.Elab: 04/08/22</v>
      </c>
      <c r="B246" s="360" t="e">
        <f ca="1">'DATOS ETIQ'!H$32</f>
        <v>#N/A</v>
      </c>
      <c r="C246" s="359"/>
      <c r="D246" s="360" t="str">
        <f ca="1">A246</f>
        <v>F.Elab: 04/08/22</v>
      </c>
      <c r="E246" s="360" t="e">
        <f ca="1">B246</f>
        <v>#N/A</v>
      </c>
      <c r="J246" s="356"/>
    </row>
    <row r="247" spans="1:19" ht="9.75" customHeight="1">
      <c r="A247" s="810" t="str">
        <f>"Lt: "&amp;'DATOS ETIQ'!I$32</f>
        <v xml:space="preserve">Lt: </v>
      </c>
      <c r="B247" s="810"/>
      <c r="D247" s="810" t="str">
        <f>A247</f>
        <v xml:space="preserve">Lt: </v>
      </c>
      <c r="E247" s="810"/>
      <c r="G247" s="800" t="e">
        <f>'FR PD 001 V1'!T36</f>
        <v>#N/A</v>
      </c>
      <c r="J247" s="800">
        <v>31</v>
      </c>
    </row>
    <row r="248" spans="1:19" ht="9.75" customHeight="1" thickBot="1">
      <c r="A248" s="808" t="str">
        <f>'DATOS ETIQ'!J$32&amp;"  "&amp;'DATOS ETIQ'!K$32</f>
        <v xml:space="preserve">  0</v>
      </c>
      <c r="B248" s="808"/>
      <c r="C248" s="359"/>
      <c r="D248" s="808" t="str">
        <f t="shared" si="8"/>
        <v xml:space="preserve">  0</v>
      </c>
      <c r="E248" s="808"/>
      <c r="G248" s="801"/>
      <c r="J248" s="801"/>
    </row>
    <row r="249" spans="1:19" ht="9.75" customHeight="1">
      <c r="A249" s="811" t="str">
        <f>"QFP: "&amp;'DATOS ETIQ'!L$32&amp;"   QFV: "&amp;'DATOS ETIQ'!M$32</f>
        <v>QFP: JGARCIA   QFV: ADELTORO</v>
      </c>
      <c r="B249" s="811"/>
      <c r="D249" s="811" t="str">
        <f t="shared" si="8"/>
        <v>QFP: JGARCIA   QFV: ADELTORO</v>
      </c>
      <c r="E249" s="811"/>
      <c r="J249" s="356"/>
    </row>
    <row r="250" spans="1:19" ht="9.75" customHeight="1">
      <c r="A250" s="812" t="str">
        <f>'DATOS ETIQ'!N$32&amp;"   Cama: "&amp;'DATOS ETIQ'!O$32</f>
        <v>C.JPC/SEXTO NTE/SCOOP   Cama: NA</v>
      </c>
      <c r="B250" s="812"/>
      <c r="D250" s="812" t="str">
        <f t="shared" si="8"/>
        <v>C.JPC/SEXTO NTE/SCOOP   Cama: NA</v>
      </c>
      <c r="E250" s="812"/>
      <c r="J250" s="356"/>
    </row>
    <row r="251" spans="1:19" ht="9.75" customHeight="1">
      <c r="A251" s="811"/>
      <c r="B251" s="811"/>
      <c r="D251" s="811">
        <f t="shared" si="8"/>
        <v>0</v>
      </c>
      <c r="E251" s="811"/>
      <c r="J251" s="356"/>
    </row>
    <row r="252" spans="1:19" ht="9.75" customHeight="1">
      <c r="A252" s="808" t="e">
        <f>'DATOS ETIQ'!AA$33</f>
        <v>#N/A</v>
      </c>
      <c r="B252" s="808"/>
      <c r="C252" s="359"/>
      <c r="D252" s="808" t="e">
        <f t="shared" si="8"/>
        <v>#N/A</v>
      </c>
      <c r="E252" s="808"/>
      <c r="J252" s="356"/>
      <c r="N252" s="404"/>
      <c r="O252" s="404"/>
      <c r="P252" s="404"/>
      <c r="Q252" s="404"/>
      <c r="R252" s="404"/>
      <c r="S252" s="404"/>
    </row>
    <row r="253" spans="1:19" ht="9.75" customHeight="1">
      <c r="A253" s="808" t="e">
        <f>'DATOS ETIQ'!AC33</f>
        <v>#N/A</v>
      </c>
      <c r="B253" s="808"/>
      <c r="C253" s="359"/>
      <c r="D253" s="808" t="e">
        <f t="shared" si="8"/>
        <v>#N/A</v>
      </c>
      <c r="E253" s="808"/>
      <c r="J253" s="356"/>
    </row>
    <row r="254" spans="1:19" ht="9.75" customHeight="1" thickBot="1">
      <c r="A254" s="360" t="str">
        <f ca="1">"F.Elab: "&amp;TEXT('FORMATO DIL'!$B$5,"dd/mm/yy")</f>
        <v>F.Elab: 04/08/22</v>
      </c>
      <c r="B254" s="360" t="e">
        <f ca="1">'DATOS ETIQ'!H$33</f>
        <v>#N/A</v>
      </c>
      <c r="C254" s="359"/>
      <c r="D254" s="360" t="str">
        <f ca="1">A254</f>
        <v>F.Elab: 04/08/22</v>
      </c>
      <c r="E254" s="360" t="e">
        <f ca="1">B254</f>
        <v>#N/A</v>
      </c>
      <c r="J254" s="356"/>
    </row>
    <row r="255" spans="1:19" ht="9.75" customHeight="1">
      <c r="A255" s="810" t="str">
        <f>"Lt: "&amp;'DATOS ETIQ'!I$33</f>
        <v xml:space="preserve">Lt: </v>
      </c>
      <c r="B255" s="810"/>
      <c r="D255" s="810" t="str">
        <f>A255</f>
        <v xml:space="preserve">Lt: </v>
      </c>
      <c r="E255" s="810"/>
      <c r="G255" s="800" t="e">
        <f>'FR PD 001 V1'!T37</f>
        <v>#N/A</v>
      </c>
      <c r="J255" s="800">
        <v>32</v>
      </c>
    </row>
    <row r="256" spans="1:19" ht="9.75" customHeight="1" thickBot="1">
      <c r="A256" s="808" t="str">
        <f>'DATOS ETIQ'!J$33&amp;"  "&amp;'DATOS ETIQ'!K$33</f>
        <v xml:space="preserve">  0</v>
      </c>
      <c r="B256" s="808"/>
      <c r="C256" s="359"/>
      <c r="D256" s="808" t="str">
        <f t="shared" si="8"/>
        <v xml:space="preserve">  0</v>
      </c>
      <c r="E256" s="808"/>
      <c r="G256" s="801"/>
      <c r="J256" s="801"/>
    </row>
    <row r="257" spans="1:19" ht="9.75" customHeight="1">
      <c r="A257" s="811" t="str">
        <f>"QFP: "&amp;'DATOS ETIQ'!L$33&amp;"   QFV: "&amp;'DATOS ETIQ'!M$33</f>
        <v>QFP: JGARCIA   QFV: ADELTORO</v>
      </c>
      <c r="B257" s="811"/>
      <c r="D257" s="811" t="str">
        <f t="shared" si="8"/>
        <v>QFP: JGARCIA   QFV: ADELTORO</v>
      </c>
      <c r="E257" s="811"/>
      <c r="J257" s="356"/>
    </row>
    <row r="258" spans="1:19" ht="9.75" customHeight="1">
      <c r="A258" s="812" t="str">
        <f>'DATOS ETIQ'!N$33&amp;"   Cama: "&amp;'DATOS ETIQ'!O$33</f>
        <v>C.JPC/SEXTO NTE/SCOOP   Cama: NA</v>
      </c>
      <c r="B258" s="812"/>
      <c r="D258" s="812" t="str">
        <f t="shared" si="8"/>
        <v>C.JPC/SEXTO NTE/SCOOP   Cama: NA</v>
      </c>
      <c r="E258" s="812"/>
      <c r="J258" s="356"/>
    </row>
    <row r="259" spans="1:19" ht="9.75" customHeight="1">
      <c r="A259" s="811"/>
      <c r="B259" s="811"/>
      <c r="D259" s="811">
        <f t="shared" si="8"/>
        <v>0</v>
      </c>
      <c r="E259" s="811"/>
      <c r="J259" s="356"/>
    </row>
    <row r="260" spans="1:19" ht="9.75" customHeight="1">
      <c r="A260" s="808" t="e">
        <f>'DATOS ETIQ'!AA$34</f>
        <v>#N/A</v>
      </c>
      <c r="B260" s="808"/>
      <c r="C260" s="359"/>
      <c r="D260" s="808" t="e">
        <f t="shared" si="8"/>
        <v>#N/A</v>
      </c>
      <c r="E260" s="808"/>
      <c r="J260" s="356"/>
      <c r="N260" s="404"/>
      <c r="O260" s="404"/>
      <c r="P260" s="404"/>
      <c r="Q260" s="404"/>
      <c r="R260" s="404"/>
      <c r="S260" s="404"/>
    </row>
    <row r="261" spans="1:19" ht="9.75" customHeight="1">
      <c r="A261" s="808" t="e">
        <f>'DATOS ETIQ'!AC34</f>
        <v>#N/A</v>
      </c>
      <c r="B261" s="808"/>
      <c r="C261" s="359"/>
      <c r="D261" s="808" t="e">
        <f t="shared" si="8"/>
        <v>#N/A</v>
      </c>
      <c r="E261" s="808"/>
      <c r="J261" s="356"/>
    </row>
    <row r="262" spans="1:19" ht="9.75" customHeight="1" thickBot="1">
      <c r="A262" s="360" t="str">
        <f ca="1">"F.Elab: "&amp;TEXT('FORMATO DIL'!$B$5,"dd/mm/yy")</f>
        <v>F.Elab: 04/08/22</v>
      </c>
      <c r="B262" s="360" t="e">
        <f ca="1">'DATOS ETIQ'!H$34</f>
        <v>#N/A</v>
      </c>
      <c r="C262" s="359"/>
      <c r="D262" s="360" t="str">
        <f ca="1">A262</f>
        <v>F.Elab: 04/08/22</v>
      </c>
      <c r="E262" s="360" t="e">
        <f ca="1">B262</f>
        <v>#N/A</v>
      </c>
      <c r="J262" s="356"/>
    </row>
    <row r="263" spans="1:19" ht="9.75" customHeight="1">
      <c r="A263" s="810" t="str">
        <f>"Lt: "&amp;'DATOS ETIQ'!I$34</f>
        <v xml:space="preserve">Lt: </v>
      </c>
      <c r="B263" s="810"/>
      <c r="D263" s="810" t="str">
        <f>A263</f>
        <v xml:space="preserve">Lt: </v>
      </c>
      <c r="E263" s="810"/>
      <c r="G263" s="800" t="e">
        <f>'FR PD 001 V1'!T38</f>
        <v>#N/A</v>
      </c>
      <c r="J263" s="800">
        <v>33</v>
      </c>
    </row>
    <row r="264" spans="1:19" ht="9.75" customHeight="1" thickBot="1">
      <c r="A264" s="808" t="str">
        <f>'DATOS ETIQ'!J$34&amp;"  "&amp;'DATOS ETIQ'!K$34</f>
        <v xml:space="preserve">  0</v>
      </c>
      <c r="B264" s="808"/>
      <c r="C264" s="359"/>
      <c r="D264" s="808" t="str">
        <f t="shared" si="8"/>
        <v xml:space="preserve">  0</v>
      </c>
      <c r="E264" s="808"/>
      <c r="G264" s="801"/>
      <c r="J264" s="801"/>
    </row>
    <row r="265" spans="1:19" ht="9.75" customHeight="1">
      <c r="A265" s="811" t="str">
        <f>"QFP: "&amp;'DATOS ETIQ'!L$34&amp;"   QFV: "&amp;'DATOS ETIQ'!M$34</f>
        <v>QFP: JGARCIA   QFV: ADELTORO</v>
      </c>
      <c r="B265" s="811"/>
      <c r="D265" s="811" t="str">
        <f t="shared" si="8"/>
        <v>QFP: JGARCIA   QFV: ADELTORO</v>
      </c>
      <c r="E265" s="811"/>
      <c r="J265" s="356"/>
    </row>
    <row r="266" spans="1:19" ht="9.75" customHeight="1">
      <c r="A266" s="812" t="str">
        <f>'DATOS ETIQ'!N$34&amp;"   Cama: "&amp;'DATOS ETIQ'!O$34</f>
        <v>C.JPC/SEXTO NTE/SCOOP   Cama: NA</v>
      </c>
      <c r="B266" s="812"/>
      <c r="D266" s="812" t="str">
        <f t="shared" si="8"/>
        <v>C.JPC/SEXTO NTE/SCOOP   Cama: NA</v>
      </c>
      <c r="E266" s="812"/>
      <c r="J266" s="356"/>
    </row>
    <row r="267" spans="1:19" ht="9.75" customHeight="1">
      <c r="A267" s="811"/>
      <c r="B267" s="811"/>
      <c r="D267" s="811">
        <f t="shared" si="8"/>
        <v>0</v>
      </c>
      <c r="E267" s="811"/>
      <c r="J267" s="356"/>
    </row>
    <row r="268" spans="1:19" ht="9.75" customHeight="1">
      <c r="A268" s="808" t="e">
        <f>'DATOS ETIQ'!AA$35</f>
        <v>#N/A</v>
      </c>
      <c r="B268" s="808"/>
      <c r="C268" s="359"/>
      <c r="D268" s="808" t="e">
        <f t="shared" si="8"/>
        <v>#N/A</v>
      </c>
      <c r="E268" s="808"/>
      <c r="J268" s="356"/>
      <c r="N268" s="404"/>
      <c r="O268" s="404"/>
      <c r="P268" s="404"/>
      <c r="Q268" s="404"/>
      <c r="R268" s="404"/>
      <c r="S268" s="404"/>
    </row>
    <row r="269" spans="1:19" ht="9.75" customHeight="1">
      <c r="A269" s="808" t="e">
        <f>'DATOS ETIQ'!AC35</f>
        <v>#N/A</v>
      </c>
      <c r="B269" s="808"/>
      <c r="C269" s="359"/>
      <c r="D269" s="808" t="e">
        <f t="shared" si="8"/>
        <v>#N/A</v>
      </c>
      <c r="E269" s="808"/>
      <c r="J269" s="356"/>
    </row>
    <row r="270" spans="1:19" ht="9.75" customHeight="1" thickBot="1">
      <c r="A270" s="360" t="str">
        <f ca="1">"F.Elab: "&amp;TEXT('FORMATO DIL'!$B$5,"dd/mm/yy")</f>
        <v>F.Elab: 04/08/22</v>
      </c>
      <c r="B270" s="360" t="e">
        <f ca="1">'DATOS ETIQ'!H$35</f>
        <v>#N/A</v>
      </c>
      <c r="C270" s="359"/>
      <c r="D270" s="360" t="str">
        <f ca="1">A270</f>
        <v>F.Elab: 04/08/22</v>
      </c>
      <c r="E270" s="360" t="e">
        <f ca="1">B270</f>
        <v>#N/A</v>
      </c>
      <c r="J270" s="356"/>
    </row>
    <row r="271" spans="1:19" ht="9.75" customHeight="1">
      <c r="A271" s="810" t="str">
        <f>"Lt: "&amp;'DATOS ETIQ'!I$35</f>
        <v xml:space="preserve">Lt: </v>
      </c>
      <c r="B271" s="810"/>
      <c r="D271" s="810" t="str">
        <f>A271</f>
        <v xml:space="preserve">Lt: </v>
      </c>
      <c r="E271" s="810"/>
      <c r="G271" s="800" t="e">
        <f>'FR PD 001 V1'!T39</f>
        <v>#N/A</v>
      </c>
      <c r="J271" s="800">
        <v>34</v>
      </c>
    </row>
    <row r="272" spans="1:19" ht="9.75" customHeight="1" thickBot="1">
      <c r="A272" s="808" t="str">
        <f>'DATOS ETIQ'!J$35&amp;"  "&amp;'DATOS ETIQ'!K$35</f>
        <v xml:space="preserve">  0</v>
      </c>
      <c r="B272" s="808"/>
      <c r="C272" s="359"/>
      <c r="D272" s="808" t="str">
        <f t="shared" si="8"/>
        <v xml:space="preserve">  0</v>
      </c>
      <c r="E272" s="808"/>
      <c r="G272" s="801"/>
      <c r="J272" s="801"/>
    </row>
    <row r="273" spans="1:19" ht="9.75" customHeight="1">
      <c r="A273" s="811" t="str">
        <f>"QFP: "&amp;'DATOS ETIQ'!L$35&amp;"   QFV: "&amp;'DATOS ETIQ'!M$35</f>
        <v>QFP: JGARCIA   QFV: ADELTORO</v>
      </c>
      <c r="B273" s="811"/>
      <c r="D273" s="811" t="str">
        <f t="shared" si="8"/>
        <v>QFP: JGARCIA   QFV: ADELTORO</v>
      </c>
      <c r="E273" s="811"/>
      <c r="J273" s="356"/>
    </row>
    <row r="274" spans="1:19" ht="9.75" customHeight="1">
      <c r="A274" s="812" t="str">
        <f>'DATOS ETIQ'!N$35&amp;"   Cama: "&amp;'DATOS ETIQ'!O$35</f>
        <v>C.JPC/SEXTO NTE/SCOOP   Cama: NA</v>
      </c>
      <c r="B274" s="812"/>
      <c r="D274" s="812" t="str">
        <f t="shared" si="8"/>
        <v>C.JPC/SEXTO NTE/SCOOP   Cama: NA</v>
      </c>
      <c r="E274" s="812"/>
      <c r="J274" s="356"/>
    </row>
    <row r="275" spans="1:19" ht="9.75" customHeight="1">
      <c r="A275" s="811"/>
      <c r="B275" s="811"/>
      <c r="D275" s="811">
        <f t="shared" si="8"/>
        <v>0</v>
      </c>
      <c r="E275" s="811"/>
      <c r="J275" s="356"/>
    </row>
    <row r="276" spans="1:19" ht="9.75" customHeight="1">
      <c r="A276" s="808" t="e">
        <f>'DATOS ETIQ'!AA$36</f>
        <v>#N/A</v>
      </c>
      <c r="B276" s="808"/>
      <c r="C276" s="359"/>
      <c r="D276" s="808" t="e">
        <f t="shared" si="8"/>
        <v>#N/A</v>
      </c>
      <c r="E276" s="808"/>
      <c r="J276" s="356"/>
      <c r="N276" s="404"/>
      <c r="O276" s="404"/>
      <c r="P276" s="404"/>
      <c r="Q276" s="404"/>
      <c r="R276" s="404"/>
      <c r="S276" s="404"/>
    </row>
    <row r="277" spans="1:19" ht="9.75" customHeight="1">
      <c r="A277" s="808" t="e">
        <f>'DATOS ETIQ'!AC36</f>
        <v>#N/A</v>
      </c>
      <c r="B277" s="808"/>
      <c r="C277" s="359"/>
      <c r="D277" s="808" t="e">
        <f t="shared" si="8"/>
        <v>#N/A</v>
      </c>
      <c r="E277" s="808"/>
      <c r="J277" s="356"/>
    </row>
    <row r="278" spans="1:19" ht="9.75" customHeight="1" thickBot="1">
      <c r="A278" s="360" t="str">
        <f ca="1">"F.Elab: "&amp;TEXT('FORMATO DIL'!$B$5,"dd/mm/yy")</f>
        <v>F.Elab: 04/08/22</v>
      </c>
      <c r="B278" s="360" t="e">
        <f ca="1">'DATOS ETIQ'!H$36</f>
        <v>#N/A</v>
      </c>
      <c r="C278" s="359"/>
      <c r="D278" s="360" t="str">
        <f ca="1">A278</f>
        <v>F.Elab: 04/08/22</v>
      </c>
      <c r="E278" s="360" t="e">
        <f ca="1">B278</f>
        <v>#N/A</v>
      </c>
      <c r="J278" s="356"/>
    </row>
    <row r="279" spans="1:19" ht="9.75" customHeight="1">
      <c r="A279" s="810" t="str">
        <f>"Lt: "&amp;'DATOS ETIQ'!I$36</f>
        <v xml:space="preserve">Lt: </v>
      </c>
      <c r="B279" s="810"/>
      <c r="D279" s="810" t="str">
        <f>A279</f>
        <v xml:space="preserve">Lt: </v>
      </c>
      <c r="E279" s="810"/>
      <c r="G279" s="800" t="e">
        <f>'FR PD 001 V1'!T40</f>
        <v>#N/A</v>
      </c>
      <c r="J279" s="800">
        <v>35</v>
      </c>
    </row>
    <row r="280" spans="1:19" ht="9.75" customHeight="1" thickBot="1">
      <c r="A280" s="808" t="str">
        <f>'DATOS ETIQ'!J$36&amp;"  "&amp;'DATOS ETIQ'!K$36</f>
        <v xml:space="preserve">  0</v>
      </c>
      <c r="B280" s="808"/>
      <c r="C280" s="359"/>
      <c r="D280" s="808" t="str">
        <f t="shared" si="8"/>
        <v xml:space="preserve">  0</v>
      </c>
      <c r="E280" s="808"/>
      <c r="G280" s="801"/>
      <c r="J280" s="801"/>
    </row>
    <row r="281" spans="1:19" ht="9.75" customHeight="1">
      <c r="A281" s="811" t="str">
        <f>"QFP: "&amp;'DATOS ETIQ'!L$36&amp;"   QFV: "&amp;'DATOS ETIQ'!M$36</f>
        <v>QFP: JGARCIA   QFV: ADELTORO</v>
      </c>
      <c r="B281" s="811"/>
      <c r="D281" s="811" t="str">
        <f t="shared" si="8"/>
        <v>QFP: JGARCIA   QFV: ADELTORO</v>
      </c>
      <c r="E281" s="811"/>
      <c r="J281" s="356"/>
    </row>
    <row r="282" spans="1:19" ht="9.75" customHeight="1">
      <c r="A282" s="812" t="str">
        <f>'DATOS ETIQ'!N$36&amp;"   Cama: "&amp;'DATOS ETIQ'!O$36</f>
        <v>C.JPC/SEXTO NTE/SCOOP   Cama: NA</v>
      </c>
      <c r="B282" s="812"/>
      <c r="D282" s="812" t="str">
        <f t="shared" si="8"/>
        <v>C.JPC/SEXTO NTE/SCOOP   Cama: NA</v>
      </c>
      <c r="E282" s="812"/>
      <c r="J282" s="356"/>
    </row>
    <row r="283" spans="1:19" ht="9.75" customHeight="1">
      <c r="A283" s="811"/>
      <c r="B283" s="811"/>
      <c r="D283" s="811">
        <f t="shared" si="8"/>
        <v>0</v>
      </c>
      <c r="E283" s="811"/>
      <c r="J283" s="356"/>
    </row>
    <row r="284" spans="1:19" ht="9.75" customHeight="1">
      <c r="A284" s="808" t="e">
        <f>'DATOS ETIQ'!AA$37</f>
        <v>#N/A</v>
      </c>
      <c r="B284" s="808"/>
      <c r="C284" s="359"/>
      <c r="D284" s="808" t="e">
        <f t="shared" si="8"/>
        <v>#N/A</v>
      </c>
      <c r="E284" s="808"/>
      <c r="J284" s="356"/>
      <c r="N284" s="404"/>
      <c r="O284" s="404"/>
      <c r="P284" s="404"/>
      <c r="Q284" s="404"/>
      <c r="R284" s="404"/>
      <c r="S284" s="404"/>
    </row>
    <row r="285" spans="1:19" ht="9.75" customHeight="1">
      <c r="A285" s="808" t="e">
        <f>'DATOS ETIQ'!AC37</f>
        <v>#N/A</v>
      </c>
      <c r="B285" s="808"/>
      <c r="C285" s="359"/>
      <c r="D285" s="808" t="e">
        <f t="shared" si="8"/>
        <v>#N/A</v>
      </c>
      <c r="E285" s="808"/>
      <c r="J285" s="356"/>
    </row>
    <row r="286" spans="1:19" ht="9.75" customHeight="1" thickBot="1">
      <c r="A286" s="360" t="str">
        <f ca="1">"F.Elab: "&amp;TEXT('FORMATO DIL'!$B$5,"dd/mm/yy")</f>
        <v>F.Elab: 04/08/22</v>
      </c>
      <c r="B286" s="360" t="e">
        <f ca="1">'DATOS ETIQ'!H$37</f>
        <v>#N/A</v>
      </c>
      <c r="C286" s="359"/>
      <c r="D286" s="360" t="str">
        <f ca="1">A286</f>
        <v>F.Elab: 04/08/22</v>
      </c>
      <c r="E286" s="360" t="e">
        <f ca="1">B286</f>
        <v>#N/A</v>
      </c>
      <c r="J286" s="356"/>
    </row>
    <row r="287" spans="1:19" ht="9.75" customHeight="1">
      <c r="A287" s="810" t="str">
        <f>"Lt: "&amp;'DATOS ETIQ'!I$37</f>
        <v xml:space="preserve">Lt: </v>
      </c>
      <c r="B287" s="810"/>
      <c r="D287" s="810" t="str">
        <f>A287</f>
        <v xml:space="preserve">Lt: </v>
      </c>
      <c r="E287" s="810"/>
      <c r="G287" s="800" t="e">
        <f>'FR PD 001 V1'!T41</f>
        <v>#N/A</v>
      </c>
      <c r="J287" s="800">
        <v>36</v>
      </c>
    </row>
    <row r="288" spans="1:19" ht="9.75" customHeight="1" thickBot="1">
      <c r="A288" s="808" t="str">
        <f>'DATOS ETIQ'!J$37&amp;"  "&amp;'DATOS ETIQ'!K$37</f>
        <v xml:space="preserve">  0</v>
      </c>
      <c r="B288" s="808"/>
      <c r="C288" s="359"/>
      <c r="D288" s="808" t="str">
        <f t="shared" si="8"/>
        <v xml:space="preserve">  0</v>
      </c>
      <c r="E288" s="808"/>
      <c r="G288" s="801"/>
      <c r="J288" s="801"/>
    </row>
    <row r="289" spans="1:19" ht="9.75" customHeight="1">
      <c r="A289" s="811" t="str">
        <f>"QFP: "&amp;'DATOS ETIQ'!L$37&amp;"   QFV: "&amp;'DATOS ETIQ'!M$37</f>
        <v>QFP: JGARCIA   QFV: ADELTORO</v>
      </c>
      <c r="B289" s="811"/>
      <c r="D289" s="811" t="str">
        <f t="shared" si="8"/>
        <v>QFP: JGARCIA   QFV: ADELTORO</v>
      </c>
      <c r="E289" s="811"/>
      <c r="J289" s="356"/>
    </row>
    <row r="290" spans="1:19" ht="9.75" customHeight="1">
      <c r="A290" s="812" t="str">
        <f>'DATOS ETIQ'!N$37&amp;"   Cama: "&amp;'DATOS ETIQ'!O$37</f>
        <v>C.JPC/SEXTO NTE/SCOOP   Cama: NA</v>
      </c>
      <c r="B290" s="812"/>
      <c r="D290" s="812" t="str">
        <f t="shared" si="8"/>
        <v>C.JPC/SEXTO NTE/SCOOP   Cama: NA</v>
      </c>
      <c r="E290" s="812"/>
      <c r="J290" s="356"/>
    </row>
    <row r="291" spans="1:19" ht="9.75" customHeight="1">
      <c r="A291" s="811"/>
      <c r="B291" s="811"/>
      <c r="D291" s="811">
        <f t="shared" si="8"/>
        <v>0</v>
      </c>
      <c r="E291" s="811"/>
      <c r="J291" s="356"/>
    </row>
    <row r="292" spans="1:19" ht="9.75" customHeight="1">
      <c r="A292" s="808" t="e">
        <f>'DATOS ETIQ'!AA$38</f>
        <v>#N/A</v>
      </c>
      <c r="B292" s="808"/>
      <c r="C292" s="359"/>
      <c r="D292" s="808" t="e">
        <f t="shared" si="8"/>
        <v>#N/A</v>
      </c>
      <c r="E292" s="808"/>
      <c r="J292" s="356"/>
      <c r="N292" s="404"/>
      <c r="O292" s="404"/>
      <c r="P292" s="404"/>
      <c r="Q292" s="404"/>
      <c r="R292" s="404"/>
      <c r="S292" s="404"/>
    </row>
    <row r="293" spans="1:19" ht="9.75" customHeight="1">
      <c r="A293" s="808" t="e">
        <f>'DATOS ETIQ'!AC38</f>
        <v>#N/A</v>
      </c>
      <c r="B293" s="808"/>
      <c r="C293" s="359"/>
      <c r="D293" s="808" t="e">
        <f t="shared" si="8"/>
        <v>#N/A</v>
      </c>
      <c r="E293" s="808"/>
      <c r="J293" s="356"/>
    </row>
    <row r="294" spans="1:19" ht="9.75" customHeight="1" thickBot="1">
      <c r="A294" s="360" t="str">
        <f ca="1">"F.Elab: "&amp;TEXT('FORMATO DIL'!$B$5,"dd/mm/yy")</f>
        <v>F.Elab: 04/08/22</v>
      </c>
      <c r="B294" s="360" t="e">
        <f ca="1">'DATOS ETIQ'!H$38</f>
        <v>#N/A</v>
      </c>
      <c r="C294" s="359"/>
      <c r="D294" s="360" t="str">
        <f ca="1">A294</f>
        <v>F.Elab: 04/08/22</v>
      </c>
      <c r="E294" s="360" t="e">
        <f ca="1">B294</f>
        <v>#N/A</v>
      </c>
      <c r="J294" s="356"/>
    </row>
    <row r="295" spans="1:19" ht="9.75" customHeight="1">
      <c r="A295" s="810" t="str">
        <f>"Lt: "&amp;'DATOS ETIQ'!I$38</f>
        <v xml:space="preserve">Lt: </v>
      </c>
      <c r="B295" s="810"/>
      <c r="D295" s="810" t="str">
        <f>A295</f>
        <v xml:space="preserve">Lt: </v>
      </c>
      <c r="E295" s="810"/>
      <c r="G295" s="800" t="e">
        <f>'FR PD 001 V1'!T42</f>
        <v>#N/A</v>
      </c>
      <c r="J295" s="800">
        <v>37</v>
      </c>
    </row>
    <row r="296" spans="1:19" ht="9.75" customHeight="1" thickBot="1">
      <c r="A296" s="808" t="str">
        <f>'DATOS ETIQ'!J$38&amp;"  "&amp;'DATOS ETIQ'!K$38</f>
        <v xml:space="preserve">  0</v>
      </c>
      <c r="B296" s="808"/>
      <c r="C296" s="359"/>
      <c r="D296" s="808" t="str">
        <f t="shared" si="8"/>
        <v xml:space="preserve">  0</v>
      </c>
      <c r="E296" s="808"/>
      <c r="G296" s="801"/>
      <c r="J296" s="801"/>
    </row>
    <row r="297" spans="1:19" ht="9.75" customHeight="1">
      <c r="A297" s="811" t="str">
        <f>"QFP: "&amp;'DATOS ETIQ'!L$38&amp;"   QFV: "&amp;'DATOS ETIQ'!M$38</f>
        <v>QFP: JGARCIA   QFV: ADELTORO</v>
      </c>
      <c r="B297" s="811"/>
      <c r="D297" s="811" t="str">
        <f t="shared" si="8"/>
        <v>QFP: JGARCIA   QFV: ADELTORO</v>
      </c>
      <c r="E297" s="811"/>
      <c r="J297" s="356"/>
    </row>
    <row r="298" spans="1:19" ht="9.75" customHeight="1">
      <c r="A298" s="812" t="str">
        <f>'DATOS ETIQ'!N$38&amp;"   Cama: "&amp;'DATOS ETIQ'!O$38</f>
        <v>C.JPC/SEXTO NTE/SCOOP   Cama: NA</v>
      </c>
      <c r="B298" s="812"/>
      <c r="D298" s="812" t="str">
        <f t="shared" si="8"/>
        <v>C.JPC/SEXTO NTE/SCOOP   Cama: NA</v>
      </c>
      <c r="E298" s="812"/>
      <c r="J298" s="356"/>
    </row>
    <row r="299" spans="1:19" ht="9.75" customHeight="1">
      <c r="A299" s="811"/>
      <c r="B299" s="811"/>
      <c r="D299" s="811">
        <f t="shared" si="8"/>
        <v>0</v>
      </c>
      <c r="E299" s="811"/>
      <c r="J299" s="356"/>
    </row>
    <row r="300" spans="1:19" ht="9.75" customHeight="1">
      <c r="A300" s="808" t="e">
        <f>'DATOS ETIQ'!AA$39</f>
        <v>#N/A</v>
      </c>
      <c r="B300" s="808"/>
      <c r="C300" s="359"/>
      <c r="D300" s="808" t="e">
        <f t="shared" si="8"/>
        <v>#N/A</v>
      </c>
      <c r="E300" s="808"/>
      <c r="J300" s="356"/>
      <c r="N300" s="404"/>
      <c r="O300" s="404"/>
      <c r="P300" s="404"/>
      <c r="Q300" s="404"/>
      <c r="R300" s="404"/>
      <c r="S300" s="404"/>
    </row>
    <row r="301" spans="1:19" ht="9.75" customHeight="1">
      <c r="A301" s="808" t="e">
        <f>'DATOS ETIQ'!AC39</f>
        <v>#N/A</v>
      </c>
      <c r="B301" s="808"/>
      <c r="C301" s="359"/>
      <c r="D301" s="808" t="e">
        <f t="shared" si="8"/>
        <v>#N/A</v>
      </c>
      <c r="E301" s="808"/>
      <c r="J301" s="356"/>
    </row>
    <row r="302" spans="1:19" ht="9.75" customHeight="1" thickBot="1">
      <c r="A302" s="360" t="str">
        <f ca="1">"F.Elab: "&amp;TEXT('FORMATO DIL'!$B$5,"dd/mm/yy")</f>
        <v>F.Elab: 04/08/22</v>
      </c>
      <c r="B302" s="360" t="e">
        <f ca="1">'DATOS ETIQ'!H$39</f>
        <v>#N/A</v>
      </c>
      <c r="C302" s="359"/>
      <c r="D302" s="360" t="str">
        <f ca="1">A302</f>
        <v>F.Elab: 04/08/22</v>
      </c>
      <c r="E302" s="360" t="e">
        <f ca="1">B302</f>
        <v>#N/A</v>
      </c>
      <c r="J302" s="356"/>
    </row>
    <row r="303" spans="1:19" ht="9.75" customHeight="1">
      <c r="A303" s="810" t="str">
        <f>"Lt: "&amp;'DATOS ETIQ'!I$39</f>
        <v xml:space="preserve">Lt: </v>
      </c>
      <c r="B303" s="810"/>
      <c r="D303" s="810" t="str">
        <f>A303</f>
        <v xml:space="preserve">Lt: </v>
      </c>
      <c r="E303" s="810"/>
      <c r="G303" s="800" t="e">
        <f>'FR PD 001 V1'!T43</f>
        <v>#N/A</v>
      </c>
      <c r="J303" s="800">
        <v>38</v>
      </c>
    </row>
    <row r="304" spans="1:19" ht="9.75" customHeight="1" thickBot="1">
      <c r="A304" s="808" t="str">
        <f>'DATOS ETIQ'!J$39&amp;"  "&amp;'DATOS ETIQ'!K$39</f>
        <v xml:space="preserve">  0</v>
      </c>
      <c r="B304" s="808"/>
      <c r="C304" s="359"/>
      <c r="D304" s="808" t="str">
        <f t="shared" si="8"/>
        <v xml:space="preserve">  0</v>
      </c>
      <c r="E304" s="808"/>
      <c r="G304" s="801"/>
      <c r="J304" s="801"/>
    </row>
    <row r="305" spans="1:19" ht="9.75" customHeight="1">
      <c r="A305" s="811" t="str">
        <f>"QFP: "&amp;'DATOS ETIQ'!L$39&amp;"   QFV: "&amp;'DATOS ETIQ'!M$39</f>
        <v>QFP: JGARCIA   QFV: ADELTORO</v>
      </c>
      <c r="B305" s="811"/>
      <c r="D305" s="811" t="str">
        <f t="shared" si="8"/>
        <v>QFP: JGARCIA   QFV: ADELTORO</v>
      </c>
      <c r="E305" s="811"/>
      <c r="J305" s="356"/>
    </row>
    <row r="306" spans="1:19" ht="9.75" customHeight="1">
      <c r="A306" s="812" t="str">
        <f>'DATOS ETIQ'!N$39&amp;"   Cama: "&amp;'DATOS ETIQ'!O$39</f>
        <v>C.JPC/SEXTO NTE/SCOOP   Cama: NA</v>
      </c>
      <c r="B306" s="812"/>
      <c r="D306" s="812" t="str">
        <f t="shared" si="8"/>
        <v>C.JPC/SEXTO NTE/SCOOP   Cama: NA</v>
      </c>
      <c r="E306" s="812"/>
      <c r="J306" s="356"/>
    </row>
    <row r="307" spans="1:19" ht="9.75" customHeight="1">
      <c r="A307" s="811"/>
      <c r="B307" s="811"/>
      <c r="D307" s="811">
        <f t="shared" si="8"/>
        <v>0</v>
      </c>
      <c r="E307" s="811"/>
      <c r="J307" s="356"/>
    </row>
    <row r="308" spans="1:19" ht="9.75" customHeight="1">
      <c r="A308" s="808" t="e">
        <f>'DATOS ETIQ'!AA$40</f>
        <v>#N/A</v>
      </c>
      <c r="B308" s="808"/>
      <c r="C308" s="359"/>
      <c r="D308" s="808" t="e">
        <f t="shared" si="8"/>
        <v>#N/A</v>
      </c>
      <c r="E308" s="808"/>
      <c r="J308" s="356"/>
      <c r="N308" s="404"/>
      <c r="O308" s="404"/>
      <c r="P308" s="404"/>
      <c r="Q308" s="404"/>
      <c r="R308" s="404"/>
      <c r="S308" s="404"/>
    </row>
    <row r="309" spans="1:19" ht="9.75" customHeight="1">
      <c r="A309" s="808" t="e">
        <f>'DATOS ETIQ'!AC40</f>
        <v>#N/A</v>
      </c>
      <c r="B309" s="808"/>
      <c r="C309" s="359"/>
      <c r="D309" s="808" t="e">
        <f t="shared" si="8"/>
        <v>#N/A</v>
      </c>
      <c r="E309" s="808"/>
      <c r="J309" s="356"/>
    </row>
    <row r="310" spans="1:19" ht="9.75" customHeight="1" thickBot="1">
      <c r="A310" s="360" t="str">
        <f ca="1">"F.Elab: "&amp;TEXT('FORMATO DIL'!$B$5,"dd/mm/yy")</f>
        <v>F.Elab: 04/08/22</v>
      </c>
      <c r="B310" s="360" t="e">
        <f ca="1">'DATOS ETIQ'!H$40</f>
        <v>#N/A</v>
      </c>
      <c r="C310" s="359"/>
      <c r="D310" s="360" t="str">
        <f ca="1">A310</f>
        <v>F.Elab: 04/08/22</v>
      </c>
      <c r="E310" s="360" t="e">
        <f ca="1">B310</f>
        <v>#N/A</v>
      </c>
      <c r="J310" s="356"/>
    </row>
    <row r="311" spans="1:19" ht="9.75" customHeight="1">
      <c r="A311" s="810" t="str">
        <f>"Lt: "&amp;'DATOS ETIQ'!I$40</f>
        <v xml:space="preserve">Lt: </v>
      </c>
      <c r="B311" s="810"/>
      <c r="D311" s="810" t="str">
        <f>A311</f>
        <v xml:space="preserve">Lt: </v>
      </c>
      <c r="E311" s="810"/>
      <c r="G311" s="800" t="e">
        <f>'FR PD 001 V1'!T44</f>
        <v>#N/A</v>
      </c>
      <c r="J311" s="800">
        <v>39</v>
      </c>
    </row>
    <row r="312" spans="1:19" ht="9.75" customHeight="1" thickBot="1">
      <c r="A312" s="808" t="str">
        <f>'DATOS ETIQ'!J$40&amp;"  "&amp;'DATOS ETIQ'!K$40</f>
        <v xml:space="preserve">  0</v>
      </c>
      <c r="B312" s="808"/>
      <c r="C312" s="359"/>
      <c r="D312" s="808" t="str">
        <f t="shared" ref="D312:D355" si="9">A312</f>
        <v xml:space="preserve">  0</v>
      </c>
      <c r="E312" s="808"/>
      <c r="G312" s="801"/>
      <c r="J312" s="801"/>
    </row>
    <row r="313" spans="1:19" ht="9.75" customHeight="1">
      <c r="A313" s="811" t="str">
        <f>"QFP: "&amp;'DATOS ETIQ'!L$40&amp;"   QFV: "&amp;'DATOS ETIQ'!M$40</f>
        <v>QFP: JGARCIA   QFV: ADELTORO</v>
      </c>
      <c r="B313" s="811"/>
      <c r="D313" s="811" t="str">
        <f t="shared" si="9"/>
        <v>QFP: JGARCIA   QFV: ADELTORO</v>
      </c>
      <c r="E313" s="811"/>
      <c r="J313" s="356"/>
    </row>
    <row r="314" spans="1:19" ht="9.75" customHeight="1">
      <c r="A314" s="812" t="str">
        <f>'DATOS ETIQ'!N$40&amp;"   Cama: "&amp;'DATOS ETIQ'!O$40</f>
        <v>C.JPC/SEXTO NTE/SCOOP   Cama: NA</v>
      </c>
      <c r="B314" s="812"/>
      <c r="D314" s="812" t="str">
        <f t="shared" si="9"/>
        <v>C.JPC/SEXTO NTE/SCOOP   Cama: NA</v>
      </c>
      <c r="E314" s="812"/>
      <c r="J314" s="356"/>
    </row>
    <row r="315" spans="1:19" ht="9.75" customHeight="1">
      <c r="A315" s="811"/>
      <c r="B315" s="811"/>
      <c r="D315" s="811">
        <f t="shared" si="9"/>
        <v>0</v>
      </c>
      <c r="E315" s="811"/>
      <c r="J315" s="356"/>
    </row>
    <row r="316" spans="1:19" ht="9.75" customHeight="1">
      <c r="A316" s="808" t="e">
        <f>'DATOS ETIQ'!AA$41</f>
        <v>#N/A</v>
      </c>
      <c r="B316" s="808"/>
      <c r="C316" s="359"/>
      <c r="D316" s="808" t="e">
        <f t="shared" si="9"/>
        <v>#N/A</v>
      </c>
      <c r="E316" s="808"/>
      <c r="J316" s="356"/>
      <c r="N316" s="404"/>
      <c r="O316" s="404"/>
      <c r="P316" s="404"/>
      <c r="Q316" s="404"/>
      <c r="R316" s="404"/>
      <c r="S316" s="404"/>
    </row>
    <row r="317" spans="1:19" ht="9.75" customHeight="1">
      <c r="A317" s="808" t="e">
        <f>'DATOS ETIQ'!AC41</f>
        <v>#N/A</v>
      </c>
      <c r="B317" s="808"/>
      <c r="C317" s="359"/>
      <c r="D317" s="808" t="e">
        <f t="shared" si="9"/>
        <v>#N/A</v>
      </c>
      <c r="E317" s="808"/>
      <c r="J317" s="356"/>
    </row>
    <row r="318" spans="1:19" ht="9.75" customHeight="1" thickBot="1">
      <c r="A318" s="360" t="str">
        <f ca="1">"F.Elab: "&amp;TEXT('FORMATO DIL'!$B$5,"dd/mm/yy")</f>
        <v>F.Elab: 04/08/22</v>
      </c>
      <c r="B318" s="360" t="e">
        <f ca="1">'DATOS ETIQ'!H$41</f>
        <v>#N/A</v>
      </c>
      <c r="C318" s="359"/>
      <c r="D318" s="360" t="str">
        <f ca="1">A318</f>
        <v>F.Elab: 04/08/22</v>
      </c>
      <c r="E318" s="360" t="e">
        <f ca="1">B318</f>
        <v>#N/A</v>
      </c>
      <c r="J318" s="356"/>
    </row>
    <row r="319" spans="1:19" ht="9.75" customHeight="1">
      <c r="A319" s="810" t="str">
        <f>"Lt: "&amp;'DATOS ETIQ'!I$41</f>
        <v xml:space="preserve">Lt: </v>
      </c>
      <c r="B319" s="810"/>
      <c r="D319" s="810" t="str">
        <f>A319</f>
        <v xml:space="preserve">Lt: </v>
      </c>
      <c r="E319" s="810"/>
      <c r="G319" s="800" t="e">
        <f>'FR PD 001 V1'!T45</f>
        <v>#N/A</v>
      </c>
      <c r="J319" s="800">
        <v>40</v>
      </c>
    </row>
    <row r="320" spans="1:19" ht="9.75" customHeight="1" thickBot="1">
      <c r="A320" s="808" t="str">
        <f>'DATOS ETIQ'!J$41&amp;"  "&amp;'DATOS ETIQ'!K$41</f>
        <v xml:space="preserve">  0</v>
      </c>
      <c r="B320" s="808"/>
      <c r="C320" s="359"/>
      <c r="D320" s="808" t="str">
        <f t="shared" si="9"/>
        <v xml:space="preserve">  0</v>
      </c>
      <c r="E320" s="808"/>
      <c r="G320" s="801"/>
      <c r="J320" s="801"/>
    </row>
    <row r="321" spans="1:19" ht="9.75" customHeight="1">
      <c r="A321" s="811" t="str">
        <f>"QFP: "&amp;'DATOS ETIQ'!L$41&amp;"   QFV: "&amp;'DATOS ETIQ'!M$41</f>
        <v>QFP: JGARCIA   QFV: ADELTORO</v>
      </c>
      <c r="B321" s="811"/>
      <c r="D321" s="811" t="str">
        <f t="shared" si="9"/>
        <v>QFP: JGARCIA   QFV: ADELTORO</v>
      </c>
      <c r="E321" s="811"/>
      <c r="J321" s="356"/>
    </row>
    <row r="322" spans="1:19" ht="9.75" customHeight="1">
      <c r="A322" s="812" t="str">
        <f>'DATOS ETIQ'!N$41&amp;"   Cama: "&amp;'DATOS ETIQ'!O$41</f>
        <v>C.JPC/SEXTO NTE/SCOOP   Cama: NA</v>
      </c>
      <c r="B322" s="812"/>
      <c r="D322" s="812" t="str">
        <f t="shared" si="9"/>
        <v>C.JPC/SEXTO NTE/SCOOP   Cama: NA</v>
      </c>
      <c r="E322" s="812"/>
      <c r="J322" s="356"/>
    </row>
    <row r="323" spans="1:19" ht="9.75" customHeight="1">
      <c r="A323" s="811"/>
      <c r="B323" s="811"/>
      <c r="D323" s="811">
        <f t="shared" si="9"/>
        <v>0</v>
      </c>
      <c r="E323" s="811"/>
      <c r="J323" s="356"/>
    </row>
    <row r="324" spans="1:19" ht="9.75" customHeight="1">
      <c r="A324" s="808" t="e">
        <f>'DATOS ETIQ'!AA$42</f>
        <v>#N/A</v>
      </c>
      <c r="B324" s="808"/>
      <c r="C324" s="359"/>
      <c r="D324" s="808" t="e">
        <f t="shared" si="9"/>
        <v>#N/A</v>
      </c>
      <c r="E324" s="808"/>
      <c r="J324" s="356"/>
      <c r="N324" s="404"/>
      <c r="O324" s="404"/>
      <c r="P324" s="404"/>
      <c r="Q324" s="404"/>
      <c r="R324" s="404"/>
      <c r="S324" s="404"/>
    </row>
    <row r="325" spans="1:19" ht="9.75" customHeight="1">
      <c r="A325" s="808" t="e">
        <f>'DATOS ETIQ'!AC42</f>
        <v>#N/A</v>
      </c>
      <c r="B325" s="808"/>
      <c r="C325" s="359"/>
      <c r="D325" s="808" t="e">
        <f t="shared" si="9"/>
        <v>#N/A</v>
      </c>
      <c r="E325" s="808"/>
      <c r="J325" s="356"/>
    </row>
    <row r="326" spans="1:19" ht="9.75" customHeight="1" thickBot="1">
      <c r="A326" s="360" t="str">
        <f ca="1">"F.Elab: "&amp;TEXT('FORMATO DIL'!$B$5,"dd/mm/yy")</f>
        <v>F.Elab: 04/08/22</v>
      </c>
      <c r="B326" s="360" t="e">
        <f ca="1">'DATOS ETIQ'!H$42</f>
        <v>#N/A</v>
      </c>
      <c r="C326" s="359"/>
      <c r="D326" s="360" t="str">
        <f ca="1">A326</f>
        <v>F.Elab: 04/08/22</v>
      </c>
      <c r="E326" s="360" t="e">
        <f ca="1">B326</f>
        <v>#N/A</v>
      </c>
      <c r="J326" s="356"/>
    </row>
    <row r="327" spans="1:19" ht="9.75" customHeight="1">
      <c r="A327" s="810" t="str">
        <f>"Lt: "&amp;'DATOS ETIQ'!I$42</f>
        <v xml:space="preserve">Lt: </v>
      </c>
      <c r="B327" s="810"/>
      <c r="D327" s="810" t="str">
        <f>A327</f>
        <v xml:space="preserve">Lt: </v>
      </c>
      <c r="E327" s="810"/>
      <c r="G327" s="800" t="e">
        <f>'FR PD 001 V1'!T46</f>
        <v>#N/A</v>
      </c>
      <c r="J327" s="800">
        <v>41</v>
      </c>
    </row>
    <row r="328" spans="1:19" ht="9.75" customHeight="1" thickBot="1">
      <c r="A328" s="808" t="str">
        <f>'DATOS ETIQ'!J$42&amp;"  "&amp;'DATOS ETIQ'!K$42</f>
        <v xml:space="preserve">  0</v>
      </c>
      <c r="B328" s="808"/>
      <c r="C328" s="359"/>
      <c r="D328" s="808" t="str">
        <f t="shared" si="9"/>
        <v xml:space="preserve">  0</v>
      </c>
      <c r="E328" s="808"/>
      <c r="G328" s="801"/>
      <c r="J328" s="801"/>
    </row>
    <row r="329" spans="1:19" ht="9.75" customHeight="1">
      <c r="A329" s="811" t="str">
        <f>"QFP: "&amp;'DATOS ETIQ'!L$42&amp;"   QFV: "&amp;'DATOS ETIQ'!M$42</f>
        <v>QFP: JGARCIA   QFV: ADELTORO</v>
      </c>
      <c r="B329" s="811"/>
      <c r="D329" s="811" t="str">
        <f t="shared" si="9"/>
        <v>QFP: JGARCIA   QFV: ADELTORO</v>
      </c>
      <c r="E329" s="811"/>
      <c r="J329" s="356"/>
    </row>
    <row r="330" spans="1:19" ht="9.75" customHeight="1">
      <c r="A330" s="812" t="str">
        <f>'DATOS ETIQ'!N$42&amp;"   Cama: "&amp;'DATOS ETIQ'!O$42</f>
        <v>C.JPC/SEXTO NTE/SCOOP   Cama: NA</v>
      </c>
      <c r="B330" s="812"/>
      <c r="D330" s="812" t="str">
        <f t="shared" si="9"/>
        <v>C.JPC/SEXTO NTE/SCOOP   Cama: NA</v>
      </c>
      <c r="E330" s="812"/>
      <c r="J330" s="356"/>
    </row>
    <row r="331" spans="1:19" ht="9.75" customHeight="1">
      <c r="A331" s="811"/>
      <c r="B331" s="811"/>
      <c r="D331" s="811">
        <f t="shared" si="9"/>
        <v>0</v>
      </c>
      <c r="E331" s="811"/>
      <c r="J331" s="356"/>
    </row>
    <row r="332" spans="1:19" ht="9.75" customHeight="1">
      <c r="A332" s="808" t="e">
        <f>'DATOS ETIQ'!AA$43</f>
        <v>#N/A</v>
      </c>
      <c r="B332" s="808"/>
      <c r="C332" s="359"/>
      <c r="D332" s="808" t="e">
        <f t="shared" si="9"/>
        <v>#N/A</v>
      </c>
      <c r="E332" s="808"/>
      <c r="J332" s="356"/>
      <c r="N332" s="404"/>
      <c r="O332" s="404"/>
      <c r="P332" s="404"/>
      <c r="Q332" s="404"/>
      <c r="R332" s="404"/>
      <c r="S332" s="404"/>
    </row>
    <row r="333" spans="1:19" ht="9.75" customHeight="1">
      <c r="A333" s="808" t="e">
        <f>'DATOS ETIQ'!AC43</f>
        <v>#N/A</v>
      </c>
      <c r="B333" s="808"/>
      <c r="C333" s="359"/>
      <c r="D333" s="808" t="e">
        <f t="shared" si="9"/>
        <v>#N/A</v>
      </c>
      <c r="E333" s="808"/>
      <c r="J333" s="356"/>
    </row>
    <row r="334" spans="1:19" ht="9.75" customHeight="1" thickBot="1">
      <c r="A334" s="360" t="str">
        <f ca="1">"F.Elab: "&amp;TEXT('FORMATO DIL'!$B$5,"dd/mm/yy")</f>
        <v>F.Elab: 04/08/22</v>
      </c>
      <c r="B334" s="360" t="e">
        <f ca="1">'DATOS ETIQ'!H$43</f>
        <v>#N/A</v>
      </c>
      <c r="C334" s="359"/>
      <c r="D334" s="360" t="str">
        <f ca="1">A334</f>
        <v>F.Elab: 04/08/22</v>
      </c>
      <c r="E334" s="360" t="e">
        <f ca="1">B334</f>
        <v>#N/A</v>
      </c>
      <c r="J334" s="356"/>
    </row>
    <row r="335" spans="1:19" ht="9.75" customHeight="1">
      <c r="A335" s="810" t="str">
        <f>"Lt: "&amp;'DATOS ETIQ'!I$43</f>
        <v xml:space="preserve">Lt: </v>
      </c>
      <c r="B335" s="810"/>
      <c r="D335" s="810" t="str">
        <f>A335</f>
        <v xml:space="preserve">Lt: </v>
      </c>
      <c r="E335" s="810"/>
      <c r="G335" s="800" t="e">
        <f>'FR PD 001 V1'!T47</f>
        <v>#N/A</v>
      </c>
      <c r="J335" s="800">
        <v>42</v>
      </c>
    </row>
    <row r="336" spans="1:19" ht="9.75" customHeight="1" thickBot="1">
      <c r="A336" s="808" t="str">
        <f>'DATOS ETIQ'!J$43&amp;"  "&amp;'DATOS ETIQ'!K$43</f>
        <v xml:space="preserve">  0</v>
      </c>
      <c r="B336" s="808"/>
      <c r="C336" s="359"/>
      <c r="D336" s="808" t="str">
        <f t="shared" si="9"/>
        <v xml:space="preserve">  0</v>
      </c>
      <c r="E336" s="808"/>
      <c r="G336" s="801"/>
      <c r="J336" s="801"/>
    </row>
    <row r="337" spans="1:19" ht="9.75" customHeight="1">
      <c r="A337" s="811" t="str">
        <f>"QFP: "&amp;'DATOS ETIQ'!L$43&amp;"   QFV: "&amp;'DATOS ETIQ'!M$43</f>
        <v>QFP: JGARCIA   QFV: ADELTORO</v>
      </c>
      <c r="B337" s="811"/>
      <c r="D337" s="811" t="str">
        <f t="shared" si="9"/>
        <v>QFP: JGARCIA   QFV: ADELTORO</v>
      </c>
      <c r="E337" s="811"/>
      <c r="J337" s="356"/>
    </row>
    <row r="338" spans="1:19" ht="9.75" customHeight="1">
      <c r="A338" s="812" t="str">
        <f>'DATOS ETIQ'!N$43&amp;"   Cama: "&amp;'DATOS ETIQ'!O$43</f>
        <v>C.JPC/SEXTO NTE/SCOOP   Cama: NA</v>
      </c>
      <c r="B338" s="812"/>
      <c r="D338" s="812" t="str">
        <f t="shared" si="9"/>
        <v>C.JPC/SEXTO NTE/SCOOP   Cama: NA</v>
      </c>
      <c r="E338" s="812"/>
      <c r="J338" s="356"/>
    </row>
    <row r="339" spans="1:19" ht="9.75" customHeight="1">
      <c r="A339" s="811"/>
      <c r="B339" s="811"/>
      <c r="D339" s="811">
        <f t="shared" si="9"/>
        <v>0</v>
      </c>
      <c r="E339" s="811"/>
      <c r="J339" s="356"/>
    </row>
    <row r="340" spans="1:19" ht="9.75" customHeight="1">
      <c r="A340" s="808" t="e">
        <f>'DATOS ETIQ'!AA$44</f>
        <v>#N/A</v>
      </c>
      <c r="B340" s="808"/>
      <c r="C340" s="359"/>
      <c r="D340" s="808" t="e">
        <f t="shared" si="9"/>
        <v>#N/A</v>
      </c>
      <c r="E340" s="808"/>
      <c r="J340" s="356"/>
      <c r="N340" s="404"/>
      <c r="O340" s="404"/>
      <c r="P340" s="404"/>
      <c r="Q340" s="404"/>
      <c r="R340" s="404"/>
      <c r="S340" s="404"/>
    </row>
    <row r="341" spans="1:19" ht="9.75" customHeight="1">
      <c r="A341" s="808" t="e">
        <f>'DATOS ETIQ'!AC44</f>
        <v>#N/A</v>
      </c>
      <c r="B341" s="808"/>
      <c r="C341" s="359"/>
      <c r="D341" s="808" t="e">
        <f t="shared" si="9"/>
        <v>#N/A</v>
      </c>
      <c r="E341" s="808"/>
      <c r="J341" s="356"/>
    </row>
    <row r="342" spans="1:19" ht="9.75" customHeight="1" thickBot="1">
      <c r="A342" s="360" t="str">
        <f ca="1">"F.Elab: "&amp;TEXT('FORMATO DIL'!$B$5,"dd/mm/yy")</f>
        <v>F.Elab: 04/08/22</v>
      </c>
      <c r="B342" s="360" t="e">
        <f ca="1">'DATOS ETIQ'!H$44</f>
        <v>#N/A</v>
      </c>
      <c r="C342" s="359"/>
      <c r="D342" s="360" t="str">
        <f ca="1">A342</f>
        <v>F.Elab: 04/08/22</v>
      </c>
      <c r="E342" s="360" t="e">
        <f ca="1">B342</f>
        <v>#N/A</v>
      </c>
      <c r="J342" s="356"/>
    </row>
    <row r="343" spans="1:19" ht="9.75" customHeight="1">
      <c r="A343" s="810" t="str">
        <f>"Lt: "&amp;'DATOS ETIQ'!I$44</f>
        <v xml:space="preserve">Lt: </v>
      </c>
      <c r="B343" s="810"/>
      <c r="D343" s="810" t="str">
        <f>A343</f>
        <v xml:space="preserve">Lt: </v>
      </c>
      <c r="E343" s="810"/>
      <c r="G343" s="800" t="e">
        <f>'FR PD 001 V1'!T48</f>
        <v>#N/A</v>
      </c>
      <c r="J343" s="800">
        <v>43</v>
      </c>
    </row>
    <row r="344" spans="1:19" ht="9.75" customHeight="1" thickBot="1">
      <c r="A344" s="808" t="str">
        <f>'DATOS ETIQ'!J$44&amp;"  "&amp;'DATOS ETIQ'!K$44</f>
        <v xml:space="preserve">  0</v>
      </c>
      <c r="B344" s="808"/>
      <c r="C344" s="359"/>
      <c r="D344" s="808" t="str">
        <f t="shared" si="9"/>
        <v xml:space="preserve">  0</v>
      </c>
      <c r="E344" s="808"/>
      <c r="G344" s="801"/>
      <c r="J344" s="801"/>
    </row>
    <row r="345" spans="1:19" ht="9.75" customHeight="1">
      <c r="A345" s="811" t="str">
        <f>"QFP: "&amp;'DATOS ETIQ'!L$44&amp;"   QFV: "&amp;'DATOS ETIQ'!M$44</f>
        <v>QFP: JGARCIA   QFV: ADELTORO</v>
      </c>
      <c r="B345" s="811"/>
      <c r="D345" s="811" t="str">
        <f t="shared" si="9"/>
        <v>QFP: JGARCIA   QFV: ADELTORO</v>
      </c>
      <c r="E345" s="811"/>
      <c r="J345" s="356"/>
    </row>
    <row r="346" spans="1:19" ht="9.75" customHeight="1">
      <c r="A346" s="812" t="str">
        <f>'DATOS ETIQ'!N$44&amp;"   Cama: "&amp;'DATOS ETIQ'!O$44</f>
        <v>C.JPC/SEXTO NTE/SCOOP   Cama: NA</v>
      </c>
      <c r="B346" s="812"/>
      <c r="D346" s="812" t="str">
        <f t="shared" si="9"/>
        <v>C.JPC/SEXTO NTE/SCOOP   Cama: NA</v>
      </c>
      <c r="E346" s="812"/>
      <c r="J346" s="356"/>
    </row>
    <row r="347" spans="1:19" ht="9.75" customHeight="1">
      <c r="A347" s="811"/>
      <c r="B347" s="811"/>
      <c r="D347" s="811">
        <f t="shared" si="9"/>
        <v>0</v>
      </c>
      <c r="E347" s="811"/>
      <c r="J347" s="356"/>
    </row>
    <row r="348" spans="1:19" ht="9.75" customHeight="1">
      <c r="A348" s="808" t="e">
        <f>'DATOS ETIQ'!AA$45</f>
        <v>#N/A</v>
      </c>
      <c r="B348" s="808"/>
      <c r="C348" s="359"/>
      <c r="D348" s="808" t="e">
        <f t="shared" si="9"/>
        <v>#N/A</v>
      </c>
      <c r="E348" s="808"/>
      <c r="J348" s="356"/>
      <c r="N348" s="404"/>
      <c r="O348" s="404"/>
      <c r="P348" s="404"/>
      <c r="Q348" s="404"/>
      <c r="R348" s="404"/>
      <c r="S348" s="404"/>
    </row>
    <row r="349" spans="1:19" ht="9.75" customHeight="1">
      <c r="A349" s="808" t="e">
        <f>'DATOS ETIQ'!AC45</f>
        <v>#N/A</v>
      </c>
      <c r="B349" s="808"/>
      <c r="C349" s="359"/>
      <c r="D349" s="808" t="e">
        <f t="shared" si="9"/>
        <v>#N/A</v>
      </c>
      <c r="E349" s="808"/>
      <c r="J349" s="356"/>
    </row>
    <row r="350" spans="1:19" ht="9.75" customHeight="1" thickBot="1">
      <c r="A350" s="360" t="str">
        <f ca="1">"F.Elab: "&amp;TEXT('FORMATO DIL'!$B$5,"dd/mm/yy")</f>
        <v>F.Elab: 04/08/22</v>
      </c>
      <c r="B350" s="360" t="e">
        <f ca="1">'DATOS ETIQ'!H$45</f>
        <v>#N/A</v>
      </c>
      <c r="C350" s="359"/>
      <c r="D350" s="360" t="str">
        <f ca="1">A350</f>
        <v>F.Elab: 04/08/22</v>
      </c>
      <c r="E350" s="360" t="e">
        <f ca="1">B350</f>
        <v>#N/A</v>
      </c>
      <c r="J350" s="356"/>
    </row>
    <row r="351" spans="1:19" ht="9.75" customHeight="1">
      <c r="A351" s="810" t="str">
        <f>"Lt: "&amp;'DATOS ETIQ'!I$45</f>
        <v xml:space="preserve">Lt: </v>
      </c>
      <c r="B351" s="810"/>
      <c r="D351" s="810" t="str">
        <f>A351</f>
        <v xml:space="preserve">Lt: </v>
      </c>
      <c r="E351" s="810"/>
      <c r="G351" s="800" t="e">
        <f>'FR PD 001 V1'!T49</f>
        <v>#N/A</v>
      </c>
      <c r="J351" s="800">
        <v>44</v>
      </c>
    </row>
    <row r="352" spans="1:19" ht="9.75" customHeight="1" thickBot="1">
      <c r="A352" s="808" t="str">
        <f>'DATOS ETIQ'!J$45&amp;"  "&amp;'DATOS ETIQ'!K$45</f>
        <v xml:space="preserve">  0</v>
      </c>
      <c r="B352" s="808"/>
      <c r="C352" s="359"/>
      <c r="D352" s="808" t="str">
        <f t="shared" si="9"/>
        <v xml:space="preserve">  0</v>
      </c>
      <c r="E352" s="808"/>
      <c r="G352" s="801"/>
      <c r="J352" s="801"/>
    </row>
    <row r="353" spans="1:5" ht="9.75" customHeight="1">
      <c r="A353" s="811" t="str">
        <f>"QFP: "&amp;'DATOS ETIQ'!L$45&amp;"   QFV: "&amp;'DATOS ETIQ'!M$45</f>
        <v>QFP: JGARCIA   QFV: ADELTORO</v>
      </c>
      <c r="B353" s="811"/>
      <c r="D353" s="811" t="str">
        <f t="shared" si="9"/>
        <v>QFP: JGARCIA   QFV: ADELTORO</v>
      </c>
      <c r="E353" s="811"/>
    </row>
    <row r="354" spans="1:5" ht="9.75" customHeight="1">
      <c r="A354" s="812" t="str">
        <f>'DATOS ETIQ'!N$45&amp;"   Cama: "&amp;'DATOS ETIQ'!O$45</f>
        <v>C.JPC/SEXTO NTE/SCOOP   Cama: NA</v>
      </c>
      <c r="B354" s="812"/>
      <c r="D354" s="812" t="str">
        <f t="shared" si="9"/>
        <v>C.JPC/SEXTO NTE/SCOOP   Cama: NA</v>
      </c>
      <c r="E354" s="812"/>
    </row>
    <row r="355" spans="1:5" ht="9.75" customHeight="1">
      <c r="A355" s="811"/>
      <c r="B355" s="811"/>
      <c r="D355" s="811">
        <f t="shared" si="9"/>
        <v>0</v>
      </c>
      <c r="E355" s="811"/>
    </row>
  </sheetData>
  <mergeCells count="712">
    <mergeCell ref="L15:M15"/>
    <mergeCell ref="L16:M16"/>
    <mergeCell ref="D23:E23"/>
    <mergeCell ref="A23:B23"/>
    <mergeCell ref="D31:E31"/>
    <mergeCell ref="A31:B31"/>
    <mergeCell ref="A353:B353"/>
    <mergeCell ref="D353:E353"/>
    <mergeCell ref="A354:B354"/>
    <mergeCell ref="D354:E354"/>
    <mergeCell ref="A345:B345"/>
    <mergeCell ref="D345:E345"/>
    <mergeCell ref="A346:B346"/>
    <mergeCell ref="D346:E346"/>
    <mergeCell ref="A347:B347"/>
    <mergeCell ref="D347:E347"/>
    <mergeCell ref="A340:B340"/>
    <mergeCell ref="D340:E340"/>
    <mergeCell ref="A341:B341"/>
    <mergeCell ref="D341:E341"/>
    <mergeCell ref="G343:G344"/>
    <mergeCell ref="J343:J344"/>
    <mergeCell ref="A344:B344"/>
    <mergeCell ref="D344:E344"/>
    <mergeCell ref="A355:B355"/>
    <mergeCell ref="D355:E355"/>
    <mergeCell ref="A348:B348"/>
    <mergeCell ref="D348:E348"/>
    <mergeCell ref="A349:B349"/>
    <mergeCell ref="D349:E349"/>
    <mergeCell ref="G351:G352"/>
    <mergeCell ref="J351:J352"/>
    <mergeCell ref="A352:B352"/>
    <mergeCell ref="D352:E352"/>
    <mergeCell ref="A351:B351"/>
    <mergeCell ref="D351:E351"/>
    <mergeCell ref="A343:B343"/>
    <mergeCell ref="D343:E343"/>
    <mergeCell ref="A337:B337"/>
    <mergeCell ref="D337:E337"/>
    <mergeCell ref="A338:B338"/>
    <mergeCell ref="D338:E338"/>
    <mergeCell ref="A339:B339"/>
    <mergeCell ref="D339:E339"/>
    <mergeCell ref="A332:B332"/>
    <mergeCell ref="D332:E332"/>
    <mergeCell ref="A333:B333"/>
    <mergeCell ref="D333:E333"/>
    <mergeCell ref="G335:G336"/>
    <mergeCell ref="J335:J336"/>
    <mergeCell ref="A336:B336"/>
    <mergeCell ref="D336:E336"/>
    <mergeCell ref="A335:B335"/>
    <mergeCell ref="D335:E335"/>
    <mergeCell ref="A329:B329"/>
    <mergeCell ref="D329:E329"/>
    <mergeCell ref="A330:B330"/>
    <mergeCell ref="D330:E330"/>
    <mergeCell ref="A331:B331"/>
    <mergeCell ref="D331:E331"/>
    <mergeCell ref="A324:B324"/>
    <mergeCell ref="D324:E324"/>
    <mergeCell ref="A325:B325"/>
    <mergeCell ref="D325:E325"/>
    <mergeCell ref="G327:G328"/>
    <mergeCell ref="J327:J328"/>
    <mergeCell ref="A328:B328"/>
    <mergeCell ref="D328:E328"/>
    <mergeCell ref="D327:E327"/>
    <mergeCell ref="A327:B327"/>
    <mergeCell ref="A321:B321"/>
    <mergeCell ref="D321:E321"/>
    <mergeCell ref="A322:B322"/>
    <mergeCell ref="D322:E322"/>
    <mergeCell ref="A323:B323"/>
    <mergeCell ref="D323:E323"/>
    <mergeCell ref="A316:B316"/>
    <mergeCell ref="D316:E316"/>
    <mergeCell ref="A317:B317"/>
    <mergeCell ref="D317:E317"/>
    <mergeCell ref="G319:G320"/>
    <mergeCell ref="J319:J320"/>
    <mergeCell ref="A320:B320"/>
    <mergeCell ref="D320:E320"/>
    <mergeCell ref="A319:B319"/>
    <mergeCell ref="D319:E319"/>
    <mergeCell ref="A313:B313"/>
    <mergeCell ref="D313:E313"/>
    <mergeCell ref="A314:B314"/>
    <mergeCell ref="D314:E314"/>
    <mergeCell ref="A315:B315"/>
    <mergeCell ref="D315:E315"/>
    <mergeCell ref="A308:B308"/>
    <mergeCell ref="D308:E308"/>
    <mergeCell ref="A309:B309"/>
    <mergeCell ref="D309:E309"/>
    <mergeCell ref="G311:G312"/>
    <mergeCell ref="J311:J312"/>
    <mergeCell ref="A312:B312"/>
    <mergeCell ref="D312:E312"/>
    <mergeCell ref="A311:B311"/>
    <mergeCell ref="D311:E311"/>
    <mergeCell ref="A305:B305"/>
    <mergeCell ref="D305:E305"/>
    <mergeCell ref="A306:B306"/>
    <mergeCell ref="D306:E306"/>
    <mergeCell ref="A307:B307"/>
    <mergeCell ref="D307:E307"/>
    <mergeCell ref="A300:B300"/>
    <mergeCell ref="D300:E300"/>
    <mergeCell ref="A301:B301"/>
    <mergeCell ref="D301:E301"/>
    <mergeCell ref="G303:G304"/>
    <mergeCell ref="J303:J304"/>
    <mergeCell ref="A304:B304"/>
    <mergeCell ref="D304:E304"/>
    <mergeCell ref="A303:B303"/>
    <mergeCell ref="D303:E303"/>
    <mergeCell ref="A297:B297"/>
    <mergeCell ref="D297:E297"/>
    <mergeCell ref="A298:B298"/>
    <mergeCell ref="D298:E298"/>
    <mergeCell ref="A299:B299"/>
    <mergeCell ref="D299:E299"/>
    <mergeCell ref="A292:B292"/>
    <mergeCell ref="D292:E292"/>
    <mergeCell ref="A293:B293"/>
    <mergeCell ref="D293:E293"/>
    <mergeCell ref="G295:G296"/>
    <mergeCell ref="J295:J296"/>
    <mergeCell ref="A296:B296"/>
    <mergeCell ref="D296:E296"/>
    <mergeCell ref="A295:B295"/>
    <mergeCell ref="D295:E295"/>
    <mergeCell ref="A289:B289"/>
    <mergeCell ref="D289:E289"/>
    <mergeCell ref="A290:B290"/>
    <mergeCell ref="D290:E290"/>
    <mergeCell ref="A291:B291"/>
    <mergeCell ref="D291:E291"/>
    <mergeCell ref="A284:B284"/>
    <mergeCell ref="D284:E284"/>
    <mergeCell ref="A285:B285"/>
    <mergeCell ref="D285:E285"/>
    <mergeCell ref="G287:G288"/>
    <mergeCell ref="J287:J288"/>
    <mergeCell ref="A288:B288"/>
    <mergeCell ref="D288:E288"/>
    <mergeCell ref="A287:B287"/>
    <mergeCell ref="D287:E287"/>
    <mergeCell ref="A281:B281"/>
    <mergeCell ref="D281:E281"/>
    <mergeCell ref="A282:B282"/>
    <mergeCell ref="D282:E282"/>
    <mergeCell ref="A283:B283"/>
    <mergeCell ref="D283:E283"/>
    <mergeCell ref="A276:B276"/>
    <mergeCell ref="D276:E276"/>
    <mergeCell ref="A277:B277"/>
    <mergeCell ref="D277:E277"/>
    <mergeCell ref="G279:G280"/>
    <mergeCell ref="J279:J280"/>
    <mergeCell ref="A280:B280"/>
    <mergeCell ref="D280:E280"/>
    <mergeCell ref="A279:B279"/>
    <mergeCell ref="D279:E279"/>
    <mergeCell ref="A273:B273"/>
    <mergeCell ref="D273:E273"/>
    <mergeCell ref="A274:B274"/>
    <mergeCell ref="D274:E274"/>
    <mergeCell ref="A275:B275"/>
    <mergeCell ref="D275:E275"/>
    <mergeCell ref="A268:B268"/>
    <mergeCell ref="D268:E268"/>
    <mergeCell ref="A269:B269"/>
    <mergeCell ref="D269:E269"/>
    <mergeCell ref="G271:G272"/>
    <mergeCell ref="J271:J272"/>
    <mergeCell ref="A272:B272"/>
    <mergeCell ref="D272:E272"/>
    <mergeCell ref="A271:B271"/>
    <mergeCell ref="D271:E271"/>
    <mergeCell ref="A265:B265"/>
    <mergeCell ref="D265:E265"/>
    <mergeCell ref="A266:B266"/>
    <mergeCell ref="D266:E266"/>
    <mergeCell ref="A267:B267"/>
    <mergeCell ref="D267:E267"/>
    <mergeCell ref="A260:B260"/>
    <mergeCell ref="D260:E260"/>
    <mergeCell ref="A261:B261"/>
    <mergeCell ref="D261:E261"/>
    <mergeCell ref="G263:G264"/>
    <mergeCell ref="J263:J264"/>
    <mergeCell ref="A264:B264"/>
    <mergeCell ref="D264:E264"/>
    <mergeCell ref="A263:B263"/>
    <mergeCell ref="D263:E263"/>
    <mergeCell ref="A257:B257"/>
    <mergeCell ref="D257:E257"/>
    <mergeCell ref="A258:B258"/>
    <mergeCell ref="D258:E258"/>
    <mergeCell ref="A259:B259"/>
    <mergeCell ref="D259:E259"/>
    <mergeCell ref="A252:B252"/>
    <mergeCell ref="D252:E252"/>
    <mergeCell ref="A253:B253"/>
    <mergeCell ref="D253:E253"/>
    <mergeCell ref="G255:G256"/>
    <mergeCell ref="J255:J256"/>
    <mergeCell ref="A256:B256"/>
    <mergeCell ref="D256:E256"/>
    <mergeCell ref="A255:B255"/>
    <mergeCell ref="D255:E255"/>
    <mergeCell ref="A249:B249"/>
    <mergeCell ref="D249:E249"/>
    <mergeCell ref="A250:B250"/>
    <mergeCell ref="D250:E250"/>
    <mergeCell ref="A251:B251"/>
    <mergeCell ref="D251:E251"/>
    <mergeCell ref="A244:B244"/>
    <mergeCell ref="D244:E244"/>
    <mergeCell ref="A245:B245"/>
    <mergeCell ref="D245:E245"/>
    <mergeCell ref="G247:G248"/>
    <mergeCell ref="J247:J248"/>
    <mergeCell ref="A248:B248"/>
    <mergeCell ref="D248:E248"/>
    <mergeCell ref="A247:B247"/>
    <mergeCell ref="D247:E247"/>
    <mergeCell ref="A241:B241"/>
    <mergeCell ref="D241:E241"/>
    <mergeCell ref="A242:B242"/>
    <mergeCell ref="D242:E242"/>
    <mergeCell ref="A243:B243"/>
    <mergeCell ref="D243:E243"/>
    <mergeCell ref="A236:B236"/>
    <mergeCell ref="D236:E236"/>
    <mergeCell ref="A237:B237"/>
    <mergeCell ref="D237:E237"/>
    <mergeCell ref="G239:G240"/>
    <mergeCell ref="J239:J240"/>
    <mergeCell ref="A240:B240"/>
    <mergeCell ref="D240:E240"/>
    <mergeCell ref="A239:B239"/>
    <mergeCell ref="D239:E239"/>
    <mergeCell ref="A233:B233"/>
    <mergeCell ref="D233:E233"/>
    <mergeCell ref="A234:B234"/>
    <mergeCell ref="D234:E234"/>
    <mergeCell ref="A235:B235"/>
    <mergeCell ref="D235:E235"/>
    <mergeCell ref="A228:B228"/>
    <mergeCell ref="D228:E228"/>
    <mergeCell ref="A229:B229"/>
    <mergeCell ref="D229:E229"/>
    <mergeCell ref="G231:G232"/>
    <mergeCell ref="J231:J232"/>
    <mergeCell ref="A232:B232"/>
    <mergeCell ref="D232:E232"/>
    <mergeCell ref="A231:B231"/>
    <mergeCell ref="D231:E231"/>
    <mergeCell ref="A225:B225"/>
    <mergeCell ref="D225:E225"/>
    <mergeCell ref="A226:B226"/>
    <mergeCell ref="D226:E226"/>
    <mergeCell ref="A227:B227"/>
    <mergeCell ref="D227:E227"/>
    <mergeCell ref="A220:B220"/>
    <mergeCell ref="D220:E220"/>
    <mergeCell ref="A221:B221"/>
    <mergeCell ref="D221:E221"/>
    <mergeCell ref="G223:G224"/>
    <mergeCell ref="J223:J224"/>
    <mergeCell ref="A224:B224"/>
    <mergeCell ref="D224:E224"/>
    <mergeCell ref="A223:B223"/>
    <mergeCell ref="D223:E223"/>
    <mergeCell ref="A217:B217"/>
    <mergeCell ref="D217:E217"/>
    <mergeCell ref="A218:B218"/>
    <mergeCell ref="D218:E218"/>
    <mergeCell ref="A219:B219"/>
    <mergeCell ref="D219:E219"/>
    <mergeCell ref="A212:B212"/>
    <mergeCell ref="D212:E212"/>
    <mergeCell ref="A213:B213"/>
    <mergeCell ref="D213:E213"/>
    <mergeCell ref="G215:G216"/>
    <mergeCell ref="J215:J216"/>
    <mergeCell ref="A216:B216"/>
    <mergeCell ref="D216:E216"/>
    <mergeCell ref="A215:B215"/>
    <mergeCell ref="D215:E215"/>
    <mergeCell ref="A209:B209"/>
    <mergeCell ref="D209:E209"/>
    <mergeCell ref="A210:B210"/>
    <mergeCell ref="D210:E210"/>
    <mergeCell ref="A211:B211"/>
    <mergeCell ref="D211:E211"/>
    <mergeCell ref="A204:B204"/>
    <mergeCell ref="D204:E204"/>
    <mergeCell ref="A205:B205"/>
    <mergeCell ref="D205:E205"/>
    <mergeCell ref="G207:G208"/>
    <mergeCell ref="J207:J208"/>
    <mergeCell ref="A208:B208"/>
    <mergeCell ref="D208:E208"/>
    <mergeCell ref="A207:B207"/>
    <mergeCell ref="D207:E207"/>
    <mergeCell ref="A201:B201"/>
    <mergeCell ref="D201:E201"/>
    <mergeCell ref="A202:B202"/>
    <mergeCell ref="D202:E202"/>
    <mergeCell ref="A203:B203"/>
    <mergeCell ref="D203:E203"/>
    <mergeCell ref="A196:B196"/>
    <mergeCell ref="D196:E196"/>
    <mergeCell ref="A197:B197"/>
    <mergeCell ref="D197:E197"/>
    <mergeCell ref="G199:G200"/>
    <mergeCell ref="J199:J200"/>
    <mergeCell ref="A200:B200"/>
    <mergeCell ref="D200:E200"/>
    <mergeCell ref="A199:B199"/>
    <mergeCell ref="D199:E199"/>
    <mergeCell ref="A193:B193"/>
    <mergeCell ref="D193:E193"/>
    <mergeCell ref="A194:B194"/>
    <mergeCell ref="D194:E194"/>
    <mergeCell ref="A195:B195"/>
    <mergeCell ref="D195:E195"/>
    <mergeCell ref="A188:B188"/>
    <mergeCell ref="D188:E188"/>
    <mergeCell ref="A189:B189"/>
    <mergeCell ref="D189:E189"/>
    <mergeCell ref="G191:G192"/>
    <mergeCell ref="J191:J192"/>
    <mergeCell ref="A192:B192"/>
    <mergeCell ref="D192:E192"/>
    <mergeCell ref="A191:B191"/>
    <mergeCell ref="D191:E191"/>
    <mergeCell ref="A185:B185"/>
    <mergeCell ref="D185:E185"/>
    <mergeCell ref="A186:B186"/>
    <mergeCell ref="D186:E186"/>
    <mergeCell ref="A187:B187"/>
    <mergeCell ref="D187:E187"/>
    <mergeCell ref="A180:B180"/>
    <mergeCell ref="D180:E180"/>
    <mergeCell ref="A181:B181"/>
    <mergeCell ref="D181:E181"/>
    <mergeCell ref="G183:G184"/>
    <mergeCell ref="J183:J184"/>
    <mergeCell ref="A184:B184"/>
    <mergeCell ref="D184:E184"/>
    <mergeCell ref="A183:B183"/>
    <mergeCell ref="D183:E183"/>
    <mergeCell ref="A177:B177"/>
    <mergeCell ref="D177:E177"/>
    <mergeCell ref="A178:B178"/>
    <mergeCell ref="D178:E178"/>
    <mergeCell ref="A179:B179"/>
    <mergeCell ref="D179:E179"/>
    <mergeCell ref="A172:B172"/>
    <mergeCell ref="D172:E172"/>
    <mergeCell ref="A173:B173"/>
    <mergeCell ref="D173:E173"/>
    <mergeCell ref="G175:G176"/>
    <mergeCell ref="J175:J176"/>
    <mergeCell ref="A176:B176"/>
    <mergeCell ref="D176:E176"/>
    <mergeCell ref="A175:B175"/>
    <mergeCell ref="D175:E175"/>
    <mergeCell ref="A169:B169"/>
    <mergeCell ref="D169:E169"/>
    <mergeCell ref="A170:B170"/>
    <mergeCell ref="D170:E170"/>
    <mergeCell ref="A171:B171"/>
    <mergeCell ref="D171:E171"/>
    <mergeCell ref="A164:B164"/>
    <mergeCell ref="D164:E164"/>
    <mergeCell ref="A165:B165"/>
    <mergeCell ref="D165:E165"/>
    <mergeCell ref="G167:G168"/>
    <mergeCell ref="J167:J168"/>
    <mergeCell ref="A168:B168"/>
    <mergeCell ref="D168:E168"/>
    <mergeCell ref="A167:B167"/>
    <mergeCell ref="D167:E167"/>
    <mergeCell ref="A161:B161"/>
    <mergeCell ref="D161:E161"/>
    <mergeCell ref="A162:B162"/>
    <mergeCell ref="D162:E162"/>
    <mergeCell ref="A163:B163"/>
    <mergeCell ref="D163:E163"/>
    <mergeCell ref="A156:B156"/>
    <mergeCell ref="D156:E156"/>
    <mergeCell ref="A157:B157"/>
    <mergeCell ref="D157:E157"/>
    <mergeCell ref="G159:G160"/>
    <mergeCell ref="J159:J160"/>
    <mergeCell ref="A160:B160"/>
    <mergeCell ref="D160:E160"/>
    <mergeCell ref="A159:B159"/>
    <mergeCell ref="D159:E159"/>
    <mergeCell ref="A153:B153"/>
    <mergeCell ref="D153:E153"/>
    <mergeCell ref="A154:B154"/>
    <mergeCell ref="D154:E154"/>
    <mergeCell ref="A155:B155"/>
    <mergeCell ref="D155:E155"/>
    <mergeCell ref="A148:B148"/>
    <mergeCell ref="D148:E148"/>
    <mergeCell ref="A149:B149"/>
    <mergeCell ref="D149:E149"/>
    <mergeCell ref="G151:G152"/>
    <mergeCell ref="J151:J152"/>
    <mergeCell ref="A152:B152"/>
    <mergeCell ref="D152:E152"/>
    <mergeCell ref="A151:B151"/>
    <mergeCell ref="D151:E151"/>
    <mergeCell ref="A145:B145"/>
    <mergeCell ref="D145:E145"/>
    <mergeCell ref="A146:B146"/>
    <mergeCell ref="D146:E146"/>
    <mergeCell ref="A147:B147"/>
    <mergeCell ref="D147:E147"/>
    <mergeCell ref="A140:B140"/>
    <mergeCell ref="D140:E140"/>
    <mergeCell ref="A141:B141"/>
    <mergeCell ref="D141:E141"/>
    <mergeCell ref="G143:G144"/>
    <mergeCell ref="J143:J144"/>
    <mergeCell ref="A144:B144"/>
    <mergeCell ref="D144:E144"/>
    <mergeCell ref="A143:B143"/>
    <mergeCell ref="D143:E143"/>
    <mergeCell ref="A137:B137"/>
    <mergeCell ref="D137:E137"/>
    <mergeCell ref="A138:B138"/>
    <mergeCell ref="D138:E138"/>
    <mergeCell ref="A139:B139"/>
    <mergeCell ref="D139:E139"/>
    <mergeCell ref="A132:B132"/>
    <mergeCell ref="D132:E132"/>
    <mergeCell ref="A133:B133"/>
    <mergeCell ref="D133:E133"/>
    <mergeCell ref="G135:G136"/>
    <mergeCell ref="J135:J136"/>
    <mergeCell ref="A136:B136"/>
    <mergeCell ref="D136:E136"/>
    <mergeCell ref="A135:B135"/>
    <mergeCell ref="D135:E135"/>
    <mergeCell ref="A129:B129"/>
    <mergeCell ref="D129:E129"/>
    <mergeCell ref="A130:B130"/>
    <mergeCell ref="D130:E130"/>
    <mergeCell ref="A131:B131"/>
    <mergeCell ref="D131:E131"/>
    <mergeCell ref="A124:B124"/>
    <mergeCell ref="D124:E124"/>
    <mergeCell ref="A125:B125"/>
    <mergeCell ref="D125:E125"/>
    <mergeCell ref="G127:G128"/>
    <mergeCell ref="J127:J128"/>
    <mergeCell ref="A128:B128"/>
    <mergeCell ref="D128:E128"/>
    <mergeCell ref="A127:B127"/>
    <mergeCell ref="D127:E127"/>
    <mergeCell ref="A121:B121"/>
    <mergeCell ref="D121:E121"/>
    <mergeCell ref="A122:B122"/>
    <mergeCell ref="D122:E122"/>
    <mergeCell ref="A123:B123"/>
    <mergeCell ref="D123:E123"/>
    <mergeCell ref="A116:B116"/>
    <mergeCell ref="D116:E116"/>
    <mergeCell ref="A117:B117"/>
    <mergeCell ref="D117:E117"/>
    <mergeCell ref="G119:G120"/>
    <mergeCell ref="J119:J120"/>
    <mergeCell ref="A120:B120"/>
    <mergeCell ref="D120:E120"/>
    <mergeCell ref="A119:B119"/>
    <mergeCell ref="D119:E119"/>
    <mergeCell ref="A113:B113"/>
    <mergeCell ref="D113:E113"/>
    <mergeCell ref="A114:B114"/>
    <mergeCell ref="D114:E114"/>
    <mergeCell ref="A115:B115"/>
    <mergeCell ref="D115:E115"/>
    <mergeCell ref="A108:B108"/>
    <mergeCell ref="D108:E108"/>
    <mergeCell ref="A109:B109"/>
    <mergeCell ref="D109:E109"/>
    <mergeCell ref="G111:G112"/>
    <mergeCell ref="J111:J112"/>
    <mergeCell ref="A112:B112"/>
    <mergeCell ref="D112:E112"/>
    <mergeCell ref="A111:B111"/>
    <mergeCell ref="D111:E111"/>
    <mergeCell ref="A105:B105"/>
    <mergeCell ref="D105:E105"/>
    <mergeCell ref="A106:B106"/>
    <mergeCell ref="D106:E106"/>
    <mergeCell ref="A107:B107"/>
    <mergeCell ref="D107:E107"/>
    <mergeCell ref="A100:B100"/>
    <mergeCell ref="D100:E100"/>
    <mergeCell ref="A101:B101"/>
    <mergeCell ref="D101:E101"/>
    <mergeCell ref="G103:G104"/>
    <mergeCell ref="J103:J104"/>
    <mergeCell ref="A104:B104"/>
    <mergeCell ref="D104:E104"/>
    <mergeCell ref="A103:B103"/>
    <mergeCell ref="D103:E103"/>
    <mergeCell ref="A97:B97"/>
    <mergeCell ref="D97:E97"/>
    <mergeCell ref="A98:B98"/>
    <mergeCell ref="D98:E98"/>
    <mergeCell ref="A99:B99"/>
    <mergeCell ref="D99:E99"/>
    <mergeCell ref="A92:B92"/>
    <mergeCell ref="D92:E92"/>
    <mergeCell ref="A93:B93"/>
    <mergeCell ref="D93:E93"/>
    <mergeCell ref="G95:G96"/>
    <mergeCell ref="J95:J96"/>
    <mergeCell ref="A96:B96"/>
    <mergeCell ref="D96:E96"/>
    <mergeCell ref="A95:B95"/>
    <mergeCell ref="D95:E95"/>
    <mergeCell ref="A89:B89"/>
    <mergeCell ref="D89:E89"/>
    <mergeCell ref="A90:B90"/>
    <mergeCell ref="D90:E90"/>
    <mergeCell ref="A91:B91"/>
    <mergeCell ref="D91:E91"/>
    <mergeCell ref="A84:B84"/>
    <mergeCell ref="D84:E84"/>
    <mergeCell ref="A85:B85"/>
    <mergeCell ref="D85:E85"/>
    <mergeCell ref="G87:G88"/>
    <mergeCell ref="J87:J88"/>
    <mergeCell ref="A88:B88"/>
    <mergeCell ref="D88:E88"/>
    <mergeCell ref="A87:B87"/>
    <mergeCell ref="D87:E87"/>
    <mergeCell ref="A81:B81"/>
    <mergeCell ref="D81:E81"/>
    <mergeCell ref="A82:B82"/>
    <mergeCell ref="D82:E82"/>
    <mergeCell ref="A83:B83"/>
    <mergeCell ref="D83:E83"/>
    <mergeCell ref="A76:B76"/>
    <mergeCell ref="D76:E76"/>
    <mergeCell ref="A77:B77"/>
    <mergeCell ref="D77:E77"/>
    <mergeCell ref="G79:G80"/>
    <mergeCell ref="J79:J80"/>
    <mergeCell ref="A80:B80"/>
    <mergeCell ref="D80:E80"/>
    <mergeCell ref="A79:B79"/>
    <mergeCell ref="D79:E79"/>
    <mergeCell ref="A73:B73"/>
    <mergeCell ref="D73:E73"/>
    <mergeCell ref="A74:B74"/>
    <mergeCell ref="D74:E74"/>
    <mergeCell ref="A75:B75"/>
    <mergeCell ref="D75:E75"/>
    <mergeCell ref="A68:B68"/>
    <mergeCell ref="D68:E68"/>
    <mergeCell ref="A69:B69"/>
    <mergeCell ref="D69:E69"/>
    <mergeCell ref="G71:G72"/>
    <mergeCell ref="J71:J72"/>
    <mergeCell ref="A72:B72"/>
    <mergeCell ref="D72:E72"/>
    <mergeCell ref="A71:B71"/>
    <mergeCell ref="D71:E71"/>
    <mergeCell ref="A65:B65"/>
    <mergeCell ref="D65:E65"/>
    <mergeCell ref="A66:B66"/>
    <mergeCell ref="D66:E66"/>
    <mergeCell ref="A67:B67"/>
    <mergeCell ref="D67:E67"/>
    <mergeCell ref="A60:B60"/>
    <mergeCell ref="D60:E60"/>
    <mergeCell ref="A61:B61"/>
    <mergeCell ref="D61:E61"/>
    <mergeCell ref="G63:G64"/>
    <mergeCell ref="J63:J64"/>
    <mergeCell ref="A64:B64"/>
    <mergeCell ref="D64:E64"/>
    <mergeCell ref="A63:B63"/>
    <mergeCell ref="D63:E63"/>
    <mergeCell ref="A57:B57"/>
    <mergeCell ref="D57:E57"/>
    <mergeCell ref="A58:B58"/>
    <mergeCell ref="D58:E58"/>
    <mergeCell ref="A59:B59"/>
    <mergeCell ref="D59:E59"/>
    <mergeCell ref="A52:B52"/>
    <mergeCell ref="D52:E52"/>
    <mergeCell ref="A53:B53"/>
    <mergeCell ref="D53:E53"/>
    <mergeCell ref="G55:G56"/>
    <mergeCell ref="J55:J56"/>
    <mergeCell ref="A56:B56"/>
    <mergeCell ref="D56:E56"/>
    <mergeCell ref="A55:B55"/>
    <mergeCell ref="D55:E55"/>
    <mergeCell ref="A49:B49"/>
    <mergeCell ref="D49:E49"/>
    <mergeCell ref="A50:B50"/>
    <mergeCell ref="D50:E50"/>
    <mergeCell ref="A51:B51"/>
    <mergeCell ref="D51:E51"/>
    <mergeCell ref="A44:B44"/>
    <mergeCell ref="D44:E44"/>
    <mergeCell ref="A45:B45"/>
    <mergeCell ref="D45:E45"/>
    <mergeCell ref="G47:G48"/>
    <mergeCell ref="J47:J48"/>
    <mergeCell ref="A48:B48"/>
    <mergeCell ref="D48:E48"/>
    <mergeCell ref="D47:E47"/>
    <mergeCell ref="A47:B47"/>
    <mergeCell ref="A41:B41"/>
    <mergeCell ref="D41:E41"/>
    <mergeCell ref="A42:B42"/>
    <mergeCell ref="D42:E42"/>
    <mergeCell ref="A43:B43"/>
    <mergeCell ref="D43:E43"/>
    <mergeCell ref="A36:B36"/>
    <mergeCell ref="D36:E36"/>
    <mergeCell ref="A37:B37"/>
    <mergeCell ref="D37:E37"/>
    <mergeCell ref="G39:G40"/>
    <mergeCell ref="J39:J40"/>
    <mergeCell ref="A40:B40"/>
    <mergeCell ref="D40:E40"/>
    <mergeCell ref="A39:B39"/>
    <mergeCell ref="D39:E39"/>
    <mergeCell ref="A33:B33"/>
    <mergeCell ref="D33:E33"/>
    <mergeCell ref="A34:B34"/>
    <mergeCell ref="D34:E34"/>
    <mergeCell ref="A35:B35"/>
    <mergeCell ref="D35:E35"/>
    <mergeCell ref="A28:B28"/>
    <mergeCell ref="D28:E28"/>
    <mergeCell ref="A29:B29"/>
    <mergeCell ref="D29:E29"/>
    <mergeCell ref="G31:G32"/>
    <mergeCell ref="J31:J32"/>
    <mergeCell ref="A32:B32"/>
    <mergeCell ref="D32:E32"/>
    <mergeCell ref="A25:B25"/>
    <mergeCell ref="D25:E25"/>
    <mergeCell ref="A26:B26"/>
    <mergeCell ref="D26:E26"/>
    <mergeCell ref="A27:B27"/>
    <mergeCell ref="D27:E27"/>
    <mergeCell ref="A20:B20"/>
    <mergeCell ref="D20:E20"/>
    <mergeCell ref="A21:B21"/>
    <mergeCell ref="D21:E21"/>
    <mergeCell ref="G23:G24"/>
    <mergeCell ref="J23:J24"/>
    <mergeCell ref="A24:B24"/>
    <mergeCell ref="D24:E24"/>
    <mergeCell ref="A17:B17"/>
    <mergeCell ref="D17:E17"/>
    <mergeCell ref="A18:B18"/>
    <mergeCell ref="D18:E18"/>
    <mergeCell ref="A19:B19"/>
    <mergeCell ref="D19:E19"/>
    <mergeCell ref="A12:B12"/>
    <mergeCell ref="D12:E12"/>
    <mergeCell ref="A13:B13"/>
    <mergeCell ref="D13:E13"/>
    <mergeCell ref="G15:G16"/>
    <mergeCell ref="J15:J16"/>
    <mergeCell ref="A16:B16"/>
    <mergeCell ref="D16:E16"/>
    <mergeCell ref="D15:E15"/>
    <mergeCell ref="A15:B15"/>
    <mergeCell ref="A9:B9"/>
    <mergeCell ref="D9:E9"/>
    <mergeCell ref="A10:B10"/>
    <mergeCell ref="D10:E10"/>
    <mergeCell ref="A11:B11"/>
    <mergeCell ref="D11:E11"/>
    <mergeCell ref="A5:B5"/>
    <mergeCell ref="D5:E5"/>
    <mergeCell ref="G7:G8"/>
    <mergeCell ref="J7:J8"/>
    <mergeCell ref="L7:M7"/>
    <mergeCell ref="A8:B8"/>
    <mergeCell ref="D8:E8"/>
    <mergeCell ref="L8:M8"/>
    <mergeCell ref="A7:B7"/>
    <mergeCell ref="D7:E7"/>
    <mergeCell ref="G1:G3"/>
    <mergeCell ref="J1:J3"/>
    <mergeCell ref="L2:M2"/>
    <mergeCell ref="L3:M3"/>
    <mergeCell ref="A4:B4"/>
    <mergeCell ref="D4:E4"/>
  </mergeCells>
  <conditionalFormatting sqref="B1:E3">
    <cfRule type="containsText" dxfId="107" priority="1" operator="containsText" text="INFUSOR">
      <formula>NOT(ISERROR(SEARCH("INFUSOR",B1)))</formula>
    </cfRule>
  </conditionalFormatting>
  <hyperlinks>
    <hyperlink ref="B2" r:id="rId1" display="\\10.44.1.22\TSC IMP 5" xr:uid="{00000000-0004-0000-0D00-000000000000}"/>
  </hyperlinks>
  <printOptions horizontalCentered="1" verticalCentered="1"/>
  <pageMargins left="0" right="7.874015748031496E-2" top="0" bottom="0.15748031496062992" header="0" footer="0"/>
  <pageSetup paperSize="260" scale="70" fitToHeight="0" orientation="portrait" horizontalDpi="203" verticalDpi="203" r:id="rId2"/>
  <rowBreaks count="43" manualBreakCount="43">
    <brk id="11" max="16383" man="1"/>
    <brk id="19" max="16383" man="1"/>
    <brk id="27" max="16383" man="1"/>
    <brk id="35" max="16383" man="1"/>
    <brk id="43" max="16383" man="1"/>
    <brk id="51" max="16383" man="1"/>
    <brk id="59" max="16383" man="1"/>
    <brk id="67" max="16383" man="1"/>
    <brk id="75" max="16383" man="1"/>
    <brk id="83" max="16383" man="1"/>
    <brk id="91" max="16383" man="1"/>
    <brk id="99" max="16383" man="1"/>
    <brk id="107" max="16383" man="1"/>
    <brk id="115" max="16383" man="1"/>
    <brk id="123" max="16383" man="1"/>
    <brk id="131" max="16383" man="1"/>
    <brk id="139" max="16383" man="1"/>
    <brk id="147" max="16383" man="1"/>
    <brk id="155" max="16383" man="1"/>
    <brk id="163" max="16383" man="1"/>
    <brk id="171" max="16383" man="1"/>
    <brk id="179" max="16383" man="1"/>
    <brk id="187" max="16383" man="1"/>
    <brk id="195" max="16383" man="1"/>
    <brk id="203" max="16383" man="1"/>
    <brk id="211" max="16383" man="1"/>
    <brk id="219" max="16383" man="1"/>
    <brk id="227" max="16383" man="1"/>
    <brk id="235" max="16383" man="1"/>
    <brk id="243" max="16383" man="1"/>
    <brk id="251" max="16383" man="1"/>
    <brk id="259" max="16383" man="1"/>
    <brk id="267" max="16383" man="1"/>
    <brk id="275" max="16383" man="1"/>
    <brk id="283" max="16383" man="1"/>
    <brk id="291" max="16383" man="1"/>
    <brk id="299" max="16383" man="1"/>
    <brk id="307" max="16383" man="1"/>
    <brk id="315" max="16383" man="1"/>
    <brk id="323" max="16383" man="1"/>
    <brk id="331" max="4" man="1"/>
    <brk id="339" max="4" man="1"/>
    <brk id="347" max="4" man="1"/>
  </row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pageSetUpPr fitToPage="1"/>
  </sheetPr>
  <dimension ref="A1:F19"/>
  <sheetViews>
    <sheetView view="pageBreakPreview" zoomScaleSheetLayoutView="100" workbookViewId="0">
      <selection activeCell="C17" sqref="C17"/>
    </sheetView>
  </sheetViews>
  <sheetFormatPr defaultColWidth="11.42578125" defaultRowHeight="12.75"/>
  <cols>
    <col min="1" max="1" width="12.7109375" style="1" customWidth="1"/>
    <col min="2" max="2" width="15.28515625" style="1" customWidth="1"/>
    <col min="3" max="3" width="21.140625" style="1" customWidth="1"/>
    <col min="4" max="4" width="23.7109375" style="1" customWidth="1"/>
    <col min="5" max="6" width="14.7109375" style="1" customWidth="1"/>
    <col min="7" max="256" width="11.42578125" style="1"/>
    <col min="257" max="257" width="12.7109375" style="1" customWidth="1"/>
    <col min="258" max="258" width="15.28515625" style="1" customWidth="1"/>
    <col min="259" max="259" width="21.140625" style="1" customWidth="1"/>
    <col min="260" max="260" width="23.7109375" style="1" customWidth="1"/>
    <col min="261" max="262" width="14.7109375" style="1" customWidth="1"/>
    <col min="263" max="512" width="11.42578125" style="1"/>
    <col min="513" max="513" width="12.7109375" style="1" customWidth="1"/>
    <col min="514" max="514" width="15.28515625" style="1" customWidth="1"/>
    <col min="515" max="515" width="21.140625" style="1" customWidth="1"/>
    <col min="516" max="516" width="23.7109375" style="1" customWidth="1"/>
    <col min="517" max="518" width="14.7109375" style="1" customWidth="1"/>
    <col min="519" max="768" width="11.42578125" style="1"/>
    <col min="769" max="769" width="12.7109375" style="1" customWidth="1"/>
    <col min="770" max="770" width="15.28515625" style="1" customWidth="1"/>
    <col min="771" max="771" width="21.140625" style="1" customWidth="1"/>
    <col min="772" max="772" width="23.7109375" style="1" customWidth="1"/>
    <col min="773" max="774" width="14.7109375" style="1" customWidth="1"/>
    <col min="775" max="1024" width="11.42578125" style="1"/>
    <col min="1025" max="1025" width="12.7109375" style="1" customWidth="1"/>
    <col min="1026" max="1026" width="15.28515625" style="1" customWidth="1"/>
    <col min="1027" max="1027" width="21.140625" style="1" customWidth="1"/>
    <col min="1028" max="1028" width="23.7109375" style="1" customWidth="1"/>
    <col min="1029" max="1030" width="14.7109375" style="1" customWidth="1"/>
    <col min="1031" max="1280" width="11.42578125" style="1"/>
    <col min="1281" max="1281" width="12.7109375" style="1" customWidth="1"/>
    <col min="1282" max="1282" width="15.28515625" style="1" customWidth="1"/>
    <col min="1283" max="1283" width="21.140625" style="1" customWidth="1"/>
    <col min="1284" max="1284" width="23.7109375" style="1" customWidth="1"/>
    <col min="1285" max="1286" width="14.7109375" style="1" customWidth="1"/>
    <col min="1287" max="1536" width="11.42578125" style="1"/>
    <col min="1537" max="1537" width="12.7109375" style="1" customWidth="1"/>
    <col min="1538" max="1538" width="15.28515625" style="1" customWidth="1"/>
    <col min="1539" max="1539" width="21.140625" style="1" customWidth="1"/>
    <col min="1540" max="1540" width="23.7109375" style="1" customWidth="1"/>
    <col min="1541" max="1542" width="14.7109375" style="1" customWidth="1"/>
    <col min="1543" max="1792" width="11.42578125" style="1"/>
    <col min="1793" max="1793" width="12.7109375" style="1" customWidth="1"/>
    <col min="1794" max="1794" width="15.28515625" style="1" customWidth="1"/>
    <col min="1795" max="1795" width="21.140625" style="1" customWidth="1"/>
    <col min="1796" max="1796" width="23.7109375" style="1" customWidth="1"/>
    <col min="1797" max="1798" width="14.7109375" style="1" customWidth="1"/>
    <col min="1799" max="2048" width="11.42578125" style="1"/>
    <col min="2049" max="2049" width="12.7109375" style="1" customWidth="1"/>
    <col min="2050" max="2050" width="15.28515625" style="1" customWidth="1"/>
    <col min="2051" max="2051" width="21.140625" style="1" customWidth="1"/>
    <col min="2052" max="2052" width="23.7109375" style="1" customWidth="1"/>
    <col min="2053" max="2054" width="14.7109375" style="1" customWidth="1"/>
    <col min="2055" max="2304" width="11.42578125" style="1"/>
    <col min="2305" max="2305" width="12.7109375" style="1" customWidth="1"/>
    <col min="2306" max="2306" width="15.28515625" style="1" customWidth="1"/>
    <col min="2307" max="2307" width="21.140625" style="1" customWidth="1"/>
    <col min="2308" max="2308" width="23.7109375" style="1" customWidth="1"/>
    <col min="2309" max="2310" width="14.7109375" style="1" customWidth="1"/>
    <col min="2311" max="2560" width="11.42578125" style="1"/>
    <col min="2561" max="2561" width="12.7109375" style="1" customWidth="1"/>
    <col min="2562" max="2562" width="15.28515625" style="1" customWidth="1"/>
    <col min="2563" max="2563" width="21.140625" style="1" customWidth="1"/>
    <col min="2564" max="2564" width="23.7109375" style="1" customWidth="1"/>
    <col min="2565" max="2566" width="14.7109375" style="1" customWidth="1"/>
    <col min="2567" max="2816" width="11.42578125" style="1"/>
    <col min="2817" max="2817" width="12.7109375" style="1" customWidth="1"/>
    <col min="2818" max="2818" width="15.28515625" style="1" customWidth="1"/>
    <col min="2819" max="2819" width="21.140625" style="1" customWidth="1"/>
    <col min="2820" max="2820" width="23.7109375" style="1" customWidth="1"/>
    <col min="2821" max="2822" width="14.7109375" style="1" customWidth="1"/>
    <col min="2823" max="3072" width="11.42578125" style="1"/>
    <col min="3073" max="3073" width="12.7109375" style="1" customWidth="1"/>
    <col min="3074" max="3074" width="15.28515625" style="1" customWidth="1"/>
    <col min="3075" max="3075" width="21.140625" style="1" customWidth="1"/>
    <col min="3076" max="3076" width="23.7109375" style="1" customWidth="1"/>
    <col min="3077" max="3078" width="14.7109375" style="1" customWidth="1"/>
    <col min="3079" max="3328" width="11.42578125" style="1"/>
    <col min="3329" max="3329" width="12.7109375" style="1" customWidth="1"/>
    <col min="3330" max="3330" width="15.28515625" style="1" customWidth="1"/>
    <col min="3331" max="3331" width="21.140625" style="1" customWidth="1"/>
    <col min="3332" max="3332" width="23.7109375" style="1" customWidth="1"/>
    <col min="3333" max="3334" width="14.7109375" style="1" customWidth="1"/>
    <col min="3335" max="3584" width="11.42578125" style="1"/>
    <col min="3585" max="3585" width="12.7109375" style="1" customWidth="1"/>
    <col min="3586" max="3586" width="15.28515625" style="1" customWidth="1"/>
    <col min="3587" max="3587" width="21.140625" style="1" customWidth="1"/>
    <col min="3588" max="3588" width="23.7109375" style="1" customWidth="1"/>
    <col min="3589" max="3590" width="14.7109375" style="1" customWidth="1"/>
    <col min="3591" max="3840" width="11.42578125" style="1"/>
    <col min="3841" max="3841" width="12.7109375" style="1" customWidth="1"/>
    <col min="3842" max="3842" width="15.28515625" style="1" customWidth="1"/>
    <col min="3843" max="3843" width="21.140625" style="1" customWidth="1"/>
    <col min="3844" max="3844" width="23.7109375" style="1" customWidth="1"/>
    <col min="3845" max="3846" width="14.7109375" style="1" customWidth="1"/>
    <col min="3847" max="4096" width="11.42578125" style="1"/>
    <col min="4097" max="4097" width="12.7109375" style="1" customWidth="1"/>
    <col min="4098" max="4098" width="15.28515625" style="1" customWidth="1"/>
    <col min="4099" max="4099" width="21.140625" style="1" customWidth="1"/>
    <col min="4100" max="4100" width="23.7109375" style="1" customWidth="1"/>
    <col min="4101" max="4102" width="14.7109375" style="1" customWidth="1"/>
    <col min="4103" max="4352" width="11.42578125" style="1"/>
    <col min="4353" max="4353" width="12.7109375" style="1" customWidth="1"/>
    <col min="4354" max="4354" width="15.28515625" style="1" customWidth="1"/>
    <col min="4355" max="4355" width="21.140625" style="1" customWidth="1"/>
    <col min="4356" max="4356" width="23.7109375" style="1" customWidth="1"/>
    <col min="4357" max="4358" width="14.7109375" style="1" customWidth="1"/>
    <col min="4359" max="4608" width="11.42578125" style="1"/>
    <col min="4609" max="4609" width="12.7109375" style="1" customWidth="1"/>
    <col min="4610" max="4610" width="15.28515625" style="1" customWidth="1"/>
    <col min="4611" max="4611" width="21.140625" style="1" customWidth="1"/>
    <col min="4612" max="4612" width="23.7109375" style="1" customWidth="1"/>
    <col min="4613" max="4614" width="14.7109375" style="1" customWidth="1"/>
    <col min="4615" max="4864" width="11.42578125" style="1"/>
    <col min="4865" max="4865" width="12.7109375" style="1" customWidth="1"/>
    <col min="4866" max="4866" width="15.28515625" style="1" customWidth="1"/>
    <col min="4867" max="4867" width="21.140625" style="1" customWidth="1"/>
    <col min="4868" max="4868" width="23.7109375" style="1" customWidth="1"/>
    <col min="4869" max="4870" width="14.7109375" style="1" customWidth="1"/>
    <col min="4871" max="5120" width="11.42578125" style="1"/>
    <col min="5121" max="5121" width="12.7109375" style="1" customWidth="1"/>
    <col min="5122" max="5122" width="15.28515625" style="1" customWidth="1"/>
    <col min="5123" max="5123" width="21.140625" style="1" customWidth="1"/>
    <col min="5124" max="5124" width="23.7109375" style="1" customWidth="1"/>
    <col min="5125" max="5126" width="14.7109375" style="1" customWidth="1"/>
    <col min="5127" max="5376" width="11.42578125" style="1"/>
    <col min="5377" max="5377" width="12.7109375" style="1" customWidth="1"/>
    <col min="5378" max="5378" width="15.28515625" style="1" customWidth="1"/>
    <col min="5379" max="5379" width="21.140625" style="1" customWidth="1"/>
    <col min="5380" max="5380" width="23.7109375" style="1" customWidth="1"/>
    <col min="5381" max="5382" width="14.7109375" style="1" customWidth="1"/>
    <col min="5383" max="5632" width="11.42578125" style="1"/>
    <col min="5633" max="5633" width="12.7109375" style="1" customWidth="1"/>
    <col min="5634" max="5634" width="15.28515625" style="1" customWidth="1"/>
    <col min="5635" max="5635" width="21.140625" style="1" customWidth="1"/>
    <col min="5636" max="5636" width="23.7109375" style="1" customWidth="1"/>
    <col min="5637" max="5638" width="14.7109375" style="1" customWidth="1"/>
    <col min="5639" max="5888" width="11.42578125" style="1"/>
    <col min="5889" max="5889" width="12.7109375" style="1" customWidth="1"/>
    <col min="5890" max="5890" width="15.28515625" style="1" customWidth="1"/>
    <col min="5891" max="5891" width="21.140625" style="1" customWidth="1"/>
    <col min="5892" max="5892" width="23.7109375" style="1" customWidth="1"/>
    <col min="5893" max="5894" width="14.7109375" style="1" customWidth="1"/>
    <col min="5895" max="6144" width="11.42578125" style="1"/>
    <col min="6145" max="6145" width="12.7109375" style="1" customWidth="1"/>
    <col min="6146" max="6146" width="15.28515625" style="1" customWidth="1"/>
    <col min="6147" max="6147" width="21.140625" style="1" customWidth="1"/>
    <col min="6148" max="6148" width="23.7109375" style="1" customWidth="1"/>
    <col min="6149" max="6150" width="14.7109375" style="1" customWidth="1"/>
    <col min="6151" max="6400" width="11.42578125" style="1"/>
    <col min="6401" max="6401" width="12.7109375" style="1" customWidth="1"/>
    <col min="6402" max="6402" width="15.28515625" style="1" customWidth="1"/>
    <col min="6403" max="6403" width="21.140625" style="1" customWidth="1"/>
    <col min="6404" max="6404" width="23.7109375" style="1" customWidth="1"/>
    <col min="6405" max="6406" width="14.7109375" style="1" customWidth="1"/>
    <col min="6407" max="6656" width="11.42578125" style="1"/>
    <col min="6657" max="6657" width="12.7109375" style="1" customWidth="1"/>
    <col min="6658" max="6658" width="15.28515625" style="1" customWidth="1"/>
    <col min="6659" max="6659" width="21.140625" style="1" customWidth="1"/>
    <col min="6660" max="6660" width="23.7109375" style="1" customWidth="1"/>
    <col min="6661" max="6662" width="14.7109375" style="1" customWidth="1"/>
    <col min="6663" max="6912" width="11.42578125" style="1"/>
    <col min="6913" max="6913" width="12.7109375" style="1" customWidth="1"/>
    <col min="6914" max="6914" width="15.28515625" style="1" customWidth="1"/>
    <col min="6915" max="6915" width="21.140625" style="1" customWidth="1"/>
    <col min="6916" max="6916" width="23.7109375" style="1" customWidth="1"/>
    <col min="6917" max="6918" width="14.7109375" style="1" customWidth="1"/>
    <col min="6919" max="7168" width="11.42578125" style="1"/>
    <col min="7169" max="7169" width="12.7109375" style="1" customWidth="1"/>
    <col min="7170" max="7170" width="15.28515625" style="1" customWidth="1"/>
    <col min="7171" max="7171" width="21.140625" style="1" customWidth="1"/>
    <col min="7172" max="7172" width="23.7109375" style="1" customWidth="1"/>
    <col min="7173" max="7174" width="14.7109375" style="1" customWidth="1"/>
    <col min="7175" max="7424" width="11.42578125" style="1"/>
    <col min="7425" max="7425" width="12.7109375" style="1" customWidth="1"/>
    <col min="7426" max="7426" width="15.28515625" style="1" customWidth="1"/>
    <col min="7427" max="7427" width="21.140625" style="1" customWidth="1"/>
    <col min="7428" max="7428" width="23.7109375" style="1" customWidth="1"/>
    <col min="7429" max="7430" width="14.7109375" style="1" customWidth="1"/>
    <col min="7431" max="7680" width="11.42578125" style="1"/>
    <col min="7681" max="7681" width="12.7109375" style="1" customWidth="1"/>
    <col min="7682" max="7682" width="15.28515625" style="1" customWidth="1"/>
    <col min="7683" max="7683" width="21.140625" style="1" customWidth="1"/>
    <col min="7684" max="7684" width="23.7109375" style="1" customWidth="1"/>
    <col min="7685" max="7686" width="14.7109375" style="1" customWidth="1"/>
    <col min="7687" max="7936" width="11.42578125" style="1"/>
    <col min="7937" max="7937" width="12.7109375" style="1" customWidth="1"/>
    <col min="7938" max="7938" width="15.28515625" style="1" customWidth="1"/>
    <col min="7939" max="7939" width="21.140625" style="1" customWidth="1"/>
    <col min="7940" max="7940" width="23.7109375" style="1" customWidth="1"/>
    <col min="7941" max="7942" width="14.7109375" style="1" customWidth="1"/>
    <col min="7943" max="8192" width="11.42578125" style="1"/>
    <col min="8193" max="8193" width="12.7109375" style="1" customWidth="1"/>
    <col min="8194" max="8194" width="15.28515625" style="1" customWidth="1"/>
    <col min="8195" max="8195" width="21.140625" style="1" customWidth="1"/>
    <col min="8196" max="8196" width="23.7109375" style="1" customWidth="1"/>
    <col min="8197" max="8198" width="14.7109375" style="1" customWidth="1"/>
    <col min="8199" max="8448" width="11.42578125" style="1"/>
    <col min="8449" max="8449" width="12.7109375" style="1" customWidth="1"/>
    <col min="8450" max="8450" width="15.28515625" style="1" customWidth="1"/>
    <col min="8451" max="8451" width="21.140625" style="1" customWidth="1"/>
    <col min="8452" max="8452" width="23.7109375" style="1" customWidth="1"/>
    <col min="8453" max="8454" width="14.7109375" style="1" customWidth="1"/>
    <col min="8455" max="8704" width="11.42578125" style="1"/>
    <col min="8705" max="8705" width="12.7109375" style="1" customWidth="1"/>
    <col min="8706" max="8706" width="15.28515625" style="1" customWidth="1"/>
    <col min="8707" max="8707" width="21.140625" style="1" customWidth="1"/>
    <col min="8708" max="8708" width="23.7109375" style="1" customWidth="1"/>
    <col min="8709" max="8710" width="14.7109375" style="1" customWidth="1"/>
    <col min="8711" max="8960" width="11.42578125" style="1"/>
    <col min="8961" max="8961" width="12.7109375" style="1" customWidth="1"/>
    <col min="8962" max="8962" width="15.28515625" style="1" customWidth="1"/>
    <col min="8963" max="8963" width="21.140625" style="1" customWidth="1"/>
    <col min="8964" max="8964" width="23.7109375" style="1" customWidth="1"/>
    <col min="8965" max="8966" width="14.7109375" style="1" customWidth="1"/>
    <col min="8967" max="9216" width="11.42578125" style="1"/>
    <col min="9217" max="9217" width="12.7109375" style="1" customWidth="1"/>
    <col min="9218" max="9218" width="15.28515625" style="1" customWidth="1"/>
    <col min="9219" max="9219" width="21.140625" style="1" customWidth="1"/>
    <col min="9220" max="9220" width="23.7109375" style="1" customWidth="1"/>
    <col min="9221" max="9222" width="14.7109375" style="1" customWidth="1"/>
    <col min="9223" max="9472" width="11.42578125" style="1"/>
    <col min="9473" max="9473" width="12.7109375" style="1" customWidth="1"/>
    <col min="9474" max="9474" width="15.28515625" style="1" customWidth="1"/>
    <col min="9475" max="9475" width="21.140625" style="1" customWidth="1"/>
    <col min="9476" max="9476" width="23.7109375" style="1" customWidth="1"/>
    <col min="9477" max="9478" width="14.7109375" style="1" customWidth="1"/>
    <col min="9479" max="9728" width="11.42578125" style="1"/>
    <col min="9729" max="9729" width="12.7109375" style="1" customWidth="1"/>
    <col min="9730" max="9730" width="15.28515625" style="1" customWidth="1"/>
    <col min="9731" max="9731" width="21.140625" style="1" customWidth="1"/>
    <col min="9732" max="9732" width="23.7109375" style="1" customWidth="1"/>
    <col min="9733" max="9734" width="14.7109375" style="1" customWidth="1"/>
    <col min="9735" max="9984" width="11.42578125" style="1"/>
    <col min="9985" max="9985" width="12.7109375" style="1" customWidth="1"/>
    <col min="9986" max="9986" width="15.28515625" style="1" customWidth="1"/>
    <col min="9987" max="9987" width="21.140625" style="1" customWidth="1"/>
    <col min="9988" max="9988" width="23.7109375" style="1" customWidth="1"/>
    <col min="9989" max="9990" width="14.7109375" style="1" customWidth="1"/>
    <col min="9991" max="10240" width="11.42578125" style="1"/>
    <col min="10241" max="10241" width="12.7109375" style="1" customWidth="1"/>
    <col min="10242" max="10242" width="15.28515625" style="1" customWidth="1"/>
    <col min="10243" max="10243" width="21.140625" style="1" customWidth="1"/>
    <col min="10244" max="10244" width="23.7109375" style="1" customWidth="1"/>
    <col min="10245" max="10246" width="14.7109375" style="1" customWidth="1"/>
    <col min="10247" max="10496" width="11.42578125" style="1"/>
    <col min="10497" max="10497" width="12.7109375" style="1" customWidth="1"/>
    <col min="10498" max="10498" width="15.28515625" style="1" customWidth="1"/>
    <col min="10499" max="10499" width="21.140625" style="1" customWidth="1"/>
    <col min="10500" max="10500" width="23.7109375" style="1" customWidth="1"/>
    <col min="10501" max="10502" width="14.7109375" style="1" customWidth="1"/>
    <col min="10503" max="10752" width="11.42578125" style="1"/>
    <col min="10753" max="10753" width="12.7109375" style="1" customWidth="1"/>
    <col min="10754" max="10754" width="15.28515625" style="1" customWidth="1"/>
    <col min="10755" max="10755" width="21.140625" style="1" customWidth="1"/>
    <col min="10756" max="10756" width="23.7109375" style="1" customWidth="1"/>
    <col min="10757" max="10758" width="14.7109375" style="1" customWidth="1"/>
    <col min="10759" max="11008" width="11.42578125" style="1"/>
    <col min="11009" max="11009" width="12.7109375" style="1" customWidth="1"/>
    <col min="11010" max="11010" width="15.28515625" style="1" customWidth="1"/>
    <col min="11011" max="11011" width="21.140625" style="1" customWidth="1"/>
    <col min="11012" max="11012" width="23.7109375" style="1" customWidth="1"/>
    <col min="11013" max="11014" width="14.7109375" style="1" customWidth="1"/>
    <col min="11015" max="11264" width="11.42578125" style="1"/>
    <col min="11265" max="11265" width="12.7109375" style="1" customWidth="1"/>
    <col min="11266" max="11266" width="15.28515625" style="1" customWidth="1"/>
    <col min="11267" max="11267" width="21.140625" style="1" customWidth="1"/>
    <col min="11268" max="11268" width="23.7109375" style="1" customWidth="1"/>
    <col min="11269" max="11270" width="14.7109375" style="1" customWidth="1"/>
    <col min="11271" max="11520" width="11.42578125" style="1"/>
    <col min="11521" max="11521" width="12.7109375" style="1" customWidth="1"/>
    <col min="11522" max="11522" width="15.28515625" style="1" customWidth="1"/>
    <col min="11523" max="11523" width="21.140625" style="1" customWidth="1"/>
    <col min="11524" max="11524" width="23.7109375" style="1" customWidth="1"/>
    <col min="11525" max="11526" width="14.7109375" style="1" customWidth="1"/>
    <col min="11527" max="11776" width="11.42578125" style="1"/>
    <col min="11777" max="11777" width="12.7109375" style="1" customWidth="1"/>
    <col min="11778" max="11778" width="15.28515625" style="1" customWidth="1"/>
    <col min="11779" max="11779" width="21.140625" style="1" customWidth="1"/>
    <col min="11780" max="11780" width="23.7109375" style="1" customWidth="1"/>
    <col min="11781" max="11782" width="14.7109375" style="1" customWidth="1"/>
    <col min="11783" max="12032" width="11.42578125" style="1"/>
    <col min="12033" max="12033" width="12.7109375" style="1" customWidth="1"/>
    <col min="12034" max="12034" width="15.28515625" style="1" customWidth="1"/>
    <col min="12035" max="12035" width="21.140625" style="1" customWidth="1"/>
    <col min="12036" max="12036" width="23.7109375" style="1" customWidth="1"/>
    <col min="12037" max="12038" width="14.7109375" style="1" customWidth="1"/>
    <col min="12039" max="12288" width="11.42578125" style="1"/>
    <col min="12289" max="12289" width="12.7109375" style="1" customWidth="1"/>
    <col min="12290" max="12290" width="15.28515625" style="1" customWidth="1"/>
    <col min="12291" max="12291" width="21.140625" style="1" customWidth="1"/>
    <col min="12292" max="12292" width="23.7109375" style="1" customWidth="1"/>
    <col min="12293" max="12294" width="14.7109375" style="1" customWidth="1"/>
    <col min="12295" max="12544" width="11.42578125" style="1"/>
    <col min="12545" max="12545" width="12.7109375" style="1" customWidth="1"/>
    <col min="12546" max="12546" width="15.28515625" style="1" customWidth="1"/>
    <col min="12547" max="12547" width="21.140625" style="1" customWidth="1"/>
    <col min="12548" max="12548" width="23.7109375" style="1" customWidth="1"/>
    <col min="12549" max="12550" width="14.7109375" style="1" customWidth="1"/>
    <col min="12551" max="12800" width="11.42578125" style="1"/>
    <col min="12801" max="12801" width="12.7109375" style="1" customWidth="1"/>
    <col min="12802" max="12802" width="15.28515625" style="1" customWidth="1"/>
    <col min="12803" max="12803" width="21.140625" style="1" customWidth="1"/>
    <col min="12804" max="12804" width="23.7109375" style="1" customWidth="1"/>
    <col min="12805" max="12806" width="14.7109375" style="1" customWidth="1"/>
    <col min="12807" max="13056" width="11.42578125" style="1"/>
    <col min="13057" max="13057" width="12.7109375" style="1" customWidth="1"/>
    <col min="13058" max="13058" width="15.28515625" style="1" customWidth="1"/>
    <col min="13059" max="13059" width="21.140625" style="1" customWidth="1"/>
    <col min="13060" max="13060" width="23.7109375" style="1" customWidth="1"/>
    <col min="13061" max="13062" width="14.7109375" style="1" customWidth="1"/>
    <col min="13063" max="13312" width="11.42578125" style="1"/>
    <col min="13313" max="13313" width="12.7109375" style="1" customWidth="1"/>
    <col min="13314" max="13314" width="15.28515625" style="1" customWidth="1"/>
    <col min="13315" max="13315" width="21.140625" style="1" customWidth="1"/>
    <col min="13316" max="13316" width="23.7109375" style="1" customWidth="1"/>
    <col min="13317" max="13318" width="14.7109375" style="1" customWidth="1"/>
    <col min="13319" max="13568" width="11.42578125" style="1"/>
    <col min="13569" max="13569" width="12.7109375" style="1" customWidth="1"/>
    <col min="13570" max="13570" width="15.28515625" style="1" customWidth="1"/>
    <col min="13571" max="13571" width="21.140625" style="1" customWidth="1"/>
    <col min="13572" max="13572" width="23.7109375" style="1" customWidth="1"/>
    <col min="13573" max="13574" width="14.7109375" style="1" customWidth="1"/>
    <col min="13575" max="13824" width="11.42578125" style="1"/>
    <col min="13825" max="13825" width="12.7109375" style="1" customWidth="1"/>
    <col min="13826" max="13826" width="15.28515625" style="1" customWidth="1"/>
    <col min="13827" max="13827" width="21.140625" style="1" customWidth="1"/>
    <col min="13828" max="13828" width="23.7109375" style="1" customWidth="1"/>
    <col min="13829" max="13830" width="14.7109375" style="1" customWidth="1"/>
    <col min="13831" max="14080" width="11.42578125" style="1"/>
    <col min="14081" max="14081" width="12.7109375" style="1" customWidth="1"/>
    <col min="14082" max="14082" width="15.28515625" style="1" customWidth="1"/>
    <col min="14083" max="14083" width="21.140625" style="1" customWidth="1"/>
    <col min="14084" max="14084" width="23.7109375" style="1" customWidth="1"/>
    <col min="14085" max="14086" width="14.7109375" style="1" customWidth="1"/>
    <col min="14087" max="14336" width="11.42578125" style="1"/>
    <col min="14337" max="14337" width="12.7109375" style="1" customWidth="1"/>
    <col min="14338" max="14338" width="15.28515625" style="1" customWidth="1"/>
    <col min="14339" max="14339" width="21.140625" style="1" customWidth="1"/>
    <col min="14340" max="14340" width="23.7109375" style="1" customWidth="1"/>
    <col min="14341" max="14342" width="14.7109375" style="1" customWidth="1"/>
    <col min="14343" max="14592" width="11.42578125" style="1"/>
    <col min="14593" max="14593" width="12.7109375" style="1" customWidth="1"/>
    <col min="14594" max="14594" width="15.28515625" style="1" customWidth="1"/>
    <col min="14595" max="14595" width="21.140625" style="1" customWidth="1"/>
    <col min="14596" max="14596" width="23.7109375" style="1" customWidth="1"/>
    <col min="14597" max="14598" width="14.7109375" style="1" customWidth="1"/>
    <col min="14599" max="14848" width="11.42578125" style="1"/>
    <col min="14849" max="14849" width="12.7109375" style="1" customWidth="1"/>
    <col min="14850" max="14850" width="15.28515625" style="1" customWidth="1"/>
    <col min="14851" max="14851" width="21.140625" style="1" customWidth="1"/>
    <col min="14852" max="14852" width="23.7109375" style="1" customWidth="1"/>
    <col min="14853" max="14854" width="14.7109375" style="1" customWidth="1"/>
    <col min="14855" max="15104" width="11.42578125" style="1"/>
    <col min="15105" max="15105" width="12.7109375" style="1" customWidth="1"/>
    <col min="15106" max="15106" width="15.28515625" style="1" customWidth="1"/>
    <col min="15107" max="15107" width="21.140625" style="1" customWidth="1"/>
    <col min="15108" max="15108" width="23.7109375" style="1" customWidth="1"/>
    <col min="15109" max="15110" width="14.7109375" style="1" customWidth="1"/>
    <col min="15111" max="15360" width="11.42578125" style="1"/>
    <col min="15361" max="15361" width="12.7109375" style="1" customWidth="1"/>
    <col min="15362" max="15362" width="15.28515625" style="1" customWidth="1"/>
    <col min="15363" max="15363" width="21.140625" style="1" customWidth="1"/>
    <col min="15364" max="15364" width="23.7109375" style="1" customWidth="1"/>
    <col min="15365" max="15366" width="14.7109375" style="1" customWidth="1"/>
    <col min="15367" max="15616" width="11.42578125" style="1"/>
    <col min="15617" max="15617" width="12.7109375" style="1" customWidth="1"/>
    <col min="15618" max="15618" width="15.28515625" style="1" customWidth="1"/>
    <col min="15619" max="15619" width="21.140625" style="1" customWidth="1"/>
    <col min="15620" max="15620" width="23.7109375" style="1" customWidth="1"/>
    <col min="15621" max="15622" width="14.7109375" style="1" customWidth="1"/>
    <col min="15623" max="15872" width="11.42578125" style="1"/>
    <col min="15873" max="15873" width="12.7109375" style="1" customWidth="1"/>
    <col min="15874" max="15874" width="15.28515625" style="1" customWidth="1"/>
    <col min="15875" max="15875" width="21.140625" style="1" customWidth="1"/>
    <col min="15876" max="15876" width="23.7109375" style="1" customWidth="1"/>
    <col min="15877" max="15878" width="14.7109375" style="1" customWidth="1"/>
    <col min="15879" max="16128" width="11.42578125" style="1"/>
    <col min="16129" max="16129" width="12.7109375" style="1" customWidth="1"/>
    <col min="16130" max="16130" width="15.28515625" style="1" customWidth="1"/>
    <col min="16131" max="16131" width="21.140625" style="1" customWidth="1"/>
    <col min="16132" max="16132" width="23.7109375" style="1" customWidth="1"/>
    <col min="16133" max="16134" width="14.7109375" style="1" customWidth="1"/>
    <col min="16135" max="16384" width="11.42578125" style="1"/>
  </cols>
  <sheetData>
    <row r="1" spans="1:6" ht="28.5" customHeight="1">
      <c r="A1" s="813"/>
      <c r="B1" s="813"/>
      <c r="C1" s="814" t="s">
        <v>292</v>
      </c>
      <c r="D1" s="814"/>
      <c r="E1" s="814"/>
      <c r="F1" s="140" t="s">
        <v>293</v>
      </c>
    </row>
    <row r="2" spans="1:6">
      <c r="A2" s="141"/>
      <c r="B2" s="141"/>
      <c r="C2" s="141"/>
      <c r="D2" s="141"/>
      <c r="E2" s="141"/>
      <c r="F2" s="141"/>
    </row>
    <row r="3" spans="1:6" ht="31.5" customHeight="1">
      <c r="A3" s="142" t="s">
        <v>294</v>
      </c>
      <c r="B3" s="142" t="s">
        <v>1</v>
      </c>
      <c r="C3" s="142" t="s">
        <v>295</v>
      </c>
      <c r="D3" s="142" t="s">
        <v>296</v>
      </c>
      <c r="E3" s="142" t="s">
        <v>297</v>
      </c>
      <c r="F3" s="142" t="s">
        <v>298</v>
      </c>
    </row>
    <row r="4" spans="1:6" ht="39.950000000000003" customHeight="1">
      <c r="A4" s="143">
        <f ca="1">TODAY()</f>
        <v>44777</v>
      </c>
      <c r="B4" s="144"/>
      <c r="C4" s="144"/>
      <c r="D4" s="144"/>
      <c r="E4" s="144"/>
      <c r="F4" s="144"/>
    </row>
    <row r="5" spans="1:6" ht="39.950000000000003" customHeight="1">
      <c r="A5" s="143" t="str">
        <f t="shared" ref="A5:A19" ca="1" si="0">IF(B5=0,"",TODAY())</f>
        <v/>
      </c>
      <c r="B5" s="144"/>
      <c r="C5" s="144"/>
      <c r="D5" s="144"/>
      <c r="E5" s="144"/>
      <c r="F5" s="144"/>
    </row>
    <row r="6" spans="1:6" ht="39.950000000000003" customHeight="1">
      <c r="A6" s="143" t="str">
        <f t="shared" ca="1" si="0"/>
        <v/>
      </c>
      <c r="B6" s="144"/>
      <c r="C6" s="144"/>
      <c r="D6" s="144"/>
      <c r="E6" s="144"/>
      <c r="F6" s="144"/>
    </row>
    <row r="7" spans="1:6" ht="39.950000000000003" customHeight="1">
      <c r="A7" s="143" t="str">
        <f t="shared" ca="1" si="0"/>
        <v/>
      </c>
      <c r="B7" s="144"/>
      <c r="C7" s="144"/>
      <c r="D7" s="144"/>
      <c r="E7" s="144"/>
      <c r="F7" s="144"/>
    </row>
    <row r="8" spans="1:6" ht="39.950000000000003" customHeight="1">
      <c r="A8" s="143" t="str">
        <f t="shared" ca="1" si="0"/>
        <v/>
      </c>
      <c r="B8" s="144"/>
      <c r="C8" s="144"/>
      <c r="D8" s="144"/>
      <c r="E8" s="144"/>
      <c r="F8" s="144"/>
    </row>
    <row r="9" spans="1:6" ht="39.950000000000003" customHeight="1">
      <c r="A9" s="143" t="str">
        <f t="shared" ca="1" si="0"/>
        <v/>
      </c>
      <c r="B9" s="144"/>
      <c r="C9" s="144"/>
      <c r="D9" s="144"/>
      <c r="E9" s="144"/>
      <c r="F9" s="144"/>
    </row>
    <row r="10" spans="1:6" ht="39.950000000000003" customHeight="1">
      <c r="A10" s="143" t="str">
        <f t="shared" ca="1" si="0"/>
        <v/>
      </c>
      <c r="B10" s="144"/>
      <c r="C10" s="144"/>
      <c r="D10" s="144"/>
      <c r="E10" s="144"/>
      <c r="F10" s="144"/>
    </row>
    <row r="11" spans="1:6" ht="39.950000000000003" customHeight="1">
      <c r="A11" s="143" t="str">
        <f t="shared" ca="1" si="0"/>
        <v/>
      </c>
      <c r="B11" s="144"/>
      <c r="C11" s="144"/>
      <c r="D11" s="144"/>
      <c r="E11" s="144"/>
      <c r="F11" s="144"/>
    </row>
    <row r="12" spans="1:6" ht="39.950000000000003" customHeight="1">
      <c r="A12" s="143" t="str">
        <f t="shared" ca="1" si="0"/>
        <v/>
      </c>
      <c r="B12" s="144"/>
      <c r="C12" s="144"/>
      <c r="D12" s="144"/>
      <c r="E12" s="144"/>
      <c r="F12" s="144"/>
    </row>
    <row r="13" spans="1:6" ht="39.950000000000003" customHeight="1">
      <c r="A13" s="143" t="str">
        <f t="shared" ca="1" si="0"/>
        <v/>
      </c>
      <c r="B13" s="144"/>
      <c r="C13" s="144"/>
      <c r="D13" s="144"/>
      <c r="E13" s="144"/>
      <c r="F13" s="144"/>
    </row>
    <row r="14" spans="1:6" ht="39.950000000000003" customHeight="1">
      <c r="A14" s="143" t="str">
        <f t="shared" ca="1" si="0"/>
        <v/>
      </c>
      <c r="B14" s="144"/>
      <c r="C14" s="144"/>
      <c r="D14" s="144"/>
      <c r="E14" s="144"/>
      <c r="F14" s="144"/>
    </row>
    <row r="15" spans="1:6" ht="39.950000000000003" customHeight="1">
      <c r="A15" s="143" t="str">
        <f t="shared" ca="1" si="0"/>
        <v/>
      </c>
      <c r="B15" s="144"/>
      <c r="C15" s="144"/>
      <c r="D15" s="144"/>
      <c r="E15" s="144"/>
      <c r="F15" s="144"/>
    </row>
    <row r="16" spans="1:6" ht="39.950000000000003" customHeight="1">
      <c r="A16" s="143" t="str">
        <f t="shared" ca="1" si="0"/>
        <v/>
      </c>
      <c r="B16" s="144"/>
      <c r="C16" s="144"/>
      <c r="D16" s="144"/>
      <c r="E16" s="144"/>
      <c r="F16" s="144"/>
    </row>
    <row r="17" spans="1:6" ht="39.950000000000003" customHeight="1">
      <c r="A17" s="143" t="str">
        <f t="shared" ca="1" si="0"/>
        <v/>
      </c>
      <c r="B17" s="144"/>
      <c r="C17" s="144"/>
      <c r="D17" s="144"/>
      <c r="E17" s="144"/>
      <c r="F17" s="144"/>
    </row>
    <row r="18" spans="1:6" ht="39.950000000000003" customHeight="1">
      <c r="A18" s="143" t="str">
        <f t="shared" ca="1" si="0"/>
        <v/>
      </c>
      <c r="B18" s="144"/>
      <c r="C18" s="144"/>
      <c r="D18" s="144"/>
      <c r="E18" s="144"/>
      <c r="F18" s="144"/>
    </row>
    <row r="19" spans="1:6" ht="33.75" customHeight="1">
      <c r="A19" s="143" t="str">
        <f t="shared" ca="1" si="0"/>
        <v/>
      </c>
      <c r="B19" s="144"/>
      <c r="C19" s="144"/>
      <c r="D19" s="144"/>
      <c r="E19" s="144"/>
      <c r="F19" s="144"/>
    </row>
  </sheetData>
  <mergeCells count="2">
    <mergeCell ref="A1:B1"/>
    <mergeCell ref="C1:E1"/>
  </mergeCells>
  <pageMargins left="0.51181102362204722" right="0.51181102362204722" top="0.74803149606299213" bottom="0.74803149606299213" header="0" footer="0"/>
  <pageSetup scale="93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>
    <pageSetUpPr fitToPage="1"/>
  </sheetPr>
  <dimension ref="A1:F36"/>
  <sheetViews>
    <sheetView view="pageBreakPreview" zoomScaleSheetLayoutView="100" workbookViewId="0">
      <selection activeCell="E3" sqref="E3:F3"/>
    </sheetView>
  </sheetViews>
  <sheetFormatPr defaultColWidth="11.42578125" defaultRowHeight="12.75"/>
  <cols>
    <col min="1" max="1" width="13.7109375" style="146" customWidth="1"/>
    <col min="2" max="2" width="13.5703125" style="146" customWidth="1"/>
    <col min="3" max="3" width="17.7109375" style="146" customWidth="1"/>
    <col min="4" max="5" width="16.7109375" style="146" customWidth="1"/>
    <col min="6" max="6" width="14.42578125" style="146" customWidth="1"/>
    <col min="7" max="256" width="11.42578125" style="146"/>
    <col min="257" max="257" width="13.7109375" style="146" customWidth="1"/>
    <col min="258" max="258" width="13.5703125" style="146" customWidth="1"/>
    <col min="259" max="259" width="17.7109375" style="146" customWidth="1"/>
    <col min="260" max="261" width="16.7109375" style="146" customWidth="1"/>
    <col min="262" max="262" width="14.42578125" style="146" customWidth="1"/>
    <col min="263" max="512" width="11.42578125" style="146"/>
    <col min="513" max="513" width="13.7109375" style="146" customWidth="1"/>
    <col min="514" max="514" width="13.5703125" style="146" customWidth="1"/>
    <col min="515" max="515" width="17.7109375" style="146" customWidth="1"/>
    <col min="516" max="517" width="16.7109375" style="146" customWidth="1"/>
    <col min="518" max="518" width="14.42578125" style="146" customWidth="1"/>
    <col min="519" max="768" width="11.42578125" style="146"/>
    <col min="769" max="769" width="13.7109375" style="146" customWidth="1"/>
    <col min="770" max="770" width="13.5703125" style="146" customWidth="1"/>
    <col min="771" max="771" width="17.7109375" style="146" customWidth="1"/>
    <col min="772" max="773" width="16.7109375" style="146" customWidth="1"/>
    <col min="774" max="774" width="14.42578125" style="146" customWidth="1"/>
    <col min="775" max="1024" width="11.42578125" style="146"/>
    <col min="1025" max="1025" width="13.7109375" style="146" customWidth="1"/>
    <col min="1026" max="1026" width="13.5703125" style="146" customWidth="1"/>
    <col min="1027" max="1027" width="17.7109375" style="146" customWidth="1"/>
    <col min="1028" max="1029" width="16.7109375" style="146" customWidth="1"/>
    <col min="1030" max="1030" width="14.42578125" style="146" customWidth="1"/>
    <col min="1031" max="1280" width="11.42578125" style="146"/>
    <col min="1281" max="1281" width="13.7109375" style="146" customWidth="1"/>
    <col min="1282" max="1282" width="13.5703125" style="146" customWidth="1"/>
    <col min="1283" max="1283" width="17.7109375" style="146" customWidth="1"/>
    <col min="1284" max="1285" width="16.7109375" style="146" customWidth="1"/>
    <col min="1286" max="1286" width="14.42578125" style="146" customWidth="1"/>
    <col min="1287" max="1536" width="11.42578125" style="146"/>
    <col min="1537" max="1537" width="13.7109375" style="146" customWidth="1"/>
    <col min="1538" max="1538" width="13.5703125" style="146" customWidth="1"/>
    <col min="1539" max="1539" width="17.7109375" style="146" customWidth="1"/>
    <col min="1540" max="1541" width="16.7109375" style="146" customWidth="1"/>
    <col min="1542" max="1542" width="14.42578125" style="146" customWidth="1"/>
    <col min="1543" max="1792" width="11.42578125" style="146"/>
    <col min="1793" max="1793" width="13.7109375" style="146" customWidth="1"/>
    <col min="1794" max="1794" width="13.5703125" style="146" customWidth="1"/>
    <col min="1795" max="1795" width="17.7109375" style="146" customWidth="1"/>
    <col min="1796" max="1797" width="16.7109375" style="146" customWidth="1"/>
    <col min="1798" max="1798" width="14.42578125" style="146" customWidth="1"/>
    <col min="1799" max="2048" width="11.42578125" style="146"/>
    <col min="2049" max="2049" width="13.7109375" style="146" customWidth="1"/>
    <col min="2050" max="2050" width="13.5703125" style="146" customWidth="1"/>
    <col min="2051" max="2051" width="17.7109375" style="146" customWidth="1"/>
    <col min="2052" max="2053" width="16.7109375" style="146" customWidth="1"/>
    <col min="2054" max="2054" width="14.42578125" style="146" customWidth="1"/>
    <col min="2055" max="2304" width="11.42578125" style="146"/>
    <col min="2305" max="2305" width="13.7109375" style="146" customWidth="1"/>
    <col min="2306" max="2306" width="13.5703125" style="146" customWidth="1"/>
    <col min="2307" max="2307" width="17.7109375" style="146" customWidth="1"/>
    <col min="2308" max="2309" width="16.7109375" style="146" customWidth="1"/>
    <col min="2310" max="2310" width="14.42578125" style="146" customWidth="1"/>
    <col min="2311" max="2560" width="11.42578125" style="146"/>
    <col min="2561" max="2561" width="13.7109375" style="146" customWidth="1"/>
    <col min="2562" max="2562" width="13.5703125" style="146" customWidth="1"/>
    <col min="2563" max="2563" width="17.7109375" style="146" customWidth="1"/>
    <col min="2564" max="2565" width="16.7109375" style="146" customWidth="1"/>
    <col min="2566" max="2566" width="14.42578125" style="146" customWidth="1"/>
    <col min="2567" max="2816" width="11.42578125" style="146"/>
    <col min="2817" max="2817" width="13.7109375" style="146" customWidth="1"/>
    <col min="2818" max="2818" width="13.5703125" style="146" customWidth="1"/>
    <col min="2819" max="2819" width="17.7109375" style="146" customWidth="1"/>
    <col min="2820" max="2821" width="16.7109375" style="146" customWidth="1"/>
    <col min="2822" max="2822" width="14.42578125" style="146" customWidth="1"/>
    <col min="2823" max="3072" width="11.42578125" style="146"/>
    <col min="3073" max="3073" width="13.7109375" style="146" customWidth="1"/>
    <col min="3074" max="3074" width="13.5703125" style="146" customWidth="1"/>
    <col min="3075" max="3075" width="17.7109375" style="146" customWidth="1"/>
    <col min="3076" max="3077" width="16.7109375" style="146" customWidth="1"/>
    <col min="3078" max="3078" width="14.42578125" style="146" customWidth="1"/>
    <col min="3079" max="3328" width="11.42578125" style="146"/>
    <col min="3329" max="3329" width="13.7109375" style="146" customWidth="1"/>
    <col min="3330" max="3330" width="13.5703125" style="146" customWidth="1"/>
    <col min="3331" max="3331" width="17.7109375" style="146" customWidth="1"/>
    <col min="3332" max="3333" width="16.7109375" style="146" customWidth="1"/>
    <col min="3334" max="3334" width="14.42578125" style="146" customWidth="1"/>
    <col min="3335" max="3584" width="11.42578125" style="146"/>
    <col min="3585" max="3585" width="13.7109375" style="146" customWidth="1"/>
    <col min="3586" max="3586" width="13.5703125" style="146" customWidth="1"/>
    <col min="3587" max="3587" width="17.7109375" style="146" customWidth="1"/>
    <col min="3588" max="3589" width="16.7109375" style="146" customWidth="1"/>
    <col min="3590" max="3590" width="14.42578125" style="146" customWidth="1"/>
    <col min="3591" max="3840" width="11.42578125" style="146"/>
    <col min="3841" max="3841" width="13.7109375" style="146" customWidth="1"/>
    <col min="3842" max="3842" width="13.5703125" style="146" customWidth="1"/>
    <col min="3843" max="3843" width="17.7109375" style="146" customWidth="1"/>
    <col min="3844" max="3845" width="16.7109375" style="146" customWidth="1"/>
    <col min="3846" max="3846" width="14.42578125" style="146" customWidth="1"/>
    <col min="3847" max="4096" width="11.42578125" style="146"/>
    <col min="4097" max="4097" width="13.7109375" style="146" customWidth="1"/>
    <col min="4098" max="4098" width="13.5703125" style="146" customWidth="1"/>
    <col min="4099" max="4099" width="17.7109375" style="146" customWidth="1"/>
    <col min="4100" max="4101" width="16.7109375" style="146" customWidth="1"/>
    <col min="4102" max="4102" width="14.42578125" style="146" customWidth="1"/>
    <col min="4103" max="4352" width="11.42578125" style="146"/>
    <col min="4353" max="4353" width="13.7109375" style="146" customWidth="1"/>
    <col min="4354" max="4354" width="13.5703125" style="146" customWidth="1"/>
    <col min="4355" max="4355" width="17.7109375" style="146" customWidth="1"/>
    <col min="4356" max="4357" width="16.7109375" style="146" customWidth="1"/>
    <col min="4358" max="4358" width="14.42578125" style="146" customWidth="1"/>
    <col min="4359" max="4608" width="11.42578125" style="146"/>
    <col min="4609" max="4609" width="13.7109375" style="146" customWidth="1"/>
    <col min="4610" max="4610" width="13.5703125" style="146" customWidth="1"/>
    <col min="4611" max="4611" width="17.7109375" style="146" customWidth="1"/>
    <col min="4612" max="4613" width="16.7109375" style="146" customWidth="1"/>
    <col min="4614" max="4614" width="14.42578125" style="146" customWidth="1"/>
    <col min="4615" max="4864" width="11.42578125" style="146"/>
    <col min="4865" max="4865" width="13.7109375" style="146" customWidth="1"/>
    <col min="4866" max="4866" width="13.5703125" style="146" customWidth="1"/>
    <col min="4867" max="4867" width="17.7109375" style="146" customWidth="1"/>
    <col min="4868" max="4869" width="16.7109375" style="146" customWidth="1"/>
    <col min="4870" max="4870" width="14.42578125" style="146" customWidth="1"/>
    <col min="4871" max="5120" width="11.42578125" style="146"/>
    <col min="5121" max="5121" width="13.7109375" style="146" customWidth="1"/>
    <col min="5122" max="5122" width="13.5703125" style="146" customWidth="1"/>
    <col min="5123" max="5123" width="17.7109375" style="146" customWidth="1"/>
    <col min="5124" max="5125" width="16.7109375" style="146" customWidth="1"/>
    <col min="5126" max="5126" width="14.42578125" style="146" customWidth="1"/>
    <col min="5127" max="5376" width="11.42578125" style="146"/>
    <col min="5377" max="5377" width="13.7109375" style="146" customWidth="1"/>
    <col min="5378" max="5378" width="13.5703125" style="146" customWidth="1"/>
    <col min="5379" max="5379" width="17.7109375" style="146" customWidth="1"/>
    <col min="5380" max="5381" width="16.7109375" style="146" customWidth="1"/>
    <col min="5382" max="5382" width="14.42578125" style="146" customWidth="1"/>
    <col min="5383" max="5632" width="11.42578125" style="146"/>
    <col min="5633" max="5633" width="13.7109375" style="146" customWidth="1"/>
    <col min="5634" max="5634" width="13.5703125" style="146" customWidth="1"/>
    <col min="5635" max="5635" width="17.7109375" style="146" customWidth="1"/>
    <col min="5636" max="5637" width="16.7109375" style="146" customWidth="1"/>
    <col min="5638" max="5638" width="14.42578125" style="146" customWidth="1"/>
    <col min="5639" max="5888" width="11.42578125" style="146"/>
    <col min="5889" max="5889" width="13.7109375" style="146" customWidth="1"/>
    <col min="5890" max="5890" width="13.5703125" style="146" customWidth="1"/>
    <col min="5891" max="5891" width="17.7109375" style="146" customWidth="1"/>
    <col min="5892" max="5893" width="16.7109375" style="146" customWidth="1"/>
    <col min="5894" max="5894" width="14.42578125" style="146" customWidth="1"/>
    <col min="5895" max="6144" width="11.42578125" style="146"/>
    <col min="6145" max="6145" width="13.7109375" style="146" customWidth="1"/>
    <col min="6146" max="6146" width="13.5703125" style="146" customWidth="1"/>
    <col min="6147" max="6147" width="17.7109375" style="146" customWidth="1"/>
    <col min="6148" max="6149" width="16.7109375" style="146" customWidth="1"/>
    <col min="6150" max="6150" width="14.42578125" style="146" customWidth="1"/>
    <col min="6151" max="6400" width="11.42578125" style="146"/>
    <col min="6401" max="6401" width="13.7109375" style="146" customWidth="1"/>
    <col min="6402" max="6402" width="13.5703125" style="146" customWidth="1"/>
    <col min="6403" max="6403" width="17.7109375" style="146" customWidth="1"/>
    <col min="6404" max="6405" width="16.7109375" style="146" customWidth="1"/>
    <col min="6406" max="6406" width="14.42578125" style="146" customWidth="1"/>
    <col min="6407" max="6656" width="11.42578125" style="146"/>
    <col min="6657" max="6657" width="13.7109375" style="146" customWidth="1"/>
    <col min="6658" max="6658" width="13.5703125" style="146" customWidth="1"/>
    <col min="6659" max="6659" width="17.7109375" style="146" customWidth="1"/>
    <col min="6660" max="6661" width="16.7109375" style="146" customWidth="1"/>
    <col min="6662" max="6662" width="14.42578125" style="146" customWidth="1"/>
    <col min="6663" max="6912" width="11.42578125" style="146"/>
    <col min="6913" max="6913" width="13.7109375" style="146" customWidth="1"/>
    <col min="6914" max="6914" width="13.5703125" style="146" customWidth="1"/>
    <col min="6915" max="6915" width="17.7109375" style="146" customWidth="1"/>
    <col min="6916" max="6917" width="16.7109375" style="146" customWidth="1"/>
    <col min="6918" max="6918" width="14.42578125" style="146" customWidth="1"/>
    <col min="6919" max="7168" width="11.42578125" style="146"/>
    <col min="7169" max="7169" width="13.7109375" style="146" customWidth="1"/>
    <col min="7170" max="7170" width="13.5703125" style="146" customWidth="1"/>
    <col min="7171" max="7171" width="17.7109375" style="146" customWidth="1"/>
    <col min="7172" max="7173" width="16.7109375" style="146" customWidth="1"/>
    <col min="7174" max="7174" width="14.42578125" style="146" customWidth="1"/>
    <col min="7175" max="7424" width="11.42578125" style="146"/>
    <col min="7425" max="7425" width="13.7109375" style="146" customWidth="1"/>
    <col min="7426" max="7426" width="13.5703125" style="146" customWidth="1"/>
    <col min="7427" max="7427" width="17.7109375" style="146" customWidth="1"/>
    <col min="7428" max="7429" width="16.7109375" style="146" customWidth="1"/>
    <col min="7430" max="7430" width="14.42578125" style="146" customWidth="1"/>
    <col min="7431" max="7680" width="11.42578125" style="146"/>
    <col min="7681" max="7681" width="13.7109375" style="146" customWidth="1"/>
    <col min="7682" max="7682" width="13.5703125" style="146" customWidth="1"/>
    <col min="7683" max="7683" width="17.7109375" style="146" customWidth="1"/>
    <col min="7684" max="7685" width="16.7109375" style="146" customWidth="1"/>
    <col min="7686" max="7686" width="14.42578125" style="146" customWidth="1"/>
    <col min="7687" max="7936" width="11.42578125" style="146"/>
    <col min="7937" max="7937" width="13.7109375" style="146" customWidth="1"/>
    <col min="7938" max="7938" width="13.5703125" style="146" customWidth="1"/>
    <col min="7939" max="7939" width="17.7109375" style="146" customWidth="1"/>
    <col min="7940" max="7941" width="16.7109375" style="146" customWidth="1"/>
    <col min="7942" max="7942" width="14.42578125" style="146" customWidth="1"/>
    <col min="7943" max="8192" width="11.42578125" style="146"/>
    <col min="8193" max="8193" width="13.7109375" style="146" customWidth="1"/>
    <col min="8194" max="8194" width="13.5703125" style="146" customWidth="1"/>
    <col min="8195" max="8195" width="17.7109375" style="146" customWidth="1"/>
    <col min="8196" max="8197" width="16.7109375" style="146" customWidth="1"/>
    <col min="8198" max="8198" width="14.42578125" style="146" customWidth="1"/>
    <col min="8199" max="8448" width="11.42578125" style="146"/>
    <col min="8449" max="8449" width="13.7109375" style="146" customWidth="1"/>
    <col min="8450" max="8450" width="13.5703125" style="146" customWidth="1"/>
    <col min="8451" max="8451" width="17.7109375" style="146" customWidth="1"/>
    <col min="8452" max="8453" width="16.7109375" style="146" customWidth="1"/>
    <col min="8454" max="8454" width="14.42578125" style="146" customWidth="1"/>
    <col min="8455" max="8704" width="11.42578125" style="146"/>
    <col min="8705" max="8705" width="13.7109375" style="146" customWidth="1"/>
    <col min="8706" max="8706" width="13.5703125" style="146" customWidth="1"/>
    <col min="8707" max="8707" width="17.7109375" style="146" customWidth="1"/>
    <col min="8708" max="8709" width="16.7109375" style="146" customWidth="1"/>
    <col min="8710" max="8710" width="14.42578125" style="146" customWidth="1"/>
    <col min="8711" max="8960" width="11.42578125" style="146"/>
    <col min="8961" max="8961" width="13.7109375" style="146" customWidth="1"/>
    <col min="8962" max="8962" width="13.5703125" style="146" customWidth="1"/>
    <col min="8963" max="8963" width="17.7109375" style="146" customWidth="1"/>
    <col min="8964" max="8965" width="16.7109375" style="146" customWidth="1"/>
    <col min="8966" max="8966" width="14.42578125" style="146" customWidth="1"/>
    <col min="8967" max="9216" width="11.42578125" style="146"/>
    <col min="9217" max="9217" width="13.7109375" style="146" customWidth="1"/>
    <col min="9218" max="9218" width="13.5703125" style="146" customWidth="1"/>
    <col min="9219" max="9219" width="17.7109375" style="146" customWidth="1"/>
    <col min="9220" max="9221" width="16.7109375" style="146" customWidth="1"/>
    <col min="9222" max="9222" width="14.42578125" style="146" customWidth="1"/>
    <col min="9223" max="9472" width="11.42578125" style="146"/>
    <col min="9473" max="9473" width="13.7109375" style="146" customWidth="1"/>
    <col min="9474" max="9474" width="13.5703125" style="146" customWidth="1"/>
    <col min="9475" max="9475" width="17.7109375" style="146" customWidth="1"/>
    <col min="9476" max="9477" width="16.7109375" style="146" customWidth="1"/>
    <col min="9478" max="9478" width="14.42578125" style="146" customWidth="1"/>
    <col min="9479" max="9728" width="11.42578125" style="146"/>
    <col min="9729" max="9729" width="13.7109375" style="146" customWidth="1"/>
    <col min="9730" max="9730" width="13.5703125" style="146" customWidth="1"/>
    <col min="9731" max="9731" width="17.7109375" style="146" customWidth="1"/>
    <col min="9732" max="9733" width="16.7109375" style="146" customWidth="1"/>
    <col min="9734" max="9734" width="14.42578125" style="146" customWidth="1"/>
    <col min="9735" max="9984" width="11.42578125" style="146"/>
    <col min="9985" max="9985" width="13.7109375" style="146" customWidth="1"/>
    <col min="9986" max="9986" width="13.5703125" style="146" customWidth="1"/>
    <col min="9987" max="9987" width="17.7109375" style="146" customWidth="1"/>
    <col min="9988" max="9989" width="16.7109375" style="146" customWidth="1"/>
    <col min="9990" max="9990" width="14.42578125" style="146" customWidth="1"/>
    <col min="9991" max="10240" width="11.42578125" style="146"/>
    <col min="10241" max="10241" width="13.7109375" style="146" customWidth="1"/>
    <col min="10242" max="10242" width="13.5703125" style="146" customWidth="1"/>
    <col min="10243" max="10243" width="17.7109375" style="146" customWidth="1"/>
    <col min="10244" max="10245" width="16.7109375" style="146" customWidth="1"/>
    <col min="10246" max="10246" width="14.42578125" style="146" customWidth="1"/>
    <col min="10247" max="10496" width="11.42578125" style="146"/>
    <col min="10497" max="10497" width="13.7109375" style="146" customWidth="1"/>
    <col min="10498" max="10498" width="13.5703125" style="146" customWidth="1"/>
    <col min="10499" max="10499" width="17.7109375" style="146" customWidth="1"/>
    <col min="10500" max="10501" width="16.7109375" style="146" customWidth="1"/>
    <col min="10502" max="10502" width="14.42578125" style="146" customWidth="1"/>
    <col min="10503" max="10752" width="11.42578125" style="146"/>
    <col min="10753" max="10753" width="13.7109375" style="146" customWidth="1"/>
    <col min="10754" max="10754" width="13.5703125" style="146" customWidth="1"/>
    <col min="10755" max="10755" width="17.7109375" style="146" customWidth="1"/>
    <col min="10756" max="10757" width="16.7109375" style="146" customWidth="1"/>
    <col min="10758" max="10758" width="14.42578125" style="146" customWidth="1"/>
    <col min="10759" max="11008" width="11.42578125" style="146"/>
    <col min="11009" max="11009" width="13.7109375" style="146" customWidth="1"/>
    <col min="11010" max="11010" width="13.5703125" style="146" customWidth="1"/>
    <col min="11011" max="11011" width="17.7109375" style="146" customWidth="1"/>
    <col min="11012" max="11013" width="16.7109375" style="146" customWidth="1"/>
    <col min="11014" max="11014" width="14.42578125" style="146" customWidth="1"/>
    <col min="11015" max="11264" width="11.42578125" style="146"/>
    <col min="11265" max="11265" width="13.7109375" style="146" customWidth="1"/>
    <col min="11266" max="11266" width="13.5703125" style="146" customWidth="1"/>
    <col min="11267" max="11267" width="17.7109375" style="146" customWidth="1"/>
    <col min="11268" max="11269" width="16.7109375" style="146" customWidth="1"/>
    <col min="11270" max="11270" width="14.42578125" style="146" customWidth="1"/>
    <col min="11271" max="11520" width="11.42578125" style="146"/>
    <col min="11521" max="11521" width="13.7109375" style="146" customWidth="1"/>
    <col min="11522" max="11522" width="13.5703125" style="146" customWidth="1"/>
    <col min="11523" max="11523" width="17.7109375" style="146" customWidth="1"/>
    <col min="11524" max="11525" width="16.7109375" style="146" customWidth="1"/>
    <col min="11526" max="11526" width="14.42578125" style="146" customWidth="1"/>
    <col min="11527" max="11776" width="11.42578125" style="146"/>
    <col min="11777" max="11777" width="13.7109375" style="146" customWidth="1"/>
    <col min="11778" max="11778" width="13.5703125" style="146" customWidth="1"/>
    <col min="11779" max="11779" width="17.7109375" style="146" customWidth="1"/>
    <col min="11780" max="11781" width="16.7109375" style="146" customWidth="1"/>
    <col min="11782" max="11782" width="14.42578125" style="146" customWidth="1"/>
    <col min="11783" max="12032" width="11.42578125" style="146"/>
    <col min="12033" max="12033" width="13.7109375" style="146" customWidth="1"/>
    <col min="12034" max="12034" width="13.5703125" style="146" customWidth="1"/>
    <col min="12035" max="12035" width="17.7109375" style="146" customWidth="1"/>
    <col min="12036" max="12037" width="16.7109375" style="146" customWidth="1"/>
    <col min="12038" max="12038" width="14.42578125" style="146" customWidth="1"/>
    <col min="12039" max="12288" width="11.42578125" style="146"/>
    <col min="12289" max="12289" width="13.7109375" style="146" customWidth="1"/>
    <col min="12290" max="12290" width="13.5703125" style="146" customWidth="1"/>
    <col min="12291" max="12291" width="17.7109375" style="146" customWidth="1"/>
    <col min="12292" max="12293" width="16.7109375" style="146" customWidth="1"/>
    <col min="12294" max="12294" width="14.42578125" style="146" customWidth="1"/>
    <col min="12295" max="12544" width="11.42578125" style="146"/>
    <col min="12545" max="12545" width="13.7109375" style="146" customWidth="1"/>
    <col min="12546" max="12546" width="13.5703125" style="146" customWidth="1"/>
    <col min="12547" max="12547" width="17.7109375" style="146" customWidth="1"/>
    <col min="12548" max="12549" width="16.7109375" style="146" customWidth="1"/>
    <col min="12550" max="12550" width="14.42578125" style="146" customWidth="1"/>
    <col min="12551" max="12800" width="11.42578125" style="146"/>
    <col min="12801" max="12801" width="13.7109375" style="146" customWidth="1"/>
    <col min="12802" max="12802" width="13.5703125" style="146" customWidth="1"/>
    <col min="12803" max="12803" width="17.7109375" style="146" customWidth="1"/>
    <col min="12804" max="12805" width="16.7109375" style="146" customWidth="1"/>
    <col min="12806" max="12806" width="14.42578125" style="146" customWidth="1"/>
    <col min="12807" max="13056" width="11.42578125" style="146"/>
    <col min="13057" max="13057" width="13.7109375" style="146" customWidth="1"/>
    <col min="13058" max="13058" width="13.5703125" style="146" customWidth="1"/>
    <col min="13059" max="13059" width="17.7109375" style="146" customWidth="1"/>
    <col min="13060" max="13061" width="16.7109375" style="146" customWidth="1"/>
    <col min="13062" max="13062" width="14.42578125" style="146" customWidth="1"/>
    <col min="13063" max="13312" width="11.42578125" style="146"/>
    <col min="13313" max="13313" width="13.7109375" style="146" customWidth="1"/>
    <col min="13314" max="13314" width="13.5703125" style="146" customWidth="1"/>
    <col min="13315" max="13315" width="17.7109375" style="146" customWidth="1"/>
    <col min="13316" max="13317" width="16.7109375" style="146" customWidth="1"/>
    <col min="13318" max="13318" width="14.42578125" style="146" customWidth="1"/>
    <col min="13319" max="13568" width="11.42578125" style="146"/>
    <col min="13569" max="13569" width="13.7109375" style="146" customWidth="1"/>
    <col min="13570" max="13570" width="13.5703125" style="146" customWidth="1"/>
    <col min="13571" max="13571" width="17.7109375" style="146" customWidth="1"/>
    <col min="13572" max="13573" width="16.7109375" style="146" customWidth="1"/>
    <col min="13574" max="13574" width="14.42578125" style="146" customWidth="1"/>
    <col min="13575" max="13824" width="11.42578125" style="146"/>
    <col min="13825" max="13825" width="13.7109375" style="146" customWidth="1"/>
    <col min="13826" max="13826" width="13.5703125" style="146" customWidth="1"/>
    <col min="13827" max="13827" width="17.7109375" style="146" customWidth="1"/>
    <col min="13828" max="13829" width="16.7109375" style="146" customWidth="1"/>
    <col min="13830" max="13830" width="14.42578125" style="146" customWidth="1"/>
    <col min="13831" max="14080" width="11.42578125" style="146"/>
    <col min="14081" max="14081" width="13.7109375" style="146" customWidth="1"/>
    <col min="14082" max="14082" width="13.5703125" style="146" customWidth="1"/>
    <col min="14083" max="14083" width="17.7109375" style="146" customWidth="1"/>
    <col min="14084" max="14085" width="16.7109375" style="146" customWidth="1"/>
    <col min="14086" max="14086" width="14.42578125" style="146" customWidth="1"/>
    <col min="14087" max="14336" width="11.42578125" style="146"/>
    <col min="14337" max="14337" width="13.7109375" style="146" customWidth="1"/>
    <col min="14338" max="14338" width="13.5703125" style="146" customWidth="1"/>
    <col min="14339" max="14339" width="17.7109375" style="146" customWidth="1"/>
    <col min="14340" max="14341" width="16.7109375" style="146" customWidth="1"/>
    <col min="14342" max="14342" width="14.42578125" style="146" customWidth="1"/>
    <col min="14343" max="14592" width="11.42578125" style="146"/>
    <col min="14593" max="14593" width="13.7109375" style="146" customWidth="1"/>
    <col min="14594" max="14594" width="13.5703125" style="146" customWidth="1"/>
    <col min="14595" max="14595" width="17.7109375" style="146" customWidth="1"/>
    <col min="14596" max="14597" width="16.7109375" style="146" customWidth="1"/>
    <col min="14598" max="14598" width="14.42578125" style="146" customWidth="1"/>
    <col min="14599" max="14848" width="11.42578125" style="146"/>
    <col min="14849" max="14849" width="13.7109375" style="146" customWidth="1"/>
    <col min="14850" max="14850" width="13.5703125" style="146" customWidth="1"/>
    <col min="14851" max="14851" width="17.7109375" style="146" customWidth="1"/>
    <col min="14852" max="14853" width="16.7109375" style="146" customWidth="1"/>
    <col min="14854" max="14854" width="14.42578125" style="146" customWidth="1"/>
    <col min="14855" max="15104" width="11.42578125" style="146"/>
    <col min="15105" max="15105" width="13.7109375" style="146" customWidth="1"/>
    <col min="15106" max="15106" width="13.5703125" style="146" customWidth="1"/>
    <col min="15107" max="15107" width="17.7109375" style="146" customWidth="1"/>
    <col min="15108" max="15109" width="16.7109375" style="146" customWidth="1"/>
    <col min="15110" max="15110" width="14.42578125" style="146" customWidth="1"/>
    <col min="15111" max="15360" width="11.42578125" style="146"/>
    <col min="15361" max="15361" width="13.7109375" style="146" customWidth="1"/>
    <col min="15362" max="15362" width="13.5703125" style="146" customWidth="1"/>
    <col min="15363" max="15363" width="17.7109375" style="146" customWidth="1"/>
    <col min="15364" max="15365" width="16.7109375" style="146" customWidth="1"/>
    <col min="15366" max="15366" width="14.42578125" style="146" customWidth="1"/>
    <col min="15367" max="15616" width="11.42578125" style="146"/>
    <col min="15617" max="15617" width="13.7109375" style="146" customWidth="1"/>
    <col min="15618" max="15618" width="13.5703125" style="146" customWidth="1"/>
    <col min="15619" max="15619" width="17.7109375" style="146" customWidth="1"/>
    <col min="15620" max="15621" width="16.7109375" style="146" customWidth="1"/>
    <col min="15622" max="15622" width="14.42578125" style="146" customWidth="1"/>
    <col min="15623" max="15872" width="11.42578125" style="146"/>
    <col min="15873" max="15873" width="13.7109375" style="146" customWidth="1"/>
    <col min="15874" max="15874" width="13.5703125" style="146" customWidth="1"/>
    <col min="15875" max="15875" width="17.7109375" style="146" customWidth="1"/>
    <col min="15876" max="15877" width="16.7109375" style="146" customWidth="1"/>
    <col min="15878" max="15878" width="14.42578125" style="146" customWidth="1"/>
    <col min="15879" max="16128" width="11.42578125" style="146"/>
    <col min="16129" max="16129" width="13.7109375" style="146" customWidth="1"/>
    <col min="16130" max="16130" width="13.5703125" style="146" customWidth="1"/>
    <col min="16131" max="16131" width="17.7109375" style="146" customWidth="1"/>
    <col min="16132" max="16133" width="16.7109375" style="146" customWidth="1"/>
    <col min="16134" max="16134" width="14.42578125" style="146" customWidth="1"/>
    <col min="16135" max="16384" width="11.42578125" style="146"/>
  </cols>
  <sheetData>
    <row r="1" spans="1:6" ht="32.25" customHeight="1">
      <c r="A1" s="817"/>
      <c r="B1" s="817"/>
      <c r="C1" s="818" t="s">
        <v>299</v>
      </c>
      <c r="D1" s="818"/>
      <c r="E1" s="818"/>
      <c r="F1" s="145" t="s">
        <v>300</v>
      </c>
    </row>
    <row r="2" spans="1:6" ht="17.25" customHeight="1"/>
    <row r="3" spans="1:6">
      <c r="A3" s="147" t="s">
        <v>12</v>
      </c>
      <c r="B3" s="819">
        <f ca="1">TODAY()</f>
        <v>44777</v>
      </c>
      <c r="C3" s="819"/>
      <c r="D3" s="147" t="s">
        <v>301</v>
      </c>
      <c r="E3" s="820" t="str">
        <f>'FORMATO DIL'!B7</f>
        <v>JGARCIA</v>
      </c>
      <c r="F3" s="820"/>
    </row>
    <row r="4" spans="1:6">
      <c r="A4" s="148"/>
      <c r="B4" s="148"/>
      <c r="C4" s="148"/>
      <c r="D4" s="148"/>
      <c r="E4" s="148"/>
      <c r="F4" s="148"/>
    </row>
    <row r="5" spans="1:6" ht="25.5">
      <c r="A5" s="821" t="s">
        <v>6</v>
      </c>
      <c r="B5" s="821"/>
      <c r="C5" s="149" t="s">
        <v>302</v>
      </c>
      <c r="D5" s="149" t="s">
        <v>303</v>
      </c>
      <c r="E5" s="149" t="s">
        <v>304</v>
      </c>
      <c r="F5" s="149" t="s">
        <v>305</v>
      </c>
    </row>
    <row r="6" spans="1:6" ht="18.95" customHeight="1">
      <c r="A6" s="815"/>
      <c r="B6" s="816"/>
      <c r="C6" s="150"/>
      <c r="D6" s="151"/>
      <c r="E6" s="151"/>
      <c r="F6" s="152"/>
    </row>
    <row r="7" spans="1:6" ht="18.95" customHeight="1">
      <c r="A7" s="815"/>
      <c r="B7" s="816"/>
      <c r="C7" s="150"/>
      <c r="D7" s="151"/>
      <c r="E7" s="151"/>
      <c r="F7" s="152"/>
    </row>
    <row r="8" spans="1:6" ht="18.95" customHeight="1">
      <c r="A8" s="815"/>
      <c r="B8" s="816"/>
      <c r="C8" s="153"/>
      <c r="D8" s="151"/>
      <c r="E8" s="151"/>
      <c r="F8" s="152"/>
    </row>
    <row r="9" spans="1:6" ht="18.95" customHeight="1">
      <c r="A9" s="815"/>
      <c r="B9" s="816"/>
      <c r="C9" s="153"/>
      <c r="D9" s="151"/>
      <c r="E9" s="151"/>
      <c r="F9" s="152"/>
    </row>
    <row r="10" spans="1:6" ht="18.95" customHeight="1">
      <c r="A10" s="815"/>
      <c r="B10" s="816"/>
      <c r="C10" s="154"/>
      <c r="D10" s="151"/>
      <c r="E10" s="151"/>
      <c r="F10" s="152"/>
    </row>
    <row r="11" spans="1:6" ht="18.95" customHeight="1">
      <c r="A11" s="815"/>
      <c r="B11" s="816"/>
      <c r="C11" s="150"/>
      <c r="D11" s="151"/>
      <c r="E11" s="151"/>
      <c r="F11" s="152"/>
    </row>
    <row r="12" spans="1:6" ht="18.95" customHeight="1">
      <c r="A12" s="815"/>
      <c r="B12" s="816"/>
      <c r="C12" s="155"/>
      <c r="D12" s="151"/>
      <c r="E12" s="151"/>
      <c r="F12" s="152"/>
    </row>
    <row r="13" spans="1:6" ht="18.95" customHeight="1">
      <c r="A13" s="815"/>
      <c r="B13" s="816"/>
      <c r="C13" s="154"/>
      <c r="D13" s="156"/>
      <c r="E13" s="156"/>
      <c r="F13" s="154"/>
    </row>
    <row r="14" spans="1:6" ht="18.95" customHeight="1">
      <c r="A14" s="815"/>
      <c r="B14" s="816"/>
      <c r="C14" s="154"/>
      <c r="D14" s="156"/>
      <c r="E14" s="156"/>
      <c r="F14" s="154"/>
    </row>
    <row r="15" spans="1:6" ht="18.95" customHeight="1">
      <c r="A15" s="815"/>
      <c r="B15" s="816"/>
      <c r="C15" s="154"/>
      <c r="D15" s="156"/>
      <c r="E15" s="156"/>
      <c r="F15" s="154"/>
    </row>
    <row r="16" spans="1:6" ht="18.95" customHeight="1">
      <c r="A16" s="815"/>
      <c r="B16" s="816"/>
      <c r="C16" s="154"/>
      <c r="D16" s="156"/>
      <c r="E16" s="156"/>
      <c r="F16" s="154"/>
    </row>
    <row r="17" spans="1:6" ht="18.95" customHeight="1">
      <c r="A17" s="815"/>
      <c r="B17" s="816"/>
      <c r="C17" s="154"/>
      <c r="D17" s="156"/>
      <c r="E17" s="156"/>
      <c r="F17" s="154"/>
    </row>
    <row r="18" spans="1:6" ht="18.95" customHeight="1">
      <c r="A18" s="815"/>
      <c r="B18" s="816"/>
      <c r="C18" s="154"/>
      <c r="D18" s="156"/>
      <c r="E18" s="156"/>
      <c r="F18" s="154"/>
    </row>
    <row r="19" spans="1:6" ht="18.95" customHeight="1">
      <c r="A19" s="815"/>
      <c r="B19" s="816"/>
      <c r="C19" s="154"/>
      <c r="D19" s="156"/>
      <c r="E19" s="156"/>
      <c r="F19" s="154"/>
    </row>
    <row r="20" spans="1:6" ht="18.95" customHeight="1">
      <c r="A20" s="815"/>
      <c r="B20" s="816"/>
      <c r="C20" s="154"/>
      <c r="D20" s="156"/>
      <c r="E20" s="156"/>
      <c r="F20" s="154"/>
    </row>
    <row r="21" spans="1:6" ht="18.95" customHeight="1">
      <c r="A21" s="815"/>
      <c r="B21" s="816"/>
      <c r="C21" s="154"/>
      <c r="D21" s="156"/>
      <c r="E21" s="156"/>
      <c r="F21" s="154"/>
    </row>
    <row r="22" spans="1:6" ht="18.95" customHeight="1">
      <c r="A22" s="815"/>
      <c r="B22" s="816"/>
      <c r="C22" s="154"/>
      <c r="D22" s="156"/>
      <c r="E22" s="156"/>
      <c r="F22" s="154"/>
    </row>
    <row r="23" spans="1:6" ht="18.95" customHeight="1">
      <c r="A23" s="815"/>
      <c r="B23" s="816"/>
      <c r="C23" s="154"/>
      <c r="D23" s="156"/>
      <c r="E23" s="156"/>
      <c r="F23" s="154"/>
    </row>
    <row r="24" spans="1:6" ht="18.95" customHeight="1">
      <c r="A24" s="815"/>
      <c r="B24" s="816"/>
      <c r="C24" s="154"/>
      <c r="D24" s="156"/>
      <c r="E24" s="156"/>
      <c r="F24" s="154"/>
    </row>
    <row r="25" spans="1:6" ht="18.95" customHeight="1">
      <c r="A25" s="815"/>
      <c r="B25" s="816"/>
      <c r="C25" s="154"/>
      <c r="D25" s="156"/>
      <c r="E25" s="156"/>
      <c r="F25" s="154"/>
    </row>
    <row r="26" spans="1:6" ht="18.95" customHeight="1">
      <c r="A26" s="815"/>
      <c r="B26" s="816"/>
      <c r="C26" s="154"/>
      <c r="D26" s="156"/>
      <c r="E26" s="156"/>
      <c r="F26" s="154"/>
    </row>
    <row r="27" spans="1:6" ht="18.95" customHeight="1">
      <c r="A27" s="815"/>
      <c r="B27" s="816"/>
      <c r="C27" s="154"/>
      <c r="D27" s="156"/>
      <c r="E27" s="156"/>
      <c r="F27" s="154"/>
    </row>
    <row r="28" spans="1:6" ht="18.95" customHeight="1">
      <c r="A28" s="815"/>
      <c r="B28" s="816"/>
      <c r="C28" s="154"/>
      <c r="D28" s="156"/>
      <c r="E28" s="156"/>
      <c r="F28" s="154"/>
    </row>
    <row r="29" spans="1:6" ht="18.95" customHeight="1">
      <c r="A29" s="815"/>
      <c r="B29" s="816"/>
      <c r="C29" s="154"/>
      <c r="D29" s="156"/>
      <c r="E29" s="156"/>
      <c r="F29" s="154"/>
    </row>
    <row r="30" spans="1:6" ht="18.95" customHeight="1">
      <c r="A30" s="815"/>
      <c r="B30" s="816"/>
      <c r="C30" s="154"/>
      <c r="D30" s="156"/>
      <c r="E30" s="156"/>
      <c r="F30" s="154"/>
    </row>
    <row r="31" spans="1:6" ht="18.95" customHeight="1">
      <c r="A31" s="815"/>
      <c r="B31" s="816"/>
      <c r="C31" s="154"/>
      <c r="D31" s="156"/>
      <c r="E31" s="156"/>
      <c r="F31" s="154"/>
    </row>
    <row r="32" spans="1:6" ht="18.95" customHeight="1">
      <c r="A32" s="815"/>
      <c r="B32" s="816"/>
      <c r="C32" s="154"/>
      <c r="D32" s="156"/>
      <c r="E32" s="156"/>
      <c r="F32" s="154"/>
    </row>
    <row r="33" spans="1:6" ht="18.95" customHeight="1">
      <c r="A33" s="815"/>
      <c r="B33" s="816"/>
      <c r="C33" s="154"/>
      <c r="D33" s="156"/>
      <c r="E33" s="156"/>
      <c r="F33" s="154"/>
    </row>
    <row r="34" spans="1:6" ht="18.95" customHeight="1">
      <c r="A34" s="815"/>
      <c r="B34" s="816"/>
      <c r="C34" s="154"/>
      <c r="D34" s="156"/>
      <c r="E34" s="156"/>
      <c r="F34" s="154"/>
    </row>
    <row r="35" spans="1:6" ht="18.95" customHeight="1">
      <c r="A35" s="815"/>
      <c r="B35" s="816"/>
      <c r="C35" s="154"/>
      <c r="D35" s="156"/>
      <c r="E35" s="156"/>
      <c r="F35" s="154"/>
    </row>
    <row r="36" spans="1:6" ht="18.95" customHeight="1">
      <c r="A36" s="815"/>
      <c r="B36" s="816"/>
      <c r="C36" s="154"/>
      <c r="D36" s="156"/>
      <c r="E36" s="156"/>
      <c r="F36" s="154"/>
    </row>
  </sheetData>
  <mergeCells count="36">
    <mergeCell ref="A36:B36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24:B24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12:B12"/>
    <mergeCell ref="A1:B1"/>
    <mergeCell ref="C1:E1"/>
    <mergeCell ref="B3:C3"/>
    <mergeCell ref="E3:F3"/>
    <mergeCell ref="A5:B5"/>
    <mergeCell ref="A6:B6"/>
    <mergeCell ref="A7:B7"/>
    <mergeCell ref="A8:B8"/>
    <mergeCell ref="A9:B9"/>
    <mergeCell ref="A10:B10"/>
    <mergeCell ref="A11:B11"/>
  </mergeCells>
  <pageMargins left="0.70866141732283472" right="0.70866141732283472" top="0.74803149606299213" bottom="0.74803149606299213" header="0" footer="0"/>
  <pageSetup paperSize="256" scale="93" orientation="portrait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0000000}">
          <x14:formula1>
            <xm:f>ESTANDAR!$B$3:$B$98</xm:f>
          </x14:formula1>
          <xm:sqref>A6:B36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>
    <pageSetUpPr fitToPage="1"/>
  </sheetPr>
  <dimension ref="A1:L22"/>
  <sheetViews>
    <sheetView view="pageBreakPreview" zoomScaleSheetLayoutView="100" workbookViewId="0">
      <selection activeCell="A5" sqref="A5"/>
    </sheetView>
  </sheetViews>
  <sheetFormatPr defaultColWidth="9.140625" defaultRowHeight="12.75"/>
  <cols>
    <col min="1" max="1" width="12.85546875" style="146" customWidth="1"/>
    <col min="2" max="2" width="28.7109375" style="146" customWidth="1"/>
    <col min="3" max="3" width="9.28515625" style="146" customWidth="1"/>
    <col min="4" max="4" width="21.5703125" style="146" customWidth="1"/>
    <col min="5" max="5" width="10" style="146" customWidth="1"/>
    <col min="6" max="6" width="12.7109375" style="146" customWidth="1"/>
    <col min="7" max="10" width="5.42578125" style="146" customWidth="1"/>
    <col min="11" max="11" width="9" style="146" customWidth="1"/>
    <col min="12" max="12" width="12.7109375" style="146" customWidth="1"/>
    <col min="13" max="256" width="9.140625" style="146"/>
    <col min="257" max="257" width="12.85546875" style="146" customWidth="1"/>
    <col min="258" max="258" width="28.7109375" style="146" customWidth="1"/>
    <col min="259" max="259" width="9.28515625" style="146" customWidth="1"/>
    <col min="260" max="260" width="21.5703125" style="146" customWidth="1"/>
    <col min="261" max="261" width="10" style="146" customWidth="1"/>
    <col min="262" max="262" width="12.7109375" style="146" customWidth="1"/>
    <col min="263" max="266" width="5.42578125" style="146" customWidth="1"/>
    <col min="267" max="267" width="9" style="146" customWidth="1"/>
    <col min="268" max="268" width="12.7109375" style="146" customWidth="1"/>
    <col min="269" max="512" width="9.140625" style="146"/>
    <col min="513" max="513" width="12.85546875" style="146" customWidth="1"/>
    <col min="514" max="514" width="28.7109375" style="146" customWidth="1"/>
    <col min="515" max="515" width="9.28515625" style="146" customWidth="1"/>
    <col min="516" max="516" width="21.5703125" style="146" customWidth="1"/>
    <col min="517" max="517" width="10" style="146" customWidth="1"/>
    <col min="518" max="518" width="12.7109375" style="146" customWidth="1"/>
    <col min="519" max="522" width="5.42578125" style="146" customWidth="1"/>
    <col min="523" max="523" width="9" style="146" customWidth="1"/>
    <col min="524" max="524" width="12.7109375" style="146" customWidth="1"/>
    <col min="525" max="768" width="9.140625" style="146"/>
    <col min="769" max="769" width="12.85546875" style="146" customWidth="1"/>
    <col min="770" max="770" width="28.7109375" style="146" customWidth="1"/>
    <col min="771" max="771" width="9.28515625" style="146" customWidth="1"/>
    <col min="772" max="772" width="21.5703125" style="146" customWidth="1"/>
    <col min="773" max="773" width="10" style="146" customWidth="1"/>
    <col min="774" max="774" width="12.7109375" style="146" customWidth="1"/>
    <col min="775" max="778" width="5.42578125" style="146" customWidth="1"/>
    <col min="779" max="779" width="9" style="146" customWidth="1"/>
    <col min="780" max="780" width="12.7109375" style="146" customWidth="1"/>
    <col min="781" max="1024" width="9.140625" style="146"/>
    <col min="1025" max="1025" width="12.85546875" style="146" customWidth="1"/>
    <col min="1026" max="1026" width="28.7109375" style="146" customWidth="1"/>
    <col min="1027" max="1027" width="9.28515625" style="146" customWidth="1"/>
    <col min="1028" max="1028" width="21.5703125" style="146" customWidth="1"/>
    <col min="1029" max="1029" width="10" style="146" customWidth="1"/>
    <col min="1030" max="1030" width="12.7109375" style="146" customWidth="1"/>
    <col min="1031" max="1034" width="5.42578125" style="146" customWidth="1"/>
    <col min="1035" max="1035" width="9" style="146" customWidth="1"/>
    <col min="1036" max="1036" width="12.7109375" style="146" customWidth="1"/>
    <col min="1037" max="1280" width="9.140625" style="146"/>
    <col min="1281" max="1281" width="12.85546875" style="146" customWidth="1"/>
    <col min="1282" max="1282" width="28.7109375" style="146" customWidth="1"/>
    <col min="1283" max="1283" width="9.28515625" style="146" customWidth="1"/>
    <col min="1284" max="1284" width="21.5703125" style="146" customWidth="1"/>
    <col min="1285" max="1285" width="10" style="146" customWidth="1"/>
    <col min="1286" max="1286" width="12.7109375" style="146" customWidth="1"/>
    <col min="1287" max="1290" width="5.42578125" style="146" customWidth="1"/>
    <col min="1291" max="1291" width="9" style="146" customWidth="1"/>
    <col min="1292" max="1292" width="12.7109375" style="146" customWidth="1"/>
    <col min="1293" max="1536" width="9.140625" style="146"/>
    <col min="1537" max="1537" width="12.85546875" style="146" customWidth="1"/>
    <col min="1538" max="1538" width="28.7109375" style="146" customWidth="1"/>
    <col min="1539" max="1539" width="9.28515625" style="146" customWidth="1"/>
    <col min="1540" max="1540" width="21.5703125" style="146" customWidth="1"/>
    <col min="1541" max="1541" width="10" style="146" customWidth="1"/>
    <col min="1542" max="1542" width="12.7109375" style="146" customWidth="1"/>
    <col min="1543" max="1546" width="5.42578125" style="146" customWidth="1"/>
    <col min="1547" max="1547" width="9" style="146" customWidth="1"/>
    <col min="1548" max="1548" width="12.7109375" style="146" customWidth="1"/>
    <col min="1549" max="1792" width="9.140625" style="146"/>
    <col min="1793" max="1793" width="12.85546875" style="146" customWidth="1"/>
    <col min="1794" max="1794" width="28.7109375" style="146" customWidth="1"/>
    <col min="1795" max="1795" width="9.28515625" style="146" customWidth="1"/>
    <col min="1796" max="1796" width="21.5703125" style="146" customWidth="1"/>
    <col min="1797" max="1797" width="10" style="146" customWidth="1"/>
    <col min="1798" max="1798" width="12.7109375" style="146" customWidth="1"/>
    <col min="1799" max="1802" width="5.42578125" style="146" customWidth="1"/>
    <col min="1803" max="1803" width="9" style="146" customWidth="1"/>
    <col min="1804" max="1804" width="12.7109375" style="146" customWidth="1"/>
    <col min="1805" max="2048" width="9.140625" style="146"/>
    <col min="2049" max="2049" width="12.85546875" style="146" customWidth="1"/>
    <col min="2050" max="2050" width="28.7109375" style="146" customWidth="1"/>
    <col min="2051" max="2051" width="9.28515625" style="146" customWidth="1"/>
    <col min="2052" max="2052" width="21.5703125" style="146" customWidth="1"/>
    <col min="2053" max="2053" width="10" style="146" customWidth="1"/>
    <col min="2054" max="2054" width="12.7109375" style="146" customWidth="1"/>
    <col min="2055" max="2058" width="5.42578125" style="146" customWidth="1"/>
    <col min="2059" max="2059" width="9" style="146" customWidth="1"/>
    <col min="2060" max="2060" width="12.7109375" style="146" customWidth="1"/>
    <col min="2061" max="2304" width="9.140625" style="146"/>
    <col min="2305" max="2305" width="12.85546875" style="146" customWidth="1"/>
    <col min="2306" max="2306" width="28.7109375" style="146" customWidth="1"/>
    <col min="2307" max="2307" width="9.28515625" style="146" customWidth="1"/>
    <col min="2308" max="2308" width="21.5703125" style="146" customWidth="1"/>
    <col min="2309" max="2309" width="10" style="146" customWidth="1"/>
    <col min="2310" max="2310" width="12.7109375" style="146" customWidth="1"/>
    <col min="2311" max="2314" width="5.42578125" style="146" customWidth="1"/>
    <col min="2315" max="2315" width="9" style="146" customWidth="1"/>
    <col min="2316" max="2316" width="12.7109375" style="146" customWidth="1"/>
    <col min="2317" max="2560" width="9.140625" style="146"/>
    <col min="2561" max="2561" width="12.85546875" style="146" customWidth="1"/>
    <col min="2562" max="2562" width="28.7109375" style="146" customWidth="1"/>
    <col min="2563" max="2563" width="9.28515625" style="146" customWidth="1"/>
    <col min="2564" max="2564" width="21.5703125" style="146" customWidth="1"/>
    <col min="2565" max="2565" width="10" style="146" customWidth="1"/>
    <col min="2566" max="2566" width="12.7109375" style="146" customWidth="1"/>
    <col min="2567" max="2570" width="5.42578125" style="146" customWidth="1"/>
    <col min="2571" max="2571" width="9" style="146" customWidth="1"/>
    <col min="2572" max="2572" width="12.7109375" style="146" customWidth="1"/>
    <col min="2573" max="2816" width="9.140625" style="146"/>
    <col min="2817" max="2817" width="12.85546875" style="146" customWidth="1"/>
    <col min="2818" max="2818" width="28.7109375" style="146" customWidth="1"/>
    <col min="2819" max="2819" width="9.28515625" style="146" customWidth="1"/>
    <col min="2820" max="2820" width="21.5703125" style="146" customWidth="1"/>
    <col min="2821" max="2821" width="10" style="146" customWidth="1"/>
    <col min="2822" max="2822" width="12.7109375" style="146" customWidth="1"/>
    <col min="2823" max="2826" width="5.42578125" style="146" customWidth="1"/>
    <col min="2827" max="2827" width="9" style="146" customWidth="1"/>
    <col min="2828" max="2828" width="12.7109375" style="146" customWidth="1"/>
    <col min="2829" max="3072" width="9.140625" style="146"/>
    <col min="3073" max="3073" width="12.85546875" style="146" customWidth="1"/>
    <col min="3074" max="3074" width="28.7109375" style="146" customWidth="1"/>
    <col min="3075" max="3075" width="9.28515625" style="146" customWidth="1"/>
    <col min="3076" max="3076" width="21.5703125" style="146" customWidth="1"/>
    <col min="3077" max="3077" width="10" style="146" customWidth="1"/>
    <col min="3078" max="3078" width="12.7109375" style="146" customWidth="1"/>
    <col min="3079" max="3082" width="5.42578125" style="146" customWidth="1"/>
    <col min="3083" max="3083" width="9" style="146" customWidth="1"/>
    <col min="3084" max="3084" width="12.7109375" style="146" customWidth="1"/>
    <col min="3085" max="3328" width="9.140625" style="146"/>
    <col min="3329" max="3329" width="12.85546875" style="146" customWidth="1"/>
    <col min="3330" max="3330" width="28.7109375" style="146" customWidth="1"/>
    <col min="3331" max="3331" width="9.28515625" style="146" customWidth="1"/>
    <col min="3332" max="3332" width="21.5703125" style="146" customWidth="1"/>
    <col min="3333" max="3333" width="10" style="146" customWidth="1"/>
    <col min="3334" max="3334" width="12.7109375" style="146" customWidth="1"/>
    <col min="3335" max="3338" width="5.42578125" style="146" customWidth="1"/>
    <col min="3339" max="3339" width="9" style="146" customWidth="1"/>
    <col min="3340" max="3340" width="12.7109375" style="146" customWidth="1"/>
    <col min="3341" max="3584" width="9.140625" style="146"/>
    <col min="3585" max="3585" width="12.85546875" style="146" customWidth="1"/>
    <col min="3586" max="3586" width="28.7109375" style="146" customWidth="1"/>
    <col min="3587" max="3587" width="9.28515625" style="146" customWidth="1"/>
    <col min="3588" max="3588" width="21.5703125" style="146" customWidth="1"/>
    <col min="3589" max="3589" width="10" style="146" customWidth="1"/>
    <col min="3590" max="3590" width="12.7109375" style="146" customWidth="1"/>
    <col min="3591" max="3594" width="5.42578125" style="146" customWidth="1"/>
    <col min="3595" max="3595" width="9" style="146" customWidth="1"/>
    <col min="3596" max="3596" width="12.7109375" style="146" customWidth="1"/>
    <col min="3597" max="3840" width="9.140625" style="146"/>
    <col min="3841" max="3841" width="12.85546875" style="146" customWidth="1"/>
    <col min="3842" max="3842" width="28.7109375" style="146" customWidth="1"/>
    <col min="3843" max="3843" width="9.28515625" style="146" customWidth="1"/>
    <col min="3844" max="3844" width="21.5703125" style="146" customWidth="1"/>
    <col min="3845" max="3845" width="10" style="146" customWidth="1"/>
    <col min="3846" max="3846" width="12.7109375" style="146" customWidth="1"/>
    <col min="3847" max="3850" width="5.42578125" style="146" customWidth="1"/>
    <col min="3851" max="3851" width="9" style="146" customWidth="1"/>
    <col min="3852" max="3852" width="12.7109375" style="146" customWidth="1"/>
    <col min="3853" max="4096" width="9.140625" style="146"/>
    <col min="4097" max="4097" width="12.85546875" style="146" customWidth="1"/>
    <col min="4098" max="4098" width="28.7109375" style="146" customWidth="1"/>
    <col min="4099" max="4099" width="9.28515625" style="146" customWidth="1"/>
    <col min="4100" max="4100" width="21.5703125" style="146" customWidth="1"/>
    <col min="4101" max="4101" width="10" style="146" customWidth="1"/>
    <col min="4102" max="4102" width="12.7109375" style="146" customWidth="1"/>
    <col min="4103" max="4106" width="5.42578125" style="146" customWidth="1"/>
    <col min="4107" max="4107" width="9" style="146" customWidth="1"/>
    <col min="4108" max="4108" width="12.7109375" style="146" customWidth="1"/>
    <col min="4109" max="4352" width="9.140625" style="146"/>
    <col min="4353" max="4353" width="12.85546875" style="146" customWidth="1"/>
    <col min="4354" max="4354" width="28.7109375" style="146" customWidth="1"/>
    <col min="4355" max="4355" width="9.28515625" style="146" customWidth="1"/>
    <col min="4356" max="4356" width="21.5703125" style="146" customWidth="1"/>
    <col min="4357" max="4357" width="10" style="146" customWidth="1"/>
    <col min="4358" max="4358" width="12.7109375" style="146" customWidth="1"/>
    <col min="4359" max="4362" width="5.42578125" style="146" customWidth="1"/>
    <col min="4363" max="4363" width="9" style="146" customWidth="1"/>
    <col min="4364" max="4364" width="12.7109375" style="146" customWidth="1"/>
    <col min="4365" max="4608" width="9.140625" style="146"/>
    <col min="4609" max="4609" width="12.85546875" style="146" customWidth="1"/>
    <col min="4610" max="4610" width="28.7109375" style="146" customWidth="1"/>
    <col min="4611" max="4611" width="9.28515625" style="146" customWidth="1"/>
    <col min="4612" max="4612" width="21.5703125" style="146" customWidth="1"/>
    <col min="4613" max="4613" width="10" style="146" customWidth="1"/>
    <col min="4614" max="4614" width="12.7109375" style="146" customWidth="1"/>
    <col min="4615" max="4618" width="5.42578125" style="146" customWidth="1"/>
    <col min="4619" max="4619" width="9" style="146" customWidth="1"/>
    <col min="4620" max="4620" width="12.7109375" style="146" customWidth="1"/>
    <col min="4621" max="4864" width="9.140625" style="146"/>
    <col min="4865" max="4865" width="12.85546875" style="146" customWidth="1"/>
    <col min="4866" max="4866" width="28.7109375" style="146" customWidth="1"/>
    <col min="4867" max="4867" width="9.28515625" style="146" customWidth="1"/>
    <col min="4868" max="4868" width="21.5703125" style="146" customWidth="1"/>
    <col min="4869" max="4869" width="10" style="146" customWidth="1"/>
    <col min="4870" max="4870" width="12.7109375" style="146" customWidth="1"/>
    <col min="4871" max="4874" width="5.42578125" style="146" customWidth="1"/>
    <col min="4875" max="4875" width="9" style="146" customWidth="1"/>
    <col min="4876" max="4876" width="12.7109375" style="146" customWidth="1"/>
    <col min="4877" max="5120" width="9.140625" style="146"/>
    <col min="5121" max="5121" width="12.85546875" style="146" customWidth="1"/>
    <col min="5122" max="5122" width="28.7109375" style="146" customWidth="1"/>
    <col min="5123" max="5123" width="9.28515625" style="146" customWidth="1"/>
    <col min="5124" max="5124" width="21.5703125" style="146" customWidth="1"/>
    <col min="5125" max="5125" width="10" style="146" customWidth="1"/>
    <col min="5126" max="5126" width="12.7109375" style="146" customWidth="1"/>
    <col min="5127" max="5130" width="5.42578125" style="146" customWidth="1"/>
    <col min="5131" max="5131" width="9" style="146" customWidth="1"/>
    <col min="5132" max="5132" width="12.7109375" style="146" customWidth="1"/>
    <col min="5133" max="5376" width="9.140625" style="146"/>
    <col min="5377" max="5377" width="12.85546875" style="146" customWidth="1"/>
    <col min="5378" max="5378" width="28.7109375" style="146" customWidth="1"/>
    <col min="5379" max="5379" width="9.28515625" style="146" customWidth="1"/>
    <col min="5380" max="5380" width="21.5703125" style="146" customWidth="1"/>
    <col min="5381" max="5381" width="10" style="146" customWidth="1"/>
    <col min="5382" max="5382" width="12.7109375" style="146" customWidth="1"/>
    <col min="5383" max="5386" width="5.42578125" style="146" customWidth="1"/>
    <col min="5387" max="5387" width="9" style="146" customWidth="1"/>
    <col min="5388" max="5388" width="12.7109375" style="146" customWidth="1"/>
    <col min="5389" max="5632" width="9.140625" style="146"/>
    <col min="5633" max="5633" width="12.85546875" style="146" customWidth="1"/>
    <col min="5634" max="5634" width="28.7109375" style="146" customWidth="1"/>
    <col min="5635" max="5635" width="9.28515625" style="146" customWidth="1"/>
    <col min="5636" max="5636" width="21.5703125" style="146" customWidth="1"/>
    <col min="5637" max="5637" width="10" style="146" customWidth="1"/>
    <col min="5638" max="5638" width="12.7109375" style="146" customWidth="1"/>
    <col min="5639" max="5642" width="5.42578125" style="146" customWidth="1"/>
    <col min="5643" max="5643" width="9" style="146" customWidth="1"/>
    <col min="5644" max="5644" width="12.7109375" style="146" customWidth="1"/>
    <col min="5645" max="5888" width="9.140625" style="146"/>
    <col min="5889" max="5889" width="12.85546875" style="146" customWidth="1"/>
    <col min="5890" max="5890" width="28.7109375" style="146" customWidth="1"/>
    <col min="5891" max="5891" width="9.28515625" style="146" customWidth="1"/>
    <col min="5892" max="5892" width="21.5703125" style="146" customWidth="1"/>
    <col min="5893" max="5893" width="10" style="146" customWidth="1"/>
    <col min="5894" max="5894" width="12.7109375" style="146" customWidth="1"/>
    <col min="5895" max="5898" width="5.42578125" style="146" customWidth="1"/>
    <col min="5899" max="5899" width="9" style="146" customWidth="1"/>
    <col min="5900" max="5900" width="12.7109375" style="146" customWidth="1"/>
    <col min="5901" max="6144" width="9.140625" style="146"/>
    <col min="6145" max="6145" width="12.85546875" style="146" customWidth="1"/>
    <col min="6146" max="6146" width="28.7109375" style="146" customWidth="1"/>
    <col min="6147" max="6147" width="9.28515625" style="146" customWidth="1"/>
    <col min="6148" max="6148" width="21.5703125" style="146" customWidth="1"/>
    <col min="6149" max="6149" width="10" style="146" customWidth="1"/>
    <col min="6150" max="6150" width="12.7109375" style="146" customWidth="1"/>
    <col min="6151" max="6154" width="5.42578125" style="146" customWidth="1"/>
    <col min="6155" max="6155" width="9" style="146" customWidth="1"/>
    <col min="6156" max="6156" width="12.7109375" style="146" customWidth="1"/>
    <col min="6157" max="6400" width="9.140625" style="146"/>
    <col min="6401" max="6401" width="12.85546875" style="146" customWidth="1"/>
    <col min="6402" max="6402" width="28.7109375" style="146" customWidth="1"/>
    <col min="6403" max="6403" width="9.28515625" style="146" customWidth="1"/>
    <col min="6404" max="6404" width="21.5703125" style="146" customWidth="1"/>
    <col min="6405" max="6405" width="10" style="146" customWidth="1"/>
    <col min="6406" max="6406" width="12.7109375" style="146" customWidth="1"/>
    <col min="6407" max="6410" width="5.42578125" style="146" customWidth="1"/>
    <col min="6411" max="6411" width="9" style="146" customWidth="1"/>
    <col min="6412" max="6412" width="12.7109375" style="146" customWidth="1"/>
    <col min="6413" max="6656" width="9.140625" style="146"/>
    <col min="6657" max="6657" width="12.85546875" style="146" customWidth="1"/>
    <col min="6658" max="6658" width="28.7109375" style="146" customWidth="1"/>
    <col min="6659" max="6659" width="9.28515625" style="146" customWidth="1"/>
    <col min="6660" max="6660" width="21.5703125" style="146" customWidth="1"/>
    <col min="6661" max="6661" width="10" style="146" customWidth="1"/>
    <col min="6662" max="6662" width="12.7109375" style="146" customWidth="1"/>
    <col min="6663" max="6666" width="5.42578125" style="146" customWidth="1"/>
    <col min="6667" max="6667" width="9" style="146" customWidth="1"/>
    <col min="6668" max="6668" width="12.7109375" style="146" customWidth="1"/>
    <col min="6669" max="6912" width="9.140625" style="146"/>
    <col min="6913" max="6913" width="12.85546875" style="146" customWidth="1"/>
    <col min="6914" max="6914" width="28.7109375" style="146" customWidth="1"/>
    <col min="6915" max="6915" width="9.28515625" style="146" customWidth="1"/>
    <col min="6916" max="6916" width="21.5703125" style="146" customWidth="1"/>
    <col min="6917" max="6917" width="10" style="146" customWidth="1"/>
    <col min="6918" max="6918" width="12.7109375" style="146" customWidth="1"/>
    <col min="6919" max="6922" width="5.42578125" style="146" customWidth="1"/>
    <col min="6923" max="6923" width="9" style="146" customWidth="1"/>
    <col min="6924" max="6924" width="12.7109375" style="146" customWidth="1"/>
    <col min="6925" max="7168" width="9.140625" style="146"/>
    <col min="7169" max="7169" width="12.85546875" style="146" customWidth="1"/>
    <col min="7170" max="7170" width="28.7109375" style="146" customWidth="1"/>
    <col min="7171" max="7171" width="9.28515625" style="146" customWidth="1"/>
    <col min="7172" max="7172" width="21.5703125" style="146" customWidth="1"/>
    <col min="7173" max="7173" width="10" style="146" customWidth="1"/>
    <col min="7174" max="7174" width="12.7109375" style="146" customWidth="1"/>
    <col min="7175" max="7178" width="5.42578125" style="146" customWidth="1"/>
    <col min="7179" max="7179" width="9" style="146" customWidth="1"/>
    <col min="7180" max="7180" width="12.7109375" style="146" customWidth="1"/>
    <col min="7181" max="7424" width="9.140625" style="146"/>
    <col min="7425" max="7425" width="12.85546875" style="146" customWidth="1"/>
    <col min="7426" max="7426" width="28.7109375" style="146" customWidth="1"/>
    <col min="7427" max="7427" width="9.28515625" style="146" customWidth="1"/>
    <col min="7428" max="7428" width="21.5703125" style="146" customWidth="1"/>
    <col min="7429" max="7429" width="10" style="146" customWidth="1"/>
    <col min="7430" max="7430" width="12.7109375" style="146" customWidth="1"/>
    <col min="7431" max="7434" width="5.42578125" style="146" customWidth="1"/>
    <col min="7435" max="7435" width="9" style="146" customWidth="1"/>
    <col min="7436" max="7436" width="12.7109375" style="146" customWidth="1"/>
    <col min="7437" max="7680" width="9.140625" style="146"/>
    <col min="7681" max="7681" width="12.85546875" style="146" customWidth="1"/>
    <col min="7682" max="7682" width="28.7109375" style="146" customWidth="1"/>
    <col min="7683" max="7683" width="9.28515625" style="146" customWidth="1"/>
    <col min="7684" max="7684" width="21.5703125" style="146" customWidth="1"/>
    <col min="7685" max="7685" width="10" style="146" customWidth="1"/>
    <col min="7686" max="7686" width="12.7109375" style="146" customWidth="1"/>
    <col min="7687" max="7690" width="5.42578125" style="146" customWidth="1"/>
    <col min="7691" max="7691" width="9" style="146" customWidth="1"/>
    <col min="7692" max="7692" width="12.7109375" style="146" customWidth="1"/>
    <col min="7693" max="7936" width="9.140625" style="146"/>
    <col min="7937" max="7937" width="12.85546875" style="146" customWidth="1"/>
    <col min="7938" max="7938" width="28.7109375" style="146" customWidth="1"/>
    <col min="7939" max="7939" width="9.28515625" style="146" customWidth="1"/>
    <col min="7940" max="7940" width="21.5703125" style="146" customWidth="1"/>
    <col min="7941" max="7941" width="10" style="146" customWidth="1"/>
    <col min="7942" max="7942" width="12.7109375" style="146" customWidth="1"/>
    <col min="7943" max="7946" width="5.42578125" style="146" customWidth="1"/>
    <col min="7947" max="7947" width="9" style="146" customWidth="1"/>
    <col min="7948" max="7948" width="12.7109375" style="146" customWidth="1"/>
    <col min="7949" max="8192" width="9.140625" style="146"/>
    <col min="8193" max="8193" width="12.85546875" style="146" customWidth="1"/>
    <col min="8194" max="8194" width="28.7109375" style="146" customWidth="1"/>
    <col min="8195" max="8195" width="9.28515625" style="146" customWidth="1"/>
    <col min="8196" max="8196" width="21.5703125" style="146" customWidth="1"/>
    <col min="8197" max="8197" width="10" style="146" customWidth="1"/>
    <col min="8198" max="8198" width="12.7109375" style="146" customWidth="1"/>
    <col min="8199" max="8202" width="5.42578125" style="146" customWidth="1"/>
    <col min="8203" max="8203" width="9" style="146" customWidth="1"/>
    <col min="8204" max="8204" width="12.7109375" style="146" customWidth="1"/>
    <col min="8205" max="8448" width="9.140625" style="146"/>
    <col min="8449" max="8449" width="12.85546875" style="146" customWidth="1"/>
    <col min="8450" max="8450" width="28.7109375" style="146" customWidth="1"/>
    <col min="8451" max="8451" width="9.28515625" style="146" customWidth="1"/>
    <col min="8452" max="8452" width="21.5703125" style="146" customWidth="1"/>
    <col min="8453" max="8453" width="10" style="146" customWidth="1"/>
    <col min="8454" max="8454" width="12.7109375" style="146" customWidth="1"/>
    <col min="8455" max="8458" width="5.42578125" style="146" customWidth="1"/>
    <col min="8459" max="8459" width="9" style="146" customWidth="1"/>
    <col min="8460" max="8460" width="12.7109375" style="146" customWidth="1"/>
    <col min="8461" max="8704" width="9.140625" style="146"/>
    <col min="8705" max="8705" width="12.85546875" style="146" customWidth="1"/>
    <col min="8706" max="8706" width="28.7109375" style="146" customWidth="1"/>
    <col min="8707" max="8707" width="9.28515625" style="146" customWidth="1"/>
    <col min="8708" max="8708" width="21.5703125" style="146" customWidth="1"/>
    <col min="8709" max="8709" width="10" style="146" customWidth="1"/>
    <col min="8710" max="8710" width="12.7109375" style="146" customWidth="1"/>
    <col min="8711" max="8714" width="5.42578125" style="146" customWidth="1"/>
    <col min="8715" max="8715" width="9" style="146" customWidth="1"/>
    <col min="8716" max="8716" width="12.7109375" style="146" customWidth="1"/>
    <col min="8717" max="8960" width="9.140625" style="146"/>
    <col min="8961" max="8961" width="12.85546875" style="146" customWidth="1"/>
    <col min="8962" max="8962" width="28.7109375" style="146" customWidth="1"/>
    <col min="8963" max="8963" width="9.28515625" style="146" customWidth="1"/>
    <col min="8964" max="8964" width="21.5703125" style="146" customWidth="1"/>
    <col min="8965" max="8965" width="10" style="146" customWidth="1"/>
    <col min="8966" max="8966" width="12.7109375" style="146" customWidth="1"/>
    <col min="8967" max="8970" width="5.42578125" style="146" customWidth="1"/>
    <col min="8971" max="8971" width="9" style="146" customWidth="1"/>
    <col min="8972" max="8972" width="12.7109375" style="146" customWidth="1"/>
    <col min="8973" max="9216" width="9.140625" style="146"/>
    <col min="9217" max="9217" width="12.85546875" style="146" customWidth="1"/>
    <col min="9218" max="9218" width="28.7109375" style="146" customWidth="1"/>
    <col min="9219" max="9219" width="9.28515625" style="146" customWidth="1"/>
    <col min="9220" max="9220" width="21.5703125" style="146" customWidth="1"/>
    <col min="9221" max="9221" width="10" style="146" customWidth="1"/>
    <col min="9222" max="9222" width="12.7109375" style="146" customWidth="1"/>
    <col min="9223" max="9226" width="5.42578125" style="146" customWidth="1"/>
    <col min="9227" max="9227" width="9" style="146" customWidth="1"/>
    <col min="9228" max="9228" width="12.7109375" style="146" customWidth="1"/>
    <col min="9229" max="9472" width="9.140625" style="146"/>
    <col min="9473" max="9473" width="12.85546875" style="146" customWidth="1"/>
    <col min="9474" max="9474" width="28.7109375" style="146" customWidth="1"/>
    <col min="9475" max="9475" width="9.28515625" style="146" customWidth="1"/>
    <col min="9476" max="9476" width="21.5703125" style="146" customWidth="1"/>
    <col min="9477" max="9477" width="10" style="146" customWidth="1"/>
    <col min="9478" max="9478" width="12.7109375" style="146" customWidth="1"/>
    <col min="9479" max="9482" width="5.42578125" style="146" customWidth="1"/>
    <col min="9483" max="9483" width="9" style="146" customWidth="1"/>
    <col min="9484" max="9484" width="12.7109375" style="146" customWidth="1"/>
    <col min="9485" max="9728" width="9.140625" style="146"/>
    <col min="9729" max="9729" width="12.85546875" style="146" customWidth="1"/>
    <col min="9730" max="9730" width="28.7109375" style="146" customWidth="1"/>
    <col min="9731" max="9731" width="9.28515625" style="146" customWidth="1"/>
    <col min="9732" max="9732" width="21.5703125" style="146" customWidth="1"/>
    <col min="9733" max="9733" width="10" style="146" customWidth="1"/>
    <col min="9734" max="9734" width="12.7109375" style="146" customWidth="1"/>
    <col min="9735" max="9738" width="5.42578125" style="146" customWidth="1"/>
    <col min="9739" max="9739" width="9" style="146" customWidth="1"/>
    <col min="9740" max="9740" width="12.7109375" style="146" customWidth="1"/>
    <col min="9741" max="9984" width="9.140625" style="146"/>
    <col min="9985" max="9985" width="12.85546875" style="146" customWidth="1"/>
    <col min="9986" max="9986" width="28.7109375" style="146" customWidth="1"/>
    <col min="9987" max="9987" width="9.28515625" style="146" customWidth="1"/>
    <col min="9988" max="9988" width="21.5703125" style="146" customWidth="1"/>
    <col min="9989" max="9989" width="10" style="146" customWidth="1"/>
    <col min="9990" max="9990" width="12.7109375" style="146" customWidth="1"/>
    <col min="9991" max="9994" width="5.42578125" style="146" customWidth="1"/>
    <col min="9995" max="9995" width="9" style="146" customWidth="1"/>
    <col min="9996" max="9996" width="12.7109375" style="146" customWidth="1"/>
    <col min="9997" max="10240" width="9.140625" style="146"/>
    <col min="10241" max="10241" width="12.85546875" style="146" customWidth="1"/>
    <col min="10242" max="10242" width="28.7109375" style="146" customWidth="1"/>
    <col min="10243" max="10243" width="9.28515625" style="146" customWidth="1"/>
    <col min="10244" max="10244" width="21.5703125" style="146" customWidth="1"/>
    <col min="10245" max="10245" width="10" style="146" customWidth="1"/>
    <col min="10246" max="10246" width="12.7109375" style="146" customWidth="1"/>
    <col min="10247" max="10250" width="5.42578125" style="146" customWidth="1"/>
    <col min="10251" max="10251" width="9" style="146" customWidth="1"/>
    <col min="10252" max="10252" width="12.7109375" style="146" customWidth="1"/>
    <col min="10253" max="10496" width="9.140625" style="146"/>
    <col min="10497" max="10497" width="12.85546875" style="146" customWidth="1"/>
    <col min="10498" max="10498" width="28.7109375" style="146" customWidth="1"/>
    <col min="10499" max="10499" width="9.28515625" style="146" customWidth="1"/>
    <col min="10500" max="10500" width="21.5703125" style="146" customWidth="1"/>
    <col min="10501" max="10501" width="10" style="146" customWidth="1"/>
    <col min="10502" max="10502" width="12.7109375" style="146" customWidth="1"/>
    <col min="10503" max="10506" width="5.42578125" style="146" customWidth="1"/>
    <col min="10507" max="10507" width="9" style="146" customWidth="1"/>
    <col min="10508" max="10508" width="12.7109375" style="146" customWidth="1"/>
    <col min="10509" max="10752" width="9.140625" style="146"/>
    <col min="10753" max="10753" width="12.85546875" style="146" customWidth="1"/>
    <col min="10754" max="10754" width="28.7109375" style="146" customWidth="1"/>
    <col min="10755" max="10755" width="9.28515625" style="146" customWidth="1"/>
    <col min="10756" max="10756" width="21.5703125" style="146" customWidth="1"/>
    <col min="10757" max="10757" width="10" style="146" customWidth="1"/>
    <col min="10758" max="10758" width="12.7109375" style="146" customWidth="1"/>
    <col min="10759" max="10762" width="5.42578125" style="146" customWidth="1"/>
    <col min="10763" max="10763" width="9" style="146" customWidth="1"/>
    <col min="10764" max="10764" width="12.7109375" style="146" customWidth="1"/>
    <col min="10765" max="11008" width="9.140625" style="146"/>
    <col min="11009" max="11009" width="12.85546875" style="146" customWidth="1"/>
    <col min="11010" max="11010" width="28.7109375" style="146" customWidth="1"/>
    <col min="11011" max="11011" width="9.28515625" style="146" customWidth="1"/>
    <col min="11012" max="11012" width="21.5703125" style="146" customWidth="1"/>
    <col min="11013" max="11013" width="10" style="146" customWidth="1"/>
    <col min="11014" max="11014" width="12.7109375" style="146" customWidth="1"/>
    <col min="11015" max="11018" width="5.42578125" style="146" customWidth="1"/>
    <col min="11019" max="11019" width="9" style="146" customWidth="1"/>
    <col min="11020" max="11020" width="12.7109375" style="146" customWidth="1"/>
    <col min="11021" max="11264" width="9.140625" style="146"/>
    <col min="11265" max="11265" width="12.85546875" style="146" customWidth="1"/>
    <col min="11266" max="11266" width="28.7109375" style="146" customWidth="1"/>
    <col min="11267" max="11267" width="9.28515625" style="146" customWidth="1"/>
    <col min="11268" max="11268" width="21.5703125" style="146" customWidth="1"/>
    <col min="11269" max="11269" width="10" style="146" customWidth="1"/>
    <col min="11270" max="11270" width="12.7109375" style="146" customWidth="1"/>
    <col min="11271" max="11274" width="5.42578125" style="146" customWidth="1"/>
    <col min="11275" max="11275" width="9" style="146" customWidth="1"/>
    <col min="11276" max="11276" width="12.7109375" style="146" customWidth="1"/>
    <col min="11277" max="11520" width="9.140625" style="146"/>
    <col min="11521" max="11521" width="12.85546875" style="146" customWidth="1"/>
    <col min="11522" max="11522" width="28.7109375" style="146" customWidth="1"/>
    <col min="11523" max="11523" width="9.28515625" style="146" customWidth="1"/>
    <col min="11524" max="11524" width="21.5703125" style="146" customWidth="1"/>
    <col min="11525" max="11525" width="10" style="146" customWidth="1"/>
    <col min="11526" max="11526" width="12.7109375" style="146" customWidth="1"/>
    <col min="11527" max="11530" width="5.42578125" style="146" customWidth="1"/>
    <col min="11531" max="11531" width="9" style="146" customWidth="1"/>
    <col min="11532" max="11532" width="12.7109375" style="146" customWidth="1"/>
    <col min="11533" max="11776" width="9.140625" style="146"/>
    <col min="11777" max="11777" width="12.85546875" style="146" customWidth="1"/>
    <col min="11778" max="11778" width="28.7109375" style="146" customWidth="1"/>
    <col min="11779" max="11779" width="9.28515625" style="146" customWidth="1"/>
    <col min="11780" max="11780" width="21.5703125" style="146" customWidth="1"/>
    <col min="11781" max="11781" width="10" style="146" customWidth="1"/>
    <col min="11782" max="11782" width="12.7109375" style="146" customWidth="1"/>
    <col min="11783" max="11786" width="5.42578125" style="146" customWidth="1"/>
    <col min="11787" max="11787" width="9" style="146" customWidth="1"/>
    <col min="11788" max="11788" width="12.7109375" style="146" customWidth="1"/>
    <col min="11789" max="12032" width="9.140625" style="146"/>
    <col min="12033" max="12033" width="12.85546875" style="146" customWidth="1"/>
    <col min="12034" max="12034" width="28.7109375" style="146" customWidth="1"/>
    <col min="12035" max="12035" width="9.28515625" style="146" customWidth="1"/>
    <col min="12036" max="12036" width="21.5703125" style="146" customWidth="1"/>
    <col min="12037" max="12037" width="10" style="146" customWidth="1"/>
    <col min="12038" max="12038" width="12.7109375" style="146" customWidth="1"/>
    <col min="12039" max="12042" width="5.42578125" style="146" customWidth="1"/>
    <col min="12043" max="12043" width="9" style="146" customWidth="1"/>
    <col min="12044" max="12044" width="12.7109375" style="146" customWidth="1"/>
    <col min="12045" max="12288" width="9.140625" style="146"/>
    <col min="12289" max="12289" width="12.85546875" style="146" customWidth="1"/>
    <col min="12290" max="12290" width="28.7109375" style="146" customWidth="1"/>
    <col min="12291" max="12291" width="9.28515625" style="146" customWidth="1"/>
    <col min="12292" max="12292" width="21.5703125" style="146" customWidth="1"/>
    <col min="12293" max="12293" width="10" style="146" customWidth="1"/>
    <col min="12294" max="12294" width="12.7109375" style="146" customWidth="1"/>
    <col min="12295" max="12298" width="5.42578125" style="146" customWidth="1"/>
    <col min="12299" max="12299" width="9" style="146" customWidth="1"/>
    <col min="12300" max="12300" width="12.7109375" style="146" customWidth="1"/>
    <col min="12301" max="12544" width="9.140625" style="146"/>
    <col min="12545" max="12545" width="12.85546875" style="146" customWidth="1"/>
    <col min="12546" max="12546" width="28.7109375" style="146" customWidth="1"/>
    <col min="12547" max="12547" width="9.28515625" style="146" customWidth="1"/>
    <col min="12548" max="12548" width="21.5703125" style="146" customWidth="1"/>
    <col min="12549" max="12549" width="10" style="146" customWidth="1"/>
    <col min="12550" max="12550" width="12.7109375" style="146" customWidth="1"/>
    <col min="12551" max="12554" width="5.42578125" style="146" customWidth="1"/>
    <col min="12555" max="12555" width="9" style="146" customWidth="1"/>
    <col min="12556" max="12556" width="12.7109375" style="146" customWidth="1"/>
    <col min="12557" max="12800" width="9.140625" style="146"/>
    <col min="12801" max="12801" width="12.85546875" style="146" customWidth="1"/>
    <col min="12802" max="12802" width="28.7109375" style="146" customWidth="1"/>
    <col min="12803" max="12803" width="9.28515625" style="146" customWidth="1"/>
    <col min="12804" max="12804" width="21.5703125" style="146" customWidth="1"/>
    <col min="12805" max="12805" width="10" style="146" customWidth="1"/>
    <col min="12806" max="12806" width="12.7109375" style="146" customWidth="1"/>
    <col min="12807" max="12810" width="5.42578125" style="146" customWidth="1"/>
    <col min="12811" max="12811" width="9" style="146" customWidth="1"/>
    <col min="12812" max="12812" width="12.7109375" style="146" customWidth="1"/>
    <col min="12813" max="13056" width="9.140625" style="146"/>
    <col min="13057" max="13057" width="12.85546875" style="146" customWidth="1"/>
    <col min="13058" max="13058" width="28.7109375" style="146" customWidth="1"/>
    <col min="13059" max="13059" width="9.28515625" style="146" customWidth="1"/>
    <col min="13060" max="13060" width="21.5703125" style="146" customWidth="1"/>
    <col min="13061" max="13061" width="10" style="146" customWidth="1"/>
    <col min="13062" max="13062" width="12.7109375" style="146" customWidth="1"/>
    <col min="13063" max="13066" width="5.42578125" style="146" customWidth="1"/>
    <col min="13067" max="13067" width="9" style="146" customWidth="1"/>
    <col min="13068" max="13068" width="12.7109375" style="146" customWidth="1"/>
    <col min="13069" max="13312" width="9.140625" style="146"/>
    <col min="13313" max="13313" width="12.85546875" style="146" customWidth="1"/>
    <col min="13314" max="13314" width="28.7109375" style="146" customWidth="1"/>
    <col min="13315" max="13315" width="9.28515625" style="146" customWidth="1"/>
    <col min="13316" max="13316" width="21.5703125" style="146" customWidth="1"/>
    <col min="13317" max="13317" width="10" style="146" customWidth="1"/>
    <col min="13318" max="13318" width="12.7109375" style="146" customWidth="1"/>
    <col min="13319" max="13322" width="5.42578125" style="146" customWidth="1"/>
    <col min="13323" max="13323" width="9" style="146" customWidth="1"/>
    <col min="13324" max="13324" width="12.7109375" style="146" customWidth="1"/>
    <col min="13325" max="13568" width="9.140625" style="146"/>
    <col min="13569" max="13569" width="12.85546875" style="146" customWidth="1"/>
    <col min="13570" max="13570" width="28.7109375" style="146" customWidth="1"/>
    <col min="13571" max="13571" width="9.28515625" style="146" customWidth="1"/>
    <col min="13572" max="13572" width="21.5703125" style="146" customWidth="1"/>
    <col min="13573" max="13573" width="10" style="146" customWidth="1"/>
    <col min="13574" max="13574" width="12.7109375" style="146" customWidth="1"/>
    <col min="13575" max="13578" width="5.42578125" style="146" customWidth="1"/>
    <col min="13579" max="13579" width="9" style="146" customWidth="1"/>
    <col min="13580" max="13580" width="12.7109375" style="146" customWidth="1"/>
    <col min="13581" max="13824" width="9.140625" style="146"/>
    <col min="13825" max="13825" width="12.85546875" style="146" customWidth="1"/>
    <col min="13826" max="13826" width="28.7109375" style="146" customWidth="1"/>
    <col min="13827" max="13827" width="9.28515625" style="146" customWidth="1"/>
    <col min="13828" max="13828" width="21.5703125" style="146" customWidth="1"/>
    <col min="13829" max="13829" width="10" style="146" customWidth="1"/>
    <col min="13830" max="13830" width="12.7109375" style="146" customWidth="1"/>
    <col min="13831" max="13834" width="5.42578125" style="146" customWidth="1"/>
    <col min="13835" max="13835" width="9" style="146" customWidth="1"/>
    <col min="13836" max="13836" width="12.7109375" style="146" customWidth="1"/>
    <col min="13837" max="14080" width="9.140625" style="146"/>
    <col min="14081" max="14081" width="12.85546875" style="146" customWidth="1"/>
    <col min="14082" max="14082" width="28.7109375" style="146" customWidth="1"/>
    <col min="14083" max="14083" width="9.28515625" style="146" customWidth="1"/>
    <col min="14084" max="14084" width="21.5703125" style="146" customWidth="1"/>
    <col min="14085" max="14085" width="10" style="146" customWidth="1"/>
    <col min="14086" max="14086" width="12.7109375" style="146" customWidth="1"/>
    <col min="14087" max="14090" width="5.42578125" style="146" customWidth="1"/>
    <col min="14091" max="14091" width="9" style="146" customWidth="1"/>
    <col min="14092" max="14092" width="12.7109375" style="146" customWidth="1"/>
    <col min="14093" max="14336" width="9.140625" style="146"/>
    <col min="14337" max="14337" width="12.85546875" style="146" customWidth="1"/>
    <col min="14338" max="14338" width="28.7109375" style="146" customWidth="1"/>
    <col min="14339" max="14339" width="9.28515625" style="146" customWidth="1"/>
    <col min="14340" max="14340" width="21.5703125" style="146" customWidth="1"/>
    <col min="14341" max="14341" width="10" style="146" customWidth="1"/>
    <col min="14342" max="14342" width="12.7109375" style="146" customWidth="1"/>
    <col min="14343" max="14346" width="5.42578125" style="146" customWidth="1"/>
    <col min="14347" max="14347" width="9" style="146" customWidth="1"/>
    <col min="14348" max="14348" width="12.7109375" style="146" customWidth="1"/>
    <col min="14349" max="14592" width="9.140625" style="146"/>
    <col min="14593" max="14593" width="12.85546875" style="146" customWidth="1"/>
    <col min="14594" max="14594" width="28.7109375" style="146" customWidth="1"/>
    <col min="14595" max="14595" width="9.28515625" style="146" customWidth="1"/>
    <col min="14596" max="14596" width="21.5703125" style="146" customWidth="1"/>
    <col min="14597" max="14597" width="10" style="146" customWidth="1"/>
    <col min="14598" max="14598" width="12.7109375" style="146" customWidth="1"/>
    <col min="14599" max="14602" width="5.42578125" style="146" customWidth="1"/>
    <col min="14603" max="14603" width="9" style="146" customWidth="1"/>
    <col min="14604" max="14604" width="12.7109375" style="146" customWidth="1"/>
    <col min="14605" max="14848" width="9.140625" style="146"/>
    <col min="14849" max="14849" width="12.85546875" style="146" customWidth="1"/>
    <col min="14850" max="14850" width="28.7109375" style="146" customWidth="1"/>
    <col min="14851" max="14851" width="9.28515625" style="146" customWidth="1"/>
    <col min="14852" max="14852" width="21.5703125" style="146" customWidth="1"/>
    <col min="14853" max="14853" width="10" style="146" customWidth="1"/>
    <col min="14854" max="14854" width="12.7109375" style="146" customWidth="1"/>
    <col min="14855" max="14858" width="5.42578125" style="146" customWidth="1"/>
    <col min="14859" max="14859" width="9" style="146" customWidth="1"/>
    <col min="14860" max="14860" width="12.7109375" style="146" customWidth="1"/>
    <col min="14861" max="15104" width="9.140625" style="146"/>
    <col min="15105" max="15105" width="12.85546875" style="146" customWidth="1"/>
    <col min="15106" max="15106" width="28.7109375" style="146" customWidth="1"/>
    <col min="15107" max="15107" width="9.28515625" style="146" customWidth="1"/>
    <col min="15108" max="15108" width="21.5703125" style="146" customWidth="1"/>
    <col min="15109" max="15109" width="10" style="146" customWidth="1"/>
    <col min="15110" max="15110" width="12.7109375" style="146" customWidth="1"/>
    <col min="15111" max="15114" width="5.42578125" style="146" customWidth="1"/>
    <col min="15115" max="15115" width="9" style="146" customWidth="1"/>
    <col min="15116" max="15116" width="12.7109375" style="146" customWidth="1"/>
    <col min="15117" max="15360" width="9.140625" style="146"/>
    <col min="15361" max="15361" width="12.85546875" style="146" customWidth="1"/>
    <col min="15362" max="15362" width="28.7109375" style="146" customWidth="1"/>
    <col min="15363" max="15363" width="9.28515625" style="146" customWidth="1"/>
    <col min="15364" max="15364" width="21.5703125" style="146" customWidth="1"/>
    <col min="15365" max="15365" width="10" style="146" customWidth="1"/>
    <col min="15366" max="15366" width="12.7109375" style="146" customWidth="1"/>
    <col min="15367" max="15370" width="5.42578125" style="146" customWidth="1"/>
    <col min="15371" max="15371" width="9" style="146" customWidth="1"/>
    <col min="15372" max="15372" width="12.7109375" style="146" customWidth="1"/>
    <col min="15373" max="15616" width="9.140625" style="146"/>
    <col min="15617" max="15617" width="12.85546875" style="146" customWidth="1"/>
    <col min="15618" max="15618" width="28.7109375" style="146" customWidth="1"/>
    <col min="15619" max="15619" width="9.28515625" style="146" customWidth="1"/>
    <col min="15620" max="15620" width="21.5703125" style="146" customWidth="1"/>
    <col min="15621" max="15621" width="10" style="146" customWidth="1"/>
    <col min="15622" max="15622" width="12.7109375" style="146" customWidth="1"/>
    <col min="15623" max="15626" width="5.42578125" style="146" customWidth="1"/>
    <col min="15627" max="15627" width="9" style="146" customWidth="1"/>
    <col min="15628" max="15628" width="12.7109375" style="146" customWidth="1"/>
    <col min="15629" max="15872" width="9.140625" style="146"/>
    <col min="15873" max="15873" width="12.85546875" style="146" customWidth="1"/>
    <col min="15874" max="15874" width="28.7109375" style="146" customWidth="1"/>
    <col min="15875" max="15875" width="9.28515625" style="146" customWidth="1"/>
    <col min="15876" max="15876" width="21.5703125" style="146" customWidth="1"/>
    <col min="15877" max="15877" width="10" style="146" customWidth="1"/>
    <col min="15878" max="15878" width="12.7109375" style="146" customWidth="1"/>
    <col min="15879" max="15882" width="5.42578125" style="146" customWidth="1"/>
    <col min="15883" max="15883" width="9" style="146" customWidth="1"/>
    <col min="15884" max="15884" width="12.7109375" style="146" customWidth="1"/>
    <col min="15885" max="16128" width="9.140625" style="146"/>
    <col min="16129" max="16129" width="12.85546875" style="146" customWidth="1"/>
    <col min="16130" max="16130" width="28.7109375" style="146" customWidth="1"/>
    <col min="16131" max="16131" width="9.28515625" style="146" customWidth="1"/>
    <col min="16132" max="16132" width="21.5703125" style="146" customWidth="1"/>
    <col min="16133" max="16133" width="10" style="146" customWidth="1"/>
    <col min="16134" max="16134" width="12.7109375" style="146" customWidth="1"/>
    <col min="16135" max="16138" width="5.42578125" style="146" customWidth="1"/>
    <col min="16139" max="16139" width="9" style="146" customWidth="1"/>
    <col min="16140" max="16140" width="12.7109375" style="146" customWidth="1"/>
    <col min="16141" max="16384" width="9.140625" style="146"/>
  </cols>
  <sheetData>
    <row r="1" spans="1:12" ht="30" customHeight="1">
      <c r="A1" s="817"/>
      <c r="B1" s="817"/>
      <c r="C1" s="822" t="s">
        <v>306</v>
      </c>
      <c r="D1" s="822"/>
      <c r="E1" s="822"/>
      <c r="F1" s="822"/>
      <c r="G1" s="822"/>
      <c r="H1" s="822"/>
      <c r="I1" s="822"/>
      <c r="J1" s="822"/>
      <c r="K1" s="822" t="s">
        <v>307</v>
      </c>
      <c r="L1" s="822"/>
    </row>
    <row r="2" spans="1:12" ht="15" customHeight="1"/>
    <row r="3" spans="1:12" ht="18" customHeight="1">
      <c r="A3" s="823" t="s">
        <v>308</v>
      </c>
      <c r="B3" s="825" t="s">
        <v>309</v>
      </c>
      <c r="C3" s="823" t="s">
        <v>26</v>
      </c>
      <c r="D3" s="825" t="s">
        <v>310</v>
      </c>
      <c r="E3" s="826" t="s">
        <v>291</v>
      </c>
      <c r="F3" s="826" t="s">
        <v>311</v>
      </c>
      <c r="G3" s="827" t="s">
        <v>312</v>
      </c>
      <c r="H3" s="828"/>
      <c r="I3" s="828"/>
      <c r="J3" s="829"/>
      <c r="K3" s="826" t="s">
        <v>291</v>
      </c>
      <c r="L3" s="826" t="s">
        <v>311</v>
      </c>
    </row>
    <row r="4" spans="1:12" ht="15" customHeight="1">
      <c r="A4" s="824"/>
      <c r="B4" s="825"/>
      <c r="C4" s="824"/>
      <c r="D4" s="825"/>
      <c r="E4" s="824"/>
      <c r="F4" s="824"/>
      <c r="G4" s="157" t="s">
        <v>313</v>
      </c>
      <c r="H4" s="157" t="s">
        <v>27</v>
      </c>
      <c r="I4" s="157" t="s">
        <v>28</v>
      </c>
      <c r="J4" s="157" t="s">
        <v>314</v>
      </c>
      <c r="K4" s="824"/>
      <c r="L4" s="824"/>
    </row>
    <row r="5" spans="1:12" ht="33" customHeight="1">
      <c r="A5" s="159"/>
      <c r="B5" s="160"/>
      <c r="C5" s="161"/>
      <c r="D5" s="162"/>
      <c r="E5" s="163">
        <f ca="1">TODAY()</f>
        <v>44777</v>
      </c>
      <c r="F5" s="162"/>
      <c r="G5" s="164"/>
      <c r="H5" s="164"/>
      <c r="I5" s="164"/>
      <c r="J5" s="164"/>
      <c r="K5" s="163">
        <f ca="1">TODAY()</f>
        <v>44777</v>
      </c>
      <c r="L5" s="164"/>
    </row>
    <row r="6" spans="1:12" ht="33" customHeight="1">
      <c r="A6" s="159"/>
      <c r="B6" s="160"/>
      <c r="C6" s="161"/>
      <c r="D6" s="162"/>
      <c r="E6" s="163" t="str">
        <f t="shared" ref="E6:E16" ca="1" si="0">IF(B6=0,"",TODAY())</f>
        <v/>
      </c>
      <c r="F6" s="162" t="str">
        <f>IF(A6=0,"",F5)</f>
        <v/>
      </c>
      <c r="G6" s="164"/>
      <c r="H6" s="164"/>
      <c r="I6" s="164"/>
      <c r="J6" s="164"/>
      <c r="K6" s="163" t="str">
        <f t="shared" ref="K6:K16" ca="1" si="1">IF(B6=0,"",TODAY())</f>
        <v/>
      </c>
      <c r="L6" s="162" t="str">
        <f>IF(A6=0,"",L5)</f>
        <v/>
      </c>
    </row>
    <row r="7" spans="1:12" ht="33" customHeight="1">
      <c r="A7" s="159"/>
      <c r="B7" s="160"/>
      <c r="C7" s="161"/>
      <c r="D7" s="162"/>
      <c r="E7" s="163" t="str">
        <f t="shared" ca="1" si="0"/>
        <v/>
      </c>
      <c r="F7" s="162" t="str">
        <f t="shared" ref="F7:F16" si="2">IF(A7=0,"",F6)</f>
        <v/>
      </c>
      <c r="G7" s="164"/>
      <c r="H7" s="164"/>
      <c r="I7" s="164"/>
      <c r="J7" s="164"/>
      <c r="K7" s="163" t="str">
        <f t="shared" ca="1" si="1"/>
        <v/>
      </c>
      <c r="L7" s="162" t="str">
        <f t="shared" ref="L7:L16" si="3">IF(A7=0,"",L6)</f>
        <v/>
      </c>
    </row>
    <row r="8" spans="1:12" ht="33" customHeight="1">
      <c r="A8" s="159"/>
      <c r="B8" s="160"/>
      <c r="C8" s="161"/>
      <c r="D8" s="162"/>
      <c r="E8" s="163" t="str">
        <f t="shared" ca="1" si="0"/>
        <v/>
      </c>
      <c r="F8" s="162" t="str">
        <f t="shared" si="2"/>
        <v/>
      </c>
      <c r="G8" s="164"/>
      <c r="H8" s="164"/>
      <c r="I8" s="164"/>
      <c r="J8" s="164"/>
      <c r="K8" s="163" t="str">
        <f t="shared" ca="1" si="1"/>
        <v/>
      </c>
      <c r="L8" s="162" t="str">
        <f t="shared" si="3"/>
        <v/>
      </c>
    </row>
    <row r="9" spans="1:12" ht="33" customHeight="1">
      <c r="A9" s="159"/>
      <c r="B9" s="160"/>
      <c r="C9" s="161"/>
      <c r="D9" s="162"/>
      <c r="E9" s="163" t="str">
        <f t="shared" ca="1" si="0"/>
        <v/>
      </c>
      <c r="F9" s="162" t="str">
        <f t="shared" si="2"/>
        <v/>
      </c>
      <c r="G9" s="164"/>
      <c r="H9" s="164"/>
      <c r="I9" s="164"/>
      <c r="J9" s="164"/>
      <c r="K9" s="163" t="str">
        <f t="shared" ca="1" si="1"/>
        <v/>
      </c>
      <c r="L9" s="162" t="str">
        <f t="shared" si="3"/>
        <v/>
      </c>
    </row>
    <row r="10" spans="1:12" ht="33" customHeight="1">
      <c r="A10" s="159"/>
      <c r="B10" s="160"/>
      <c r="C10" s="161"/>
      <c r="D10" s="162"/>
      <c r="E10" s="163" t="str">
        <f t="shared" ca="1" si="0"/>
        <v/>
      </c>
      <c r="F10" s="162" t="str">
        <f t="shared" si="2"/>
        <v/>
      </c>
      <c r="G10" s="164"/>
      <c r="H10" s="164"/>
      <c r="I10" s="164"/>
      <c r="J10" s="164"/>
      <c r="K10" s="163" t="str">
        <f t="shared" ca="1" si="1"/>
        <v/>
      </c>
      <c r="L10" s="162" t="str">
        <f t="shared" si="3"/>
        <v/>
      </c>
    </row>
    <row r="11" spans="1:12" ht="33" customHeight="1">
      <c r="A11" s="159"/>
      <c r="B11" s="160"/>
      <c r="C11" s="161"/>
      <c r="D11" s="162"/>
      <c r="E11" s="163" t="str">
        <f t="shared" ca="1" si="0"/>
        <v/>
      </c>
      <c r="F11" s="162" t="str">
        <f t="shared" si="2"/>
        <v/>
      </c>
      <c r="G11" s="164"/>
      <c r="H11" s="164"/>
      <c r="I11" s="164"/>
      <c r="J11" s="164"/>
      <c r="K11" s="163" t="str">
        <f t="shared" ca="1" si="1"/>
        <v/>
      </c>
      <c r="L11" s="162" t="str">
        <f t="shared" si="3"/>
        <v/>
      </c>
    </row>
    <row r="12" spans="1:12" ht="33" customHeight="1">
      <c r="A12" s="159"/>
      <c r="B12" s="160"/>
      <c r="C12" s="161"/>
      <c r="D12" s="162"/>
      <c r="E12" s="163" t="str">
        <f t="shared" ca="1" si="0"/>
        <v/>
      </c>
      <c r="F12" s="162" t="str">
        <f t="shared" si="2"/>
        <v/>
      </c>
      <c r="G12" s="164"/>
      <c r="H12" s="164"/>
      <c r="I12" s="164"/>
      <c r="J12" s="164"/>
      <c r="K12" s="163" t="str">
        <f t="shared" ca="1" si="1"/>
        <v/>
      </c>
      <c r="L12" s="162" t="str">
        <f t="shared" si="3"/>
        <v/>
      </c>
    </row>
    <row r="13" spans="1:12" ht="33" customHeight="1">
      <c r="A13" s="159"/>
      <c r="B13" s="160"/>
      <c r="C13" s="161"/>
      <c r="D13" s="162"/>
      <c r="E13" s="163" t="str">
        <f t="shared" ca="1" si="0"/>
        <v/>
      </c>
      <c r="F13" s="162" t="str">
        <f t="shared" si="2"/>
        <v/>
      </c>
      <c r="G13" s="164"/>
      <c r="H13" s="164"/>
      <c r="I13" s="164"/>
      <c r="J13" s="164"/>
      <c r="K13" s="163" t="str">
        <f t="shared" ca="1" si="1"/>
        <v/>
      </c>
      <c r="L13" s="162" t="str">
        <f t="shared" si="3"/>
        <v/>
      </c>
    </row>
    <row r="14" spans="1:12" ht="33" customHeight="1">
      <c r="A14" s="159"/>
      <c r="B14" s="160"/>
      <c r="C14" s="161"/>
      <c r="D14" s="162"/>
      <c r="E14" s="163" t="str">
        <f t="shared" ca="1" si="0"/>
        <v/>
      </c>
      <c r="F14" s="162" t="str">
        <f t="shared" si="2"/>
        <v/>
      </c>
      <c r="G14" s="164"/>
      <c r="H14" s="164"/>
      <c r="I14" s="164"/>
      <c r="J14" s="164"/>
      <c r="K14" s="163" t="str">
        <f t="shared" ca="1" si="1"/>
        <v/>
      </c>
      <c r="L14" s="162" t="str">
        <f t="shared" si="3"/>
        <v/>
      </c>
    </row>
    <row r="15" spans="1:12" ht="33" customHeight="1">
      <c r="A15" s="159"/>
      <c r="B15" s="160"/>
      <c r="C15" s="161"/>
      <c r="D15" s="162"/>
      <c r="E15" s="163" t="str">
        <f t="shared" ca="1" si="0"/>
        <v/>
      </c>
      <c r="F15" s="162" t="str">
        <f t="shared" si="2"/>
        <v/>
      </c>
      <c r="G15" s="164"/>
      <c r="H15" s="164"/>
      <c r="I15" s="164"/>
      <c r="J15" s="164"/>
      <c r="K15" s="163" t="str">
        <f t="shared" ca="1" si="1"/>
        <v/>
      </c>
      <c r="L15" s="162" t="str">
        <f t="shared" si="3"/>
        <v/>
      </c>
    </row>
    <row r="16" spans="1:12" ht="33" customHeight="1">
      <c r="A16" s="159"/>
      <c r="B16" s="160"/>
      <c r="C16" s="161"/>
      <c r="D16" s="162"/>
      <c r="E16" s="163" t="str">
        <f t="shared" ca="1" si="0"/>
        <v/>
      </c>
      <c r="F16" s="162" t="str">
        <f t="shared" si="2"/>
        <v/>
      </c>
      <c r="G16" s="164"/>
      <c r="H16" s="164"/>
      <c r="I16" s="164"/>
      <c r="J16" s="164"/>
      <c r="K16" s="163" t="str">
        <f t="shared" ca="1" si="1"/>
        <v/>
      </c>
      <c r="L16" s="162" t="str">
        <f t="shared" si="3"/>
        <v/>
      </c>
    </row>
    <row r="17" spans="1:12" ht="15" customHeight="1">
      <c r="A17" s="158"/>
      <c r="B17" s="158" t="s">
        <v>315</v>
      </c>
      <c r="C17" s="831" t="s">
        <v>316</v>
      </c>
      <c r="D17" s="831"/>
      <c r="E17" s="831" t="s">
        <v>317</v>
      </c>
      <c r="F17" s="831"/>
      <c r="G17" s="831" t="s">
        <v>318</v>
      </c>
      <c r="H17" s="831"/>
      <c r="I17" s="831"/>
      <c r="J17" s="831"/>
      <c r="K17" s="158"/>
      <c r="L17" s="158"/>
    </row>
    <row r="18" spans="1:12" ht="15" customHeight="1">
      <c r="A18" s="832" t="s">
        <v>11</v>
      </c>
      <c r="B18" s="833"/>
      <c r="C18" s="833"/>
      <c r="D18" s="833"/>
      <c r="E18" s="833"/>
      <c r="F18" s="833"/>
      <c r="G18" s="833"/>
      <c r="H18" s="833"/>
      <c r="I18" s="833"/>
      <c r="J18" s="833"/>
      <c r="K18" s="833"/>
      <c r="L18" s="834"/>
    </row>
    <row r="19" spans="1:12" ht="15" customHeight="1">
      <c r="A19" s="830"/>
      <c r="B19" s="830"/>
      <c r="C19" s="830"/>
      <c r="D19" s="830"/>
      <c r="E19" s="830"/>
      <c r="F19" s="830"/>
      <c r="G19" s="830"/>
      <c r="H19" s="830"/>
      <c r="I19" s="830"/>
      <c r="J19" s="830"/>
      <c r="K19" s="830"/>
      <c r="L19" s="830"/>
    </row>
    <row r="20" spans="1:12" ht="15" customHeight="1">
      <c r="A20" s="830"/>
      <c r="B20" s="830"/>
      <c r="C20" s="830"/>
      <c r="D20" s="830"/>
      <c r="E20" s="830"/>
      <c r="F20" s="830"/>
      <c r="G20" s="830"/>
      <c r="H20" s="830"/>
      <c r="I20" s="830"/>
      <c r="J20" s="830"/>
      <c r="K20" s="830"/>
      <c r="L20" s="830"/>
    </row>
    <row r="21" spans="1:12" ht="15" customHeight="1">
      <c r="A21" s="830"/>
      <c r="B21" s="830"/>
      <c r="C21" s="830"/>
      <c r="D21" s="830"/>
      <c r="E21" s="830"/>
      <c r="F21" s="830"/>
      <c r="G21" s="830"/>
      <c r="H21" s="830"/>
      <c r="I21" s="830"/>
      <c r="J21" s="830"/>
      <c r="K21" s="830"/>
      <c r="L21" s="830"/>
    </row>
    <row r="22" spans="1:12" ht="15" customHeight="1">
      <c r="A22" s="830"/>
      <c r="B22" s="830"/>
      <c r="C22" s="830"/>
      <c r="D22" s="830"/>
      <c r="E22" s="830"/>
      <c r="F22" s="830"/>
      <c r="G22" s="830"/>
      <c r="H22" s="830"/>
      <c r="I22" s="830"/>
      <c r="J22" s="830"/>
      <c r="K22" s="830"/>
      <c r="L22" s="830"/>
    </row>
  </sheetData>
  <mergeCells count="20">
    <mergeCell ref="A19:L19"/>
    <mergeCell ref="A20:L20"/>
    <mergeCell ref="A21:L21"/>
    <mergeCell ref="A22:L22"/>
    <mergeCell ref="K3:K4"/>
    <mergeCell ref="L3:L4"/>
    <mergeCell ref="C17:D17"/>
    <mergeCell ref="E17:F17"/>
    <mergeCell ref="G17:J17"/>
    <mergeCell ref="A18:L18"/>
    <mergeCell ref="A1:B1"/>
    <mergeCell ref="C1:J1"/>
    <mergeCell ref="K1:L1"/>
    <mergeCell ref="A3:A4"/>
    <mergeCell ref="B3:B4"/>
    <mergeCell ref="C3:C4"/>
    <mergeCell ref="D3:D4"/>
    <mergeCell ref="E3:E4"/>
    <mergeCell ref="F3:F4"/>
    <mergeCell ref="G3:J3"/>
  </mergeCells>
  <pageMargins left="0.55118110236220474" right="0.55118110236220474" top="0.59055118110236227" bottom="0.59055118110236227" header="0" footer="0"/>
  <pageSetup scale="91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">
    <tabColor rgb="FFC00000"/>
  </sheetPr>
  <dimension ref="A1:U122"/>
  <sheetViews>
    <sheetView workbookViewId="0">
      <selection activeCell="M8" sqref="M8"/>
    </sheetView>
  </sheetViews>
  <sheetFormatPr defaultColWidth="11.42578125" defaultRowHeight="15"/>
  <cols>
    <col min="2" max="3" width="11.42578125" customWidth="1"/>
    <col min="6" max="6" width="19" customWidth="1"/>
    <col min="13" max="13" width="17" customWidth="1"/>
  </cols>
  <sheetData>
    <row r="1" spans="1:21" ht="15.75" thickBot="1">
      <c r="A1" t="s">
        <v>487</v>
      </c>
      <c r="B1" t="s">
        <v>967</v>
      </c>
      <c r="S1" t="s">
        <v>25</v>
      </c>
      <c r="U1" t="s">
        <v>98</v>
      </c>
    </row>
    <row r="2" spans="1:21">
      <c r="A2" s="450" t="s">
        <v>464</v>
      </c>
      <c r="B2" s="450" t="s">
        <v>957</v>
      </c>
      <c r="C2" s="450" t="s">
        <v>7</v>
      </c>
      <c r="D2" s="450" t="s">
        <v>958</v>
      </c>
      <c r="E2" s="450"/>
      <c r="F2" s="450"/>
      <c r="G2" s="450"/>
      <c r="H2" s="450"/>
      <c r="I2" s="450"/>
      <c r="J2" s="450" t="s">
        <v>959</v>
      </c>
      <c r="K2" s="450" t="s">
        <v>960</v>
      </c>
      <c r="L2" s="450" t="s">
        <v>961</v>
      </c>
      <c r="M2" s="450" t="s">
        <v>962</v>
      </c>
      <c r="N2" s="450" t="s">
        <v>963</v>
      </c>
      <c r="Q2">
        <v>24</v>
      </c>
      <c r="R2">
        <v>1</v>
      </c>
      <c r="S2" t="s">
        <v>41</v>
      </c>
      <c r="T2" t="str">
        <f>LEFT(S2,'FORMATO DIL'!$G$9)</f>
        <v>ACIC</v>
      </c>
      <c r="U2">
        <v>69</v>
      </c>
    </row>
    <row r="3" spans="1:21">
      <c r="A3" s="452" t="str">
        <f>'FORMATO DIL'!G5</f>
        <v>CLINICA JORGE PIÑEROS CORPAS</v>
      </c>
      <c r="B3" s="452" t="str">
        <f>'FORMATO DIL'!G6</f>
        <v>6 NORTE</v>
      </c>
      <c r="C3" s="452" t="str">
        <f>'FORMATO DIL'!G7</f>
        <v>IV ESTERILES</v>
      </c>
      <c r="D3" s="452" t="str">
        <f>'FORMATO DIL'!G8</f>
        <v>DIEGO SALAZAR</v>
      </c>
      <c r="M3" s="451" t="str">
        <f>IF(LEN('FORMATO DIL'!H4)=1,"00000"&amp;'FORMATO DIL'!H4,IF(LEN('FORMATO DIL'!H4)=2,"0000"&amp;'FORMATO DIL'!H4,IF(LEN('FORMATO DIL'!H4)=3,"000"&amp;'FORMATO DIL'!H4,IF(LEN('FORMATO DIL'!H4)=4,"00"&amp;'FORMATO DIL'!H4,IF(LEN('FORMATO DIL'!H4)=5,"0"&amp;'FORMATO DIL'!H4,'FORMATO DIL'!H4)))))</f>
        <v/>
      </c>
      <c r="N3" s="451">
        <f>'FORMATO DIL'!J4</f>
        <v>0</v>
      </c>
      <c r="Q3">
        <v>12</v>
      </c>
      <c r="R3">
        <v>2</v>
      </c>
      <c r="S3" t="s">
        <v>41</v>
      </c>
      <c r="T3" t="str">
        <f>LEFT(S3,'FORMATO DIL'!$G$9)</f>
        <v>ACIC</v>
      </c>
      <c r="U3" t="s">
        <v>525</v>
      </c>
    </row>
    <row r="4" spans="1:21" ht="15.75" thickBot="1">
      <c r="A4" t="s">
        <v>950</v>
      </c>
      <c r="M4" s="453"/>
      <c r="Q4">
        <v>8</v>
      </c>
      <c r="R4">
        <v>3</v>
      </c>
      <c r="S4" t="s">
        <v>31</v>
      </c>
      <c r="T4" t="str">
        <f>LEFT(S4,'FORMATO DIL'!$G$9)</f>
        <v>AMIK</v>
      </c>
      <c r="U4">
        <v>421</v>
      </c>
    </row>
    <row r="5" spans="1:21">
      <c r="A5" s="444" t="s">
        <v>951</v>
      </c>
      <c r="B5" s="445"/>
      <c r="C5" s="446" t="s">
        <v>952</v>
      </c>
      <c r="D5" s="447" t="s">
        <v>464</v>
      </c>
      <c r="E5" s="447" t="s">
        <v>953</v>
      </c>
      <c r="F5" s="447" t="s">
        <v>7</v>
      </c>
      <c r="G5" s="447" t="s">
        <v>8</v>
      </c>
      <c r="H5" s="448" t="s">
        <v>954</v>
      </c>
      <c r="I5" s="445" t="s">
        <v>955</v>
      </c>
      <c r="J5" s="449" t="s">
        <v>956</v>
      </c>
      <c r="Q5">
        <v>6</v>
      </c>
      <c r="R5">
        <v>4</v>
      </c>
      <c r="S5" t="s">
        <v>31</v>
      </c>
      <c r="T5" t="str">
        <f>LEFT(S5,'FORMATO DIL'!$G$9)</f>
        <v>AMIK</v>
      </c>
      <c r="U5">
        <v>422</v>
      </c>
    </row>
    <row r="6" spans="1:21">
      <c r="A6" s="452" t="str">
        <f>'FR CC 016 V2'!R1</f>
        <v>0</v>
      </c>
      <c r="C6" s="451">
        <f>'FR CC 016 V2'!T1</f>
        <v>0</v>
      </c>
      <c r="D6" s="452" t="str">
        <f>'FR CC 016 V2'!U1</f>
        <v>C.JPC/SEXTO NTE/SCOOP</v>
      </c>
      <c r="E6" s="452" t="str">
        <f>'FR CC 016 V2'!V1</f>
        <v>NORMAL</v>
      </c>
      <c r="F6" s="452" t="str">
        <f>'FR CC 016 V2'!W1</f>
        <v>ESTERILES</v>
      </c>
      <c r="G6" s="452">
        <f>'FR CC 016 V2'!X1</f>
        <v>0</v>
      </c>
      <c r="H6" s="452">
        <f ca="1">'FR CC 016 V2'!Y1</f>
        <v>44777</v>
      </c>
      <c r="I6" s="452" t="str">
        <f ca="1">'FR CC 016 V2'!Z1</f>
        <v>12:03:43</v>
      </c>
      <c r="J6" s="452" t="str">
        <f ca="1">'FR CC 016 V2'!AA1</f>
        <v>04/08/2022 12:07</v>
      </c>
      <c r="Q6">
        <v>4</v>
      </c>
      <c r="R6">
        <v>6</v>
      </c>
      <c r="S6" t="s">
        <v>406</v>
      </c>
      <c r="T6" t="str">
        <f>LEFT(S6,'FORMATO DIL'!$G$9)</f>
        <v>AMIN</v>
      </c>
      <c r="U6">
        <v>249</v>
      </c>
    </row>
    <row r="7" spans="1:21">
      <c r="Q7">
        <v>48</v>
      </c>
      <c r="R7">
        <v>1</v>
      </c>
      <c r="S7" t="s">
        <v>323</v>
      </c>
      <c r="T7" t="str">
        <f>LEFT(S7,'FORMATO DIL'!$G$9)</f>
        <v>AMPI</v>
      </c>
      <c r="U7">
        <v>602</v>
      </c>
    </row>
    <row r="8" spans="1:21">
      <c r="A8" t="s">
        <v>964</v>
      </c>
      <c r="F8" s="456" t="s">
        <v>987</v>
      </c>
      <c r="G8" t="str">
        <f ca="1">VLOOKUP(B9,A:F,4,FALSE)</f>
        <v>Z:\PRODUCCION NPT\NPT HOSPITAL SAN JOSE\2022\08 AGOSTO\040822\</v>
      </c>
      <c r="M8" s="456" t="s">
        <v>990</v>
      </c>
      <c r="N8" t="str">
        <f ca="1">VLOOKUP(B9,A:F,4,FALSE)</f>
        <v>Z:\PRODUCCION NPT\NPT HOSPITAL SAN JOSE\2022\08 AGOSTO\040822\</v>
      </c>
      <c r="S8" t="s">
        <v>323</v>
      </c>
      <c r="T8" t="str">
        <f>LEFT(S8,'FORMATO DIL'!$G$9)</f>
        <v>AMPI</v>
      </c>
      <c r="U8">
        <v>603</v>
      </c>
    </row>
    <row r="9" spans="1:21">
      <c r="A9" s="455" t="s">
        <v>1134</v>
      </c>
      <c r="B9" t="s">
        <v>968</v>
      </c>
      <c r="F9" s="456" t="s">
        <v>988</v>
      </c>
      <c r="G9" t="str">
        <f ca="1">VLOOKUP(B9,A:F,6,FALSE)</f>
        <v>S:\NPT\NPT HOSPITAL SAN JOSE\2022\08 AGOSTO\040822\</v>
      </c>
      <c r="M9" s="456" t="s">
        <v>991</v>
      </c>
      <c r="N9" t="str">
        <f ca="1">VLOOKUP(B9,A:F,6,FALSE)</f>
        <v>S:\NPT\NPT HOSPITAL SAN JOSE\2022\08 AGOSTO\040822\</v>
      </c>
      <c r="S9" t="s">
        <v>811</v>
      </c>
      <c r="T9" t="str">
        <f>LEFT(S9,'FORMATO DIL'!$G$9)</f>
        <v>AMPI</v>
      </c>
      <c r="U9" t="s">
        <v>817</v>
      </c>
    </row>
    <row r="10" spans="1:21">
      <c r="A10" s="110" t="s">
        <v>965</v>
      </c>
      <c r="B10" t="str">
        <f>$A$9&amp;":\PRODUCCION NPT\NPT FUNDASALUD\"</f>
        <v>Z:\PRODUCCION NPT\NPT FUNDASALUD\</v>
      </c>
      <c r="D10" t="str">
        <f ca="1">B10&amp;YEAR('FORMATO DIL'!$C$6)&amp;"\"&amp;TEXT('FORMATO DIL'!$C$6,"MM")&amp;" "&amp;UPPER(TEXT('FORMATO DIL'!$C$6,"MMMM"))&amp;"\"&amp;TEXT('FORMATO DIL'!$C$6,"DDMMYY")&amp;IF($C10&lt;&gt;"",C10,"\")</f>
        <v>Z:\PRODUCCION NPT\NPT FUNDASALUD\2022\08 AGOSTO\040822\</v>
      </c>
      <c r="E10" t="s">
        <v>975</v>
      </c>
      <c r="F10" t="str">
        <f ca="1">E10&amp;YEAR('FORMATO DIL'!$C$6)&amp;"\"&amp;TEXT('FORMATO DIL'!$C$6,"MM")&amp;" "&amp;UPPER(TEXT('FORMATO DIL'!$C$6,"MMMM"))&amp;"\"&amp;TEXT('FORMATO DIL'!$C$6,"DDMMYY")&amp;IF($C10&lt;&gt;"",C10,"\")</f>
        <v>S:\NPT\NPT FUNDASALUD\2022\08 AGOSTO\040822\</v>
      </c>
      <c r="S10" t="s">
        <v>811</v>
      </c>
      <c r="T10" t="str">
        <f>LEFT(S10,'FORMATO DIL'!$G$9)</f>
        <v>AMPI</v>
      </c>
      <c r="U10" t="s">
        <v>827</v>
      </c>
    </row>
    <row r="11" spans="1:21">
      <c r="A11" s="110" t="s">
        <v>966</v>
      </c>
      <c r="B11" t="str">
        <f>$A$9&amp;":\PRODUCCION NPT\NPT HOSPITAL DE KENNEDY\"</f>
        <v>Z:\PRODUCCION NPT\NPT HOSPITAL DE KENNEDY\</v>
      </c>
      <c r="D11" t="str">
        <f ca="1">B11&amp;YEAR('FORMATO DIL'!$C$6)&amp;"\"&amp;TEXT('FORMATO DIL'!$C$6,"MM")&amp;" "&amp;UPPER(TEXT('FORMATO DIL'!$C$6,"MMMM"))&amp;"\"&amp;TEXT('FORMATO DIL'!$C$6,"DDMMYY")&amp;IF($C11&lt;&gt;"",C11,"\")</f>
        <v>Z:\PRODUCCION NPT\NPT HOSPITAL DE KENNEDY\2022\08 AGOSTO\040822\</v>
      </c>
      <c r="E11" t="s">
        <v>976</v>
      </c>
      <c r="F11" t="str">
        <f ca="1">E11&amp;YEAR('FORMATO DIL'!$C$6)&amp;"\"&amp;TEXT('FORMATO DIL'!$C$6,"MM")&amp;" "&amp;UPPER(TEXT('FORMATO DIL'!$C$6,"MMMM"))&amp;"\"&amp;TEXT('FORMATO DIL'!$C$6,"DDMMYY")&amp;IF($C11&lt;&gt;"",C11,"\")</f>
        <v>S:\NPT\NPT HOSPITAL KENNEDY\2022\08 AGOSTO\040822\</v>
      </c>
      <c r="S11" t="s">
        <v>655</v>
      </c>
      <c r="T11" t="str">
        <f>LEFT(S11,'FORMATO DIL'!$G$9)</f>
        <v>AMPI</v>
      </c>
      <c r="U11">
        <v>604</v>
      </c>
    </row>
    <row r="12" spans="1:21">
      <c r="A12" s="110" t="s">
        <v>967</v>
      </c>
      <c r="B12" t="str">
        <f>$A$9&amp;":\PRODUCCION NPT\NPT HOSPITAL MEISSEN\"</f>
        <v>Z:\PRODUCCION NPT\NPT HOSPITAL MEISSEN\</v>
      </c>
      <c r="D12" t="str">
        <f ca="1">B12&amp;YEAR('FORMATO DIL'!$C$6)&amp;"\"&amp;TEXT('FORMATO DIL'!$C$6,"MM")&amp;" "&amp;UPPER(TEXT('FORMATO DIL'!$C$6,"MMMM"))&amp;"\"&amp;TEXT('FORMATO DIL'!$C$6,"DDMMYY")&amp;IF($C12&lt;&gt;"",C12,"\")</f>
        <v>Z:\PRODUCCION NPT\NPT HOSPITAL MEISSEN\2022\08 AGOSTO\040822\</v>
      </c>
      <c r="E12" t="s">
        <v>977</v>
      </c>
      <c r="F12" t="str">
        <f ca="1">E12&amp;YEAR('FORMATO DIL'!$C$6)&amp;"\"&amp;TEXT('FORMATO DIL'!$C$6,"MM")&amp;" "&amp;UPPER(TEXT('FORMATO DIL'!$C$6,"MMMM"))&amp;"\"&amp;TEXT('FORMATO DIL'!$C$6,"DDMMYY")&amp;IF($C12&lt;&gt;"",C12,"\")</f>
        <v>S:\NPT\NPT HOSPITAL MEISSEN\2022\08 AGOSTO\040822\</v>
      </c>
      <c r="S12" t="s">
        <v>655</v>
      </c>
      <c r="T12" t="str">
        <f>LEFT(S12,'FORMATO DIL'!$G$9)</f>
        <v>AMPI</v>
      </c>
      <c r="U12" t="s">
        <v>1372</v>
      </c>
    </row>
    <row r="13" spans="1:21">
      <c r="A13" s="110" t="s">
        <v>616</v>
      </c>
      <c r="B13" t="str">
        <f>$A$9&amp;":\PRODUCCION NPT\NPT HOSPITAL SAMARITANA O GOMEZ CASTELLANOS GIRARDOT\"</f>
        <v>Z:\PRODUCCION NPT\NPT HOSPITAL SAMARITANA O GOMEZ CASTELLANOS GIRARDOT\</v>
      </c>
      <c r="D13" t="str">
        <f ca="1">B13&amp;YEAR('FORMATO DIL'!$C$6)&amp;"\"&amp;TEXT('FORMATO DIL'!$C$6,"MM")&amp;" "&amp;UPPER(TEXT('FORMATO DIL'!$C$6,"MMMM"))&amp;"\"&amp;TEXT('FORMATO DIL'!$C$6,"DDMMYY")&amp;IF($C13&lt;&gt;"",C13,"\")</f>
        <v>Z:\PRODUCCION NPT\NPT HOSPITAL SAMARITANA O GOMEZ CASTELLANOS GIRARDOT\2022\08 AGOSTO\040822\</v>
      </c>
      <c r="E13" t="s">
        <v>978</v>
      </c>
      <c r="F13" t="str">
        <f ca="1">E13&amp;YEAR('FORMATO DIL'!$C$6)&amp;"\"&amp;TEXT('FORMATO DIL'!$C$6,"MM")&amp;" "&amp;UPPER(TEXT('FORMATO DIL'!$C$6,"MMMM"))&amp;"\"&amp;TEXT('FORMATO DIL'!$C$6,"DDMMYY")&amp;IF($C13&lt;&gt;"",C13,"\")</f>
        <v>S:\NPT\NPT HOSPITAL SAMARITANA GIRARDOT\2022\08 AGOSTO\040822\</v>
      </c>
      <c r="S13" t="s">
        <v>34</v>
      </c>
      <c r="T13" t="str">
        <f>LEFT(S13,'FORMATO DIL'!$G$9)</f>
        <v>ANFO</v>
      </c>
      <c r="U13">
        <v>423</v>
      </c>
    </row>
    <row r="14" spans="1:21">
      <c r="A14" s="110" t="s">
        <v>968</v>
      </c>
      <c r="B14" t="str">
        <f>$A$9&amp;":\PRODUCCION NPT\NPT HOSPITAL SAN JOSE\"</f>
        <v>Z:\PRODUCCION NPT\NPT HOSPITAL SAN JOSE\</v>
      </c>
      <c r="D14" t="str">
        <f ca="1">B14&amp;YEAR('FORMATO DIL'!$C$6)&amp;"\"&amp;TEXT('FORMATO DIL'!$C$6,"MM")&amp;" "&amp;UPPER(TEXT('FORMATO DIL'!$C$6,"MMMM"))&amp;"\"&amp;TEXT('FORMATO DIL'!$C$6,"DDMMYY")&amp;IF($C14&lt;&gt;"",C14,"\")</f>
        <v>Z:\PRODUCCION NPT\NPT HOSPITAL SAN JOSE\2022\08 AGOSTO\040822\</v>
      </c>
      <c r="E14" t="s">
        <v>979</v>
      </c>
      <c r="F14" t="str">
        <f ca="1">E14&amp;YEAR('FORMATO DIL'!$C$6)&amp;"\"&amp;TEXT('FORMATO DIL'!$C$6,"MM")&amp;" "&amp;UPPER(TEXT('FORMATO DIL'!$C$6,"MMMM"))&amp;"\"&amp;TEXT('FORMATO DIL'!$C$6,"DDMMYY")&amp;IF($C14&lt;&gt;"",C14,"\")</f>
        <v>S:\NPT\NPT HOSPITAL SAN JOSE\2022\08 AGOSTO\040822\</v>
      </c>
      <c r="S14" t="s">
        <v>1374</v>
      </c>
      <c r="T14" t="str">
        <f>LEFT(S14,'FORMATO DIL'!$G$9)</f>
        <v>ANFO</v>
      </c>
      <c r="U14" t="s">
        <v>1373</v>
      </c>
    </row>
    <row r="15" spans="1:21">
      <c r="A15" s="110" t="s">
        <v>969</v>
      </c>
      <c r="B15" t="str">
        <f>$A$9&amp;":\PRODUCCION NPT\NPT HOSPITAL SANTA CLARA\"</f>
        <v>Z:\PRODUCCION NPT\NPT HOSPITAL SANTA CLARA\</v>
      </c>
      <c r="D15" t="str">
        <f ca="1">B15&amp;YEAR('FORMATO DIL'!$C$6)&amp;"\"&amp;TEXT('FORMATO DIL'!$C$6,"MM")&amp;" "&amp;UPPER(TEXT('FORMATO DIL'!$C$6,"MMMM"))&amp;"\"&amp;TEXT('FORMATO DIL'!$C$6,"DDMMYY")&amp;IF($C15&lt;&gt;"",C15,"\")</f>
        <v>Z:\PRODUCCION NPT\NPT HOSPITAL SANTA CLARA\2022\08 AGOSTO\040822\</v>
      </c>
      <c r="E15" t="s">
        <v>980</v>
      </c>
      <c r="F15" t="str">
        <f ca="1">E15&amp;YEAR('FORMATO DIL'!$C$6)&amp;"\"&amp;TEXT('FORMATO DIL'!$C$6,"MM")&amp;" "&amp;UPPER(TEXT('FORMATO DIL'!$C$6,"MMMM"))&amp;"\"&amp;TEXT('FORMATO DIL'!$C$6,"DDMMYY")&amp;IF($C15&lt;&gt;"",C15,"\")</f>
        <v>S:\NPT\NPT HOSPITAL SANTA CLARA\2022\08 AGOSTO\040822\</v>
      </c>
      <c r="S15" t="s">
        <v>55</v>
      </c>
      <c r="T15" t="str">
        <f>LEFT(S15,'FORMATO DIL'!$G$9)</f>
        <v>AZIT</v>
      </c>
      <c r="U15">
        <v>33229</v>
      </c>
    </row>
    <row r="16" spans="1:21">
      <c r="A16" s="110" t="s">
        <v>970</v>
      </c>
      <c r="B16" t="str">
        <f>$A$9&amp;":\PRODUCCION NPT\NPT HOSPITAL SIMON BOLIVAR\NPT\"</f>
        <v>Z:\PRODUCCION NPT\NPT HOSPITAL SIMON BOLIVAR\NPT\</v>
      </c>
      <c r="D16" t="str">
        <f ca="1">B16&amp;YEAR('FORMATO DIL'!$C$6)&amp;"\"&amp;TEXT('FORMATO DIL'!$C$6,"MM")&amp;" "&amp;UPPER(TEXT('FORMATO DIL'!$C$6,"MMMM"))&amp;"\"&amp;TEXT('FORMATO DIL'!$C$6,"DDMMYY")&amp;IF($C16&lt;&gt;"",C16,"\")</f>
        <v>Z:\PRODUCCION NPT\NPT HOSPITAL SIMON BOLIVAR\NPT\2022\08 AGOSTO\040822\</v>
      </c>
      <c r="E16" t="s">
        <v>981</v>
      </c>
      <c r="F16" t="str">
        <f ca="1">E16&amp;YEAR('FORMATO DIL'!$C$6)&amp;"\"&amp;TEXT('FORMATO DIL'!$C$6,"MM")&amp;" "&amp;UPPER(TEXT('FORMATO DIL'!$C$6,"MMMM"))&amp;"\"&amp;TEXT('FORMATO DIL'!$C$6,"DDMMYY")&amp;IF($C16&lt;&gt;"",C16,"\")</f>
        <v>S:\NPT\NPT HOSPITAL SIMON BOLIVAR\2022\08 AGOSTO\040822\</v>
      </c>
      <c r="S16" t="s">
        <v>56</v>
      </c>
      <c r="T16" t="str">
        <f>LEFT(S16,'FORMATO DIL'!$G$9)</f>
        <v>AZTR</v>
      </c>
      <c r="U16">
        <v>424</v>
      </c>
    </row>
    <row r="17" spans="1:21">
      <c r="A17" s="110" t="s">
        <v>971</v>
      </c>
      <c r="B17" t="str">
        <f>$A$9&amp;":\PRODUCCION NPT\NPT HOSPITAL TUNAL\"</f>
        <v>Z:\PRODUCCION NPT\NPT HOSPITAL TUNAL\</v>
      </c>
      <c r="D17" t="str">
        <f ca="1">B17&amp;YEAR('FORMATO DIL'!$C$6)&amp;"\"&amp;TEXT('FORMATO DIL'!$C$6,"MM")&amp;" "&amp;UPPER(TEXT('FORMATO DIL'!$C$6,"MMMM"))&amp;"\"&amp;TEXT('FORMATO DIL'!$C$6,"DDMMYY")&amp;IF($C17&lt;&gt;"",C17,"\")</f>
        <v>Z:\PRODUCCION NPT\NPT HOSPITAL TUNAL\2022\08 AGOSTO\040822\</v>
      </c>
      <c r="E17" t="s">
        <v>982</v>
      </c>
      <c r="F17" t="str">
        <f ca="1">E17&amp;YEAR('FORMATO DIL'!$C$6)&amp;"\"&amp;TEXT('FORMATO DIL'!$C$6,"MM")&amp;" "&amp;UPPER(TEXT('FORMATO DIL'!$C$6,"MMMM"))&amp;"\"&amp;TEXT('FORMATO DIL'!$C$6,"DDMMYY")&amp;IF($C17&lt;&gt;"",C17,"\")</f>
        <v>S:\NPT\NPT HOSPITAL TUNAL\2022\08 AGOSTO\040822\</v>
      </c>
      <c r="S17" t="s">
        <v>374</v>
      </c>
      <c r="T17" t="str">
        <f>LEFT(S17,'FORMATO DIL'!$G$9)</f>
        <v>BETA</v>
      </c>
      <c r="U17">
        <v>163</v>
      </c>
    </row>
    <row r="18" spans="1:21">
      <c r="A18" s="110" t="s">
        <v>989</v>
      </c>
      <c r="B18" t="str">
        <f>$A$9&amp;":\PRODUCCION NPT\NPT INSTITUTO DEL CORAZON SEDE BOGOTA\"</f>
        <v>Z:\PRODUCCION NPT\NPT INSTITUTO DEL CORAZON SEDE BOGOTA\</v>
      </c>
      <c r="D18" t="str">
        <f ca="1">B18&amp;YEAR('FORMATO DIL'!$C$6)&amp;"\"&amp;TEXT('FORMATO DIL'!$C$6,"MM")&amp;" "&amp;UPPER(TEXT('FORMATO DIL'!$C$6,"MMMM"))&amp;"\"&amp;TEXT('FORMATO DIL'!$C$6,"DDMMYY")&amp;IF($C18&lt;&gt;"",C18,"\")</f>
        <v>Z:\PRODUCCION NPT\NPT INSTITUTO DEL CORAZON SEDE BOGOTA\2022\08 AGOSTO\040822\</v>
      </c>
      <c r="E18" t="s">
        <v>983</v>
      </c>
      <c r="F18" t="str">
        <f ca="1">E18&amp;YEAR('FORMATO DIL'!$C$6)&amp;"\"&amp;TEXT('FORMATO DIL'!$C$6,"MM")&amp;" "&amp;UPPER(TEXT('FORMATO DIL'!$C$6,"MMMM"))&amp;"\"&amp;TEXT('FORMATO DIL'!$C$6,"DDMMYY")&amp;IF($C18&lt;&gt;"",C18,"\")</f>
        <v>S:\NPT\NPT INSTITUTO DEL CORAZON SEDE BOGOTA\2022\08 AGOSTO\040822\</v>
      </c>
      <c r="S18" t="s">
        <v>376</v>
      </c>
      <c r="T18" t="str">
        <f>LEFT(S18,'FORMATO DIL'!$G$9)</f>
        <v>BICA</v>
      </c>
      <c r="U18">
        <v>484</v>
      </c>
    </row>
    <row r="19" spans="1:21">
      <c r="A19" s="110" t="s">
        <v>972</v>
      </c>
      <c r="B19" t="str">
        <f>$A$9&amp;":\PRODUCCION NPT\NPT IPS MEDICAL PRO&amp;NFO\"</f>
        <v>Z:\PRODUCCION NPT\NPT IPS MEDICAL PRO&amp;NFO\</v>
      </c>
      <c r="D19" t="str">
        <f ca="1">B19&amp;YEAR('FORMATO DIL'!$C$6)&amp;"\"&amp;TEXT('FORMATO DIL'!$C$6,"MM")&amp;" "&amp;UPPER(TEXT('FORMATO DIL'!$C$6,"MMMM"))&amp;"\"&amp;TEXT('FORMATO DIL'!$C$6,"DDMMYY")&amp;IF($C19&lt;&gt;"",C19,"\")</f>
        <v>Z:\PRODUCCION NPT\NPT IPS MEDICAL PRO&amp;NFO\2022\08 AGOSTO\040822\</v>
      </c>
      <c r="E19" t="s">
        <v>984</v>
      </c>
      <c r="F19" t="str">
        <f ca="1">E19&amp;YEAR('FORMATO DIL'!$C$6)&amp;"\"&amp;TEXT('FORMATO DIL'!$C$6,"MM")&amp;" "&amp;UPPER(TEXT('FORMATO DIL'!$C$6,"MMMM"))&amp;"\"&amp;TEXT('FORMATO DIL'!$C$6,"DDMMYY")&amp;IF($C19&lt;&gt;"",C19,"\")</f>
        <v>S:\NPT\NPT IPS MEDICAL PRO&amp;NFO\2022\08 AGOSTO\040822\</v>
      </c>
      <c r="S19" t="s">
        <v>181</v>
      </c>
      <c r="T19" t="str">
        <f>LEFT(S19,'FORMATO DIL'!$G$9)</f>
        <v>BUPI</v>
      </c>
      <c r="U19">
        <v>394</v>
      </c>
    </row>
    <row r="20" spans="1:21">
      <c r="A20" s="110" t="s">
        <v>662</v>
      </c>
      <c r="B20" t="str">
        <f>$A$9&amp;":\PRODUCCION NPT\NPT SCOOP BOGOTA DC\"</f>
        <v>Z:\PRODUCCION NPT\NPT SCOOP BOGOTA DC\</v>
      </c>
      <c r="C20" t="s">
        <v>995</v>
      </c>
      <c r="D20" t="str">
        <f ca="1">B20&amp;YEAR('FORMATO DIL'!$C$6)&amp;"\"&amp;TEXT('FORMATO DIL'!$C$6,"MM")&amp;" "&amp;UPPER(TEXT('FORMATO DIL'!$C$6,"MMMM"))&amp;"\"&amp;TEXT('FORMATO DIL'!$C$6,"DDMMYY")&amp;IF($C20&lt;&gt;"",C20,"\")</f>
        <v>Z:\PRODUCCION NPT\NPT SCOOP BOGOTA DC\2022\08 AGOSTO\040822\JPC\</v>
      </c>
      <c r="E20" t="s">
        <v>985</v>
      </c>
      <c r="F20" t="str">
        <f ca="1">E20&amp;YEAR('FORMATO DIL'!$C$6)&amp;"\"&amp;TEXT('FORMATO DIL'!$C$6,"MM")&amp;" "&amp;UPPER(TEXT('FORMATO DIL'!$C$6,"MMMM"))&amp;"\"&amp;TEXT('FORMATO DIL'!$C$6,"DDMMYY")&amp;IF($C20&lt;&gt;"",C20,"\")</f>
        <v>S:\NPT\NPT SCOOP BOGOTA DC\2022\08 AGOSTO\040822\JPC\</v>
      </c>
      <c r="S20" t="s">
        <v>407</v>
      </c>
      <c r="T20" t="str">
        <f>LEFT(S20,'FORMATO DIL'!$G$9)</f>
        <v>CAFE</v>
      </c>
      <c r="U20" t="s">
        <v>607</v>
      </c>
    </row>
    <row r="21" spans="1:21">
      <c r="A21" s="110" t="s">
        <v>973</v>
      </c>
      <c r="B21" t="str">
        <f>$A$9&amp;":\PRODUCCION NPT\NPT SCOOP BOGOTA DC\"</f>
        <v>Z:\PRODUCCION NPT\NPT SCOOP BOGOTA DC\</v>
      </c>
      <c r="C21" t="s">
        <v>844</v>
      </c>
      <c r="D21" t="str">
        <f ca="1">B21&amp;YEAR('FORMATO DIL'!$C$6)&amp;"\"&amp;TEXT('FORMATO DIL'!$C$6,"MM")&amp;" "&amp;UPPER(TEXT('FORMATO DIL'!$C$6,"MMMM"))&amp;"\"&amp;TEXT('FORMATO DIL'!$C$6,"DDMMYY")&amp;IF($C21&lt;&gt;"",C21,"\")</f>
        <v>Z:\PRODUCCION NPT\NPT SCOOP BOGOTA DC\2022\08 AGOSTO\040822\MATERNO\</v>
      </c>
      <c r="E21" t="s">
        <v>985</v>
      </c>
      <c r="F21" t="str">
        <f ca="1">E21&amp;YEAR('FORMATO DIL'!$C$6)&amp;"\"&amp;TEXT('FORMATO DIL'!$C$6,"MM")&amp;" "&amp;UPPER(TEXT('FORMATO DIL'!$C$6,"MMMM"))&amp;"\"&amp;TEXT('FORMATO DIL'!$C$6,"DDMMYY")&amp;IF($C21&lt;&gt;"",C21,"\")</f>
        <v>S:\NPT\NPT SCOOP BOGOTA DC\2022\08 AGOSTO\040822\MATERNO\</v>
      </c>
      <c r="S21" t="s">
        <v>407</v>
      </c>
      <c r="T21" t="str">
        <f>LEFT(S21,'FORMATO DIL'!$G$9)</f>
        <v>CAFE</v>
      </c>
      <c r="U21">
        <v>36226</v>
      </c>
    </row>
    <row r="22" spans="1:21">
      <c r="A22" s="110" t="s">
        <v>630</v>
      </c>
      <c r="B22" t="str">
        <f>$A$9&amp;":\PRODUCCION NPT\NPT SCOOP BOGOTA DC\"</f>
        <v>Z:\PRODUCCION NPT\NPT SCOOP BOGOTA DC\</v>
      </c>
      <c r="C22" t="s">
        <v>845</v>
      </c>
      <c r="D22" t="str">
        <f ca="1">B22&amp;YEAR('FORMATO DIL'!$C$6)&amp;"\"&amp;TEXT('FORMATO DIL'!$C$6,"MM")&amp;" "&amp;UPPER(TEXT('FORMATO DIL'!$C$6,"MMMM"))&amp;"\"&amp;TEXT('FORMATO DIL'!$C$6,"DDMMYY")&amp;IF($C22&lt;&gt;"",C22,"\")</f>
        <v>Z:\PRODUCCION NPT\NPT SCOOP BOGOTA DC\2022\08 AGOSTO\040822\VERAGUAS\</v>
      </c>
      <c r="E22" t="s">
        <v>985</v>
      </c>
      <c r="F22" t="str">
        <f ca="1">E22&amp;YEAR('FORMATO DIL'!$C$6)&amp;"\"&amp;TEXT('FORMATO DIL'!$C$6,"MM")&amp;" "&amp;UPPER(TEXT('FORMATO DIL'!$C$6,"MMMM"))&amp;"\"&amp;TEXT('FORMATO DIL'!$C$6,"DDMMYY")&amp;IF($C22&lt;&gt;"",C22,"\")</f>
        <v>S:\NPT\NPT SCOOP BOGOTA DC\2022\08 AGOSTO\040822\VERAGUAS\</v>
      </c>
      <c r="S22" t="s">
        <v>49</v>
      </c>
      <c r="T22" t="str">
        <f>LEFT(S22,'FORMATO DIL'!$G$9)</f>
        <v>CASP</v>
      </c>
      <c r="U22">
        <v>4067</v>
      </c>
    </row>
    <row r="23" spans="1:21">
      <c r="A23" s="110" t="s">
        <v>974</v>
      </c>
      <c r="B23" t="str">
        <f>$A$9&amp;":\PRODUCCION NPT\NPT SCOOP BOGOTA DC\"</f>
        <v>Z:\PRODUCCION NPT\NPT SCOOP BOGOTA DC\</v>
      </c>
      <c r="C23" t="s">
        <v>996</v>
      </c>
      <c r="D23" t="str">
        <f ca="1">B23&amp;YEAR('FORMATO DIL'!$C$6)&amp;"\"&amp;TEXT('FORMATO DIL'!$C$6,"MM")&amp;" "&amp;UPPER(TEXT('FORMATO DIL'!$C$6,"MMMM"))&amp;"\"&amp;TEXT('FORMATO DIL'!$C$6,"DDMMYY")&amp;IF($C23&lt;&gt;"",C23,"\")</f>
        <v>Z:\PRODUCCION NPT\NPT SCOOP BOGOTA DC\2022\08 AGOSTO\040822\STA BIBIANA\</v>
      </c>
      <c r="E23" t="s">
        <v>985</v>
      </c>
      <c r="F23" t="str">
        <f ca="1">E23&amp;YEAR('FORMATO DIL'!$C$6)&amp;"\"&amp;TEXT('FORMATO DIL'!$C$6,"MM")&amp;" "&amp;UPPER(TEXT('FORMATO DIL'!$C$6,"MMMM"))&amp;"\"&amp;TEXT('FORMATO DIL'!$C$6,"DDMMYY")&amp;IF($C23&lt;&gt;"",C23,"\")</f>
        <v>S:\NPT\NPT SCOOP BOGOTA DC\2022\08 AGOSTO\040822\STA BIBIANA\</v>
      </c>
      <c r="S23" t="s">
        <v>49</v>
      </c>
      <c r="T23" t="str">
        <f>LEFT(S23,'FORMATO DIL'!$G$9)</f>
        <v>CASP</v>
      </c>
      <c r="U23">
        <v>4068</v>
      </c>
    </row>
    <row r="24" spans="1:21">
      <c r="A24" s="110" t="s">
        <v>574</v>
      </c>
      <c r="B24" t="str">
        <f>$A$9&amp;":\PRODUCCION NPT\NPT SCOOP NEIVA\"</f>
        <v>Z:\PRODUCCION NPT\NPT SCOOP NEIVA\</v>
      </c>
      <c r="D24" t="str">
        <f ca="1">B24&amp;YEAR('FORMATO DIL'!$C$6)&amp;"\"&amp;TEXT('FORMATO DIL'!$C$6,"MM")&amp;" "&amp;UPPER(TEXT('FORMATO DIL'!$C$6,"MMMM"))&amp;"\"&amp;TEXT('FORMATO DIL'!$C$6,"DDMMYY")&amp;IF($C24&lt;&gt;"",C24,"\")</f>
        <v>Z:\PRODUCCION NPT\NPT SCOOP NEIVA\2022\08 AGOSTO\040822\</v>
      </c>
      <c r="E24" t="s">
        <v>986</v>
      </c>
      <c r="F24" t="str">
        <f ca="1">E24&amp;YEAR('FORMATO DIL'!$C$6)&amp;"\"&amp;TEXT('FORMATO DIL'!$C$6,"MM")&amp;" "&amp;UPPER(TEXT('FORMATO DIL'!$C$6,"MMMM"))&amp;"\"&amp;TEXT('FORMATO DIL'!$C$6,"DDMMYY")&amp;IF($C24&lt;&gt;"",C24,"\")</f>
        <v>S:\NPT\NPT SCOOP NEIVA\2022\08 AGOSTO\040822\</v>
      </c>
      <c r="S24" t="s">
        <v>24</v>
      </c>
      <c r="T24" t="str">
        <f>LEFT(S24,'FORMATO DIL'!$G$9)</f>
        <v>CEFA</v>
      </c>
      <c r="U24">
        <v>27</v>
      </c>
    </row>
    <row r="25" spans="1:21">
      <c r="S25" t="s">
        <v>179</v>
      </c>
      <c r="T25" t="str">
        <f>LEFT(S25,'FORMATO DIL'!$G$9)</f>
        <v>CEFA</v>
      </c>
      <c r="U25">
        <v>28</v>
      </c>
    </row>
    <row r="26" spans="1:21">
      <c r="A26" s="110"/>
      <c r="S26" t="s">
        <v>180</v>
      </c>
      <c r="T26" t="str">
        <f>LEFT(S26,'FORMATO DIL'!$G$9)</f>
        <v>CEFE</v>
      </c>
      <c r="U26">
        <v>3135</v>
      </c>
    </row>
    <row r="27" spans="1:21">
      <c r="S27" t="s">
        <v>54</v>
      </c>
      <c r="T27" t="str">
        <f>LEFT(S27,'FORMATO DIL'!$G$9)</f>
        <v>CEFO</v>
      </c>
      <c r="U27">
        <v>3801</v>
      </c>
    </row>
    <row r="28" spans="1:21">
      <c r="S28" t="s">
        <v>51</v>
      </c>
      <c r="T28" t="str">
        <f>LEFT(S28,'FORMATO DIL'!$G$9)</f>
        <v>CEFO</v>
      </c>
      <c r="U28">
        <v>4173</v>
      </c>
    </row>
    <row r="29" spans="1:21">
      <c r="S29" t="s">
        <v>52</v>
      </c>
      <c r="T29" t="str">
        <f>LEFT(S29,'FORMATO DIL'!$G$9)</f>
        <v>CEFO</v>
      </c>
      <c r="U29">
        <v>30173</v>
      </c>
    </row>
    <row r="30" spans="1:21">
      <c r="S30" t="s">
        <v>252</v>
      </c>
      <c r="T30" t="str">
        <f>LEFT(S30,'FORMATO DIL'!$G$9)</f>
        <v>CEFR</v>
      </c>
      <c r="U30">
        <v>29</v>
      </c>
    </row>
    <row r="31" spans="1:21">
      <c r="S31" t="s">
        <v>53</v>
      </c>
      <c r="T31" t="str">
        <f>LEFT(S31,'FORMATO DIL'!$G$9)</f>
        <v>CEFT</v>
      </c>
      <c r="U31">
        <v>5162</v>
      </c>
    </row>
    <row r="32" spans="1:21">
      <c r="S32" t="s">
        <v>29</v>
      </c>
      <c r="T32" t="str">
        <f>LEFT(S32,'FORMATO DIL'!$G$9)</f>
        <v>CEFT</v>
      </c>
      <c r="U32">
        <v>426</v>
      </c>
    </row>
    <row r="33" spans="19:21">
      <c r="S33" t="s">
        <v>826</v>
      </c>
      <c r="T33" t="str">
        <f>LEFT(S33,'FORMATO DIL'!$G$9)</f>
        <v>CEFT</v>
      </c>
      <c r="U33" t="s">
        <v>825</v>
      </c>
    </row>
    <row r="34" spans="19:21">
      <c r="S34" t="s">
        <v>286</v>
      </c>
      <c r="T34" t="str">
        <f>LEFT(S34,'FORMATO DIL'!$G$9)</f>
        <v>CEFU</v>
      </c>
      <c r="U34">
        <v>3806</v>
      </c>
    </row>
    <row r="35" spans="19:21">
      <c r="S35" t="s">
        <v>228</v>
      </c>
      <c r="T35" t="str">
        <f>LEFT(S35,'FORMATO DIL'!$G$9)</f>
        <v>CIPR</v>
      </c>
      <c r="U35">
        <v>428</v>
      </c>
    </row>
    <row r="36" spans="19:21">
      <c r="S36" t="s">
        <v>37</v>
      </c>
      <c r="T36" t="str">
        <f>LEFT(S36,'FORMATO DIL'!$G$9)</f>
        <v>CLAR</v>
      </c>
      <c r="U36">
        <v>4138</v>
      </c>
    </row>
    <row r="37" spans="19:21">
      <c r="S37" t="s">
        <v>33</v>
      </c>
      <c r="T37" t="str">
        <f>LEFT(S37,'FORMATO DIL'!$G$9)</f>
        <v>CLIN</v>
      </c>
      <c r="U37">
        <v>427</v>
      </c>
    </row>
    <row r="38" spans="19:21">
      <c r="S38" t="s">
        <v>502</v>
      </c>
      <c r="T38" t="str">
        <f>LEFT(S38,'FORMATO DIL'!$G$9)</f>
        <v>COLI</v>
      </c>
      <c r="U38">
        <v>30692</v>
      </c>
    </row>
    <row r="39" spans="19:21">
      <c r="S39" t="s">
        <v>502</v>
      </c>
      <c r="T39" t="str">
        <f>LEFT(S39,'FORMATO DIL'!$G$9)</f>
        <v>COLI</v>
      </c>
      <c r="U39" t="s">
        <v>815</v>
      </c>
    </row>
    <row r="40" spans="19:21">
      <c r="S40" t="s">
        <v>408</v>
      </c>
      <c r="T40" t="str">
        <f>LEFT(S40,'FORMATO DIL'!$G$9)</f>
        <v>DAPT</v>
      </c>
      <c r="U40">
        <v>36489</v>
      </c>
    </row>
    <row r="41" spans="19:21">
      <c r="S41" t="s">
        <v>43</v>
      </c>
      <c r="T41" t="str">
        <f>LEFT(S41,'FORMATO DIL'!$G$9)</f>
        <v>DEXA</v>
      </c>
      <c r="U41">
        <v>165</v>
      </c>
    </row>
    <row r="42" spans="19:21">
      <c r="S42" t="s">
        <v>43</v>
      </c>
      <c r="T42" t="str">
        <f>LEFT(S42,'FORMATO DIL'!$G$9)</f>
        <v>DEXA</v>
      </c>
      <c r="U42">
        <v>166</v>
      </c>
    </row>
    <row r="43" spans="19:21">
      <c r="S43" t="s">
        <v>43</v>
      </c>
      <c r="T43" t="str">
        <f>LEFT(S43,'FORMATO DIL'!$G$9)</f>
        <v>DEXA</v>
      </c>
      <c r="U43" t="s">
        <v>372</v>
      </c>
    </row>
    <row r="44" spans="19:21">
      <c r="S44" t="s">
        <v>43</v>
      </c>
      <c r="T44" t="str">
        <f>LEFT(S44,'FORMATO DIL'!$G$9)</f>
        <v>DEXA</v>
      </c>
      <c r="U44" t="s">
        <v>373</v>
      </c>
    </row>
    <row r="45" spans="19:21">
      <c r="S45" t="s">
        <v>378</v>
      </c>
      <c r="T45" t="str">
        <f>LEFT(S45,'FORMATO DIL'!$G$9)</f>
        <v>DIAZ</v>
      </c>
      <c r="U45">
        <v>404</v>
      </c>
    </row>
    <row r="46" spans="19:21">
      <c r="S46" t="s">
        <v>46</v>
      </c>
      <c r="T46" t="str">
        <f>LEFT(S46,'FORMATO DIL'!$G$9)</f>
        <v>DOPA</v>
      </c>
      <c r="U46">
        <v>440</v>
      </c>
    </row>
    <row r="47" spans="19:21">
      <c r="S47" t="s">
        <v>48</v>
      </c>
      <c r="T47" t="str">
        <f>LEFT(S47,'FORMATO DIL'!$G$9)</f>
        <v>ERTA</v>
      </c>
      <c r="U47">
        <v>5233</v>
      </c>
    </row>
    <row r="48" spans="19:21">
      <c r="S48" t="s">
        <v>409</v>
      </c>
      <c r="T48" t="str">
        <f>LEFT(S48,'FORMATO DIL'!$G$9)</f>
        <v>FENI</v>
      </c>
      <c r="U48">
        <v>405</v>
      </c>
    </row>
    <row r="49" spans="19:21">
      <c r="S49" t="s">
        <v>380</v>
      </c>
      <c r="T49" t="str">
        <f>LEFT(S49,'FORMATO DIL'!$G$9)</f>
        <v>FENO</v>
      </c>
      <c r="U49">
        <v>406</v>
      </c>
    </row>
    <row r="50" spans="19:21">
      <c r="S50" t="s">
        <v>380</v>
      </c>
      <c r="T50" t="str">
        <f>LEFT(S50,'FORMATO DIL'!$G$9)</f>
        <v>FENO</v>
      </c>
      <c r="U50">
        <v>407</v>
      </c>
    </row>
    <row r="51" spans="19:21">
      <c r="S51" t="s">
        <v>383</v>
      </c>
      <c r="T51" t="str">
        <f>LEFT(S51,'FORMATO DIL'!$G$9)</f>
        <v>FENT</v>
      </c>
      <c r="U51">
        <v>4172</v>
      </c>
    </row>
    <row r="52" spans="19:21">
      <c r="S52" t="s">
        <v>503</v>
      </c>
      <c r="T52" t="str">
        <f>LEFT(S52,'FORMATO DIL'!$G$9)</f>
        <v>FLUC</v>
      </c>
      <c r="U52">
        <v>1</v>
      </c>
    </row>
    <row r="53" spans="19:21">
      <c r="S53" t="s">
        <v>42</v>
      </c>
      <c r="T53" t="str">
        <f>LEFT(S53,'FORMATO DIL'!$G$9)</f>
        <v>FURO</v>
      </c>
      <c r="U53">
        <v>119</v>
      </c>
    </row>
    <row r="54" spans="19:21">
      <c r="S54" t="s">
        <v>42</v>
      </c>
      <c r="T54" t="str">
        <f>LEFT(S54,'FORMATO DIL'!$G$9)</f>
        <v>FURO</v>
      </c>
      <c r="U54" t="s">
        <v>492</v>
      </c>
    </row>
    <row r="55" spans="19:21">
      <c r="S55" t="s">
        <v>42</v>
      </c>
      <c r="T55" t="str">
        <f>LEFT(S55,'FORMATO DIL'!$G$9)</f>
        <v>FURO</v>
      </c>
      <c r="U55" t="s">
        <v>277</v>
      </c>
    </row>
    <row r="56" spans="19:21">
      <c r="S56" t="s">
        <v>386</v>
      </c>
      <c r="T56" t="str">
        <f>LEFT(S56,'FORMATO DIL'!$G$9)</f>
        <v>GANC</v>
      </c>
      <c r="U56" t="s">
        <v>385</v>
      </c>
    </row>
    <row r="57" spans="19:21">
      <c r="S57" t="s">
        <v>57</v>
      </c>
      <c r="T57" t="str">
        <f>LEFT(S57,'FORMATO DIL'!$G$9)</f>
        <v>GATI</v>
      </c>
      <c r="U57">
        <v>5994</v>
      </c>
    </row>
    <row r="58" spans="19:21">
      <c r="S58" t="s">
        <v>32</v>
      </c>
      <c r="T58" t="str">
        <f>LEFT(S58,'FORMATO DIL'!$G$9)</f>
        <v>GENT</v>
      </c>
      <c r="U58">
        <v>42</v>
      </c>
    </row>
    <row r="59" spans="19:21">
      <c r="S59" t="s">
        <v>32</v>
      </c>
      <c r="T59" t="str">
        <f>LEFT(S59,'FORMATO DIL'!$G$9)</f>
        <v>GENT</v>
      </c>
      <c r="U59">
        <v>43</v>
      </c>
    </row>
    <row r="60" spans="19:21">
      <c r="S60" t="s">
        <v>32</v>
      </c>
      <c r="T60" t="str">
        <f>LEFT(S60,'FORMATO DIL'!$G$9)</f>
        <v>GENT</v>
      </c>
      <c r="U60" t="s">
        <v>532</v>
      </c>
    </row>
    <row r="61" spans="19:21">
      <c r="S61" t="s">
        <v>387</v>
      </c>
      <c r="T61" t="str">
        <f>LEFT(S61,'FORMATO DIL'!$G$9)</f>
        <v>GONA</v>
      </c>
      <c r="U61" t="s">
        <v>385</v>
      </c>
    </row>
    <row r="62" spans="19:21">
      <c r="S62" t="s">
        <v>60</v>
      </c>
      <c r="T62" t="str">
        <f>LEFT(S62,'FORMATO DIL'!$G$9)</f>
        <v>HALO</v>
      </c>
      <c r="U62">
        <v>344</v>
      </c>
    </row>
    <row r="63" spans="19:21">
      <c r="S63" t="s">
        <v>40</v>
      </c>
      <c r="T63" t="str">
        <f>LEFT(S63,'FORMATO DIL'!$G$9)</f>
        <v>HEPA</v>
      </c>
      <c r="U63">
        <v>4</v>
      </c>
    </row>
    <row r="64" spans="19:21">
      <c r="S64" t="s">
        <v>40</v>
      </c>
      <c r="T64" t="str">
        <f>LEFT(S64,'FORMATO DIL'!$G$9)</f>
        <v>HEPA</v>
      </c>
      <c r="U64">
        <v>4374</v>
      </c>
    </row>
    <row r="65" spans="19:21">
      <c r="S65" t="s">
        <v>44</v>
      </c>
      <c r="T65" t="str">
        <f>LEFT(S65,'FORMATO DIL'!$G$9)</f>
        <v>HIDR</v>
      </c>
      <c r="U65">
        <v>413</v>
      </c>
    </row>
    <row r="66" spans="19:21">
      <c r="S66" t="s">
        <v>248</v>
      </c>
      <c r="T66" t="str">
        <f>LEFT(S66,'FORMATO DIL'!$G$9)</f>
        <v>HIDR</v>
      </c>
      <c r="U66">
        <v>3913</v>
      </c>
    </row>
    <row r="67" spans="19:21">
      <c r="S67" t="s">
        <v>250</v>
      </c>
      <c r="T67" t="str">
        <f>LEFT(S67,'FORMATO DIL'!$G$9)</f>
        <v>IMIP</v>
      </c>
      <c r="U67">
        <v>1000</v>
      </c>
    </row>
    <row r="68" spans="19:21">
      <c r="S68" t="s">
        <v>45</v>
      </c>
      <c r="T68" t="str">
        <f>LEFT(S68,'FORMATO DIL'!$G$9)</f>
        <v>INSU</v>
      </c>
      <c r="U68">
        <v>149</v>
      </c>
    </row>
    <row r="69" spans="19:21">
      <c r="S69" t="s">
        <v>287</v>
      </c>
      <c r="T69" t="str">
        <f>LEFT(S69,'FORMATO DIL'!$G$9)</f>
        <v>INSU</v>
      </c>
      <c r="U69">
        <v>151</v>
      </c>
    </row>
    <row r="70" spans="19:21">
      <c r="S70" t="s">
        <v>806</v>
      </c>
      <c r="T70" t="str">
        <f>LEFT(S70,'FORMATO DIL'!$G$9)</f>
        <v>KETA</v>
      </c>
      <c r="U70">
        <v>401</v>
      </c>
    </row>
    <row r="71" spans="19:21">
      <c r="S71" t="s">
        <v>47</v>
      </c>
      <c r="T71" t="str">
        <f>LEFT(S71,'FORMATO DIL'!$G$9)</f>
        <v>LIDO</v>
      </c>
      <c r="U71">
        <v>297</v>
      </c>
    </row>
    <row r="72" spans="19:21">
      <c r="S72" t="s">
        <v>185</v>
      </c>
      <c r="T72" t="str">
        <f>LEFT(S72,'FORMATO DIL'!$G$9)</f>
        <v>LIDO</v>
      </c>
      <c r="U72">
        <v>2</v>
      </c>
    </row>
    <row r="73" spans="19:21">
      <c r="S73" t="s">
        <v>410</v>
      </c>
      <c r="T73" t="str">
        <f>LEFT(S73,'FORMATO DIL'!$G$9)</f>
        <v>LINE</v>
      </c>
      <c r="U73">
        <v>4945</v>
      </c>
    </row>
    <row r="74" spans="19:21">
      <c r="S74" t="s">
        <v>393</v>
      </c>
      <c r="T74" t="str">
        <f>LEFT(S74,'FORMATO DIL'!$G$9)</f>
        <v>MAGN</v>
      </c>
      <c r="U74">
        <v>481</v>
      </c>
    </row>
    <row r="75" spans="19:21">
      <c r="S75" t="s">
        <v>388</v>
      </c>
      <c r="T75" t="str">
        <f>LEFT(S75,'FORMATO DIL'!$G$9)</f>
        <v>MEPE</v>
      </c>
      <c r="U75">
        <v>387</v>
      </c>
    </row>
    <row r="76" spans="19:21">
      <c r="S76" t="s">
        <v>581</v>
      </c>
      <c r="T76" t="str">
        <f>LEFT(S76,'FORMATO DIL'!$G$9)</f>
        <v>MERO</v>
      </c>
      <c r="U76">
        <v>609</v>
      </c>
    </row>
    <row r="77" spans="19:21">
      <c r="S77" t="s">
        <v>581</v>
      </c>
      <c r="T77" t="str">
        <f>LEFT(S77,'FORMATO DIL'!$G$9)</f>
        <v>MERO</v>
      </c>
      <c r="U77" t="s">
        <v>582</v>
      </c>
    </row>
    <row r="78" spans="19:21">
      <c r="S78" t="s">
        <v>254</v>
      </c>
      <c r="T78" t="str">
        <f>LEFT(S78,'FORMATO DIL'!$G$9)</f>
        <v>MERO</v>
      </c>
      <c r="U78" t="s">
        <v>580</v>
      </c>
    </row>
    <row r="79" spans="19:21">
      <c r="S79" t="s">
        <v>254</v>
      </c>
      <c r="T79" t="str">
        <f>LEFT(S79,'FORMATO DIL'!$G$9)</f>
        <v>MERO</v>
      </c>
      <c r="U79" t="s">
        <v>543</v>
      </c>
    </row>
    <row r="80" spans="19:21">
      <c r="S80" t="s">
        <v>813</v>
      </c>
      <c r="T80" t="str">
        <f>LEFT(S80,'FORMATO DIL'!$G$9)</f>
        <v>MERO</v>
      </c>
      <c r="U80" t="s">
        <v>812</v>
      </c>
    </row>
    <row r="81" spans="19:21">
      <c r="S81" t="s">
        <v>390</v>
      </c>
      <c r="T81" t="str">
        <f>LEFT(S81,'FORMATO DIL'!$G$9)</f>
        <v>METI</v>
      </c>
      <c r="U81">
        <v>3141</v>
      </c>
    </row>
    <row r="82" spans="19:21">
      <c r="S82" t="s">
        <v>39</v>
      </c>
      <c r="T82" t="str">
        <f>LEFT(S82,'FORMATO DIL'!$G$9)</f>
        <v>METI</v>
      </c>
      <c r="U82">
        <v>610</v>
      </c>
    </row>
    <row r="83" spans="19:21">
      <c r="S83" t="s">
        <v>36</v>
      </c>
      <c r="T83" t="str">
        <f>LEFT(S83,'FORMATO DIL'!$G$9)</f>
        <v>METO</v>
      </c>
      <c r="U83">
        <v>129</v>
      </c>
    </row>
    <row r="84" spans="19:21">
      <c r="S84" t="s">
        <v>36</v>
      </c>
      <c r="T84" t="str">
        <f>LEFT(S84,'FORMATO DIL'!$G$9)</f>
        <v>METO</v>
      </c>
      <c r="U84" t="s">
        <v>279</v>
      </c>
    </row>
    <row r="85" spans="19:21">
      <c r="S85" t="s">
        <v>412</v>
      </c>
      <c r="T85" t="str">
        <f>LEFT(S85,'FORMATO DIL'!$G$9)</f>
        <v>METR</v>
      </c>
      <c r="U85">
        <v>430</v>
      </c>
    </row>
    <row r="86" spans="19:21">
      <c r="S86" t="s">
        <v>392</v>
      </c>
      <c r="T86" t="str">
        <f>LEFT(S86,'FORMATO DIL'!$G$9)</f>
        <v>MEZC</v>
      </c>
      <c r="U86" t="s">
        <v>385</v>
      </c>
    </row>
    <row r="87" spans="19:21">
      <c r="S87" t="s">
        <v>63</v>
      </c>
      <c r="T87" t="str">
        <f>LEFT(S87,'FORMATO DIL'!$G$9)</f>
        <v>MIDA</v>
      </c>
      <c r="U87">
        <v>403</v>
      </c>
    </row>
    <row r="88" spans="19:21">
      <c r="S88" t="s">
        <v>63</v>
      </c>
      <c r="T88" t="str">
        <f>LEFT(S88,'FORMATO DIL'!$G$9)</f>
        <v>MIDA</v>
      </c>
      <c r="U88">
        <v>3941</v>
      </c>
    </row>
    <row r="89" spans="19:21">
      <c r="S89" t="s">
        <v>62</v>
      </c>
      <c r="T89" t="str">
        <f>LEFT(S89,'FORMATO DIL'!$G$9)</f>
        <v>MORF</v>
      </c>
      <c r="U89">
        <v>388</v>
      </c>
    </row>
    <row r="90" spans="19:21">
      <c r="S90" t="s">
        <v>62</v>
      </c>
      <c r="T90" t="str">
        <f>LEFT(S90,'FORMATO DIL'!$G$9)</f>
        <v>MORF</v>
      </c>
      <c r="U90" t="s">
        <v>195</v>
      </c>
    </row>
    <row r="91" spans="19:21">
      <c r="S91" t="s">
        <v>187</v>
      </c>
      <c r="T91" t="str">
        <f>LEFT(S91,'FORMATO DIL'!$G$9)</f>
        <v>MORF</v>
      </c>
      <c r="U91">
        <v>3</v>
      </c>
    </row>
    <row r="92" spans="19:21">
      <c r="S92" t="s">
        <v>184</v>
      </c>
      <c r="T92" t="str">
        <f>LEFT(S92,'FORMATO DIL'!$G$9)</f>
        <v>MORF</v>
      </c>
      <c r="U92">
        <v>1</v>
      </c>
    </row>
    <row r="93" spans="19:21">
      <c r="S93" t="s">
        <v>242</v>
      </c>
      <c r="T93" t="str">
        <f>LEFT(S93,'FORMATO DIL'!$G$9)</f>
        <v>OMEP</v>
      </c>
      <c r="U93">
        <v>3794</v>
      </c>
    </row>
    <row r="94" spans="19:21">
      <c r="S94" t="s">
        <v>182</v>
      </c>
      <c r="T94" t="str">
        <f>LEFT(S94,'FORMATO DIL'!$G$9)</f>
        <v>ONDA</v>
      </c>
      <c r="U94">
        <v>561</v>
      </c>
    </row>
    <row r="95" spans="19:21">
      <c r="S95" t="s">
        <v>38</v>
      </c>
      <c r="T95" t="str">
        <f>LEFT(S95,'FORMATO DIL'!$G$9)</f>
        <v>OXAC</v>
      </c>
      <c r="U95">
        <v>432</v>
      </c>
    </row>
    <row r="96" spans="19:21">
      <c r="S96" t="s">
        <v>603</v>
      </c>
      <c r="T96" t="str">
        <f>LEFT(S96,'FORMATO DIL'!$G$9)</f>
        <v>PAMI</v>
      </c>
      <c r="U96">
        <v>10</v>
      </c>
    </row>
    <row r="97" spans="19:21">
      <c r="S97" t="s">
        <v>325</v>
      </c>
      <c r="T97" t="str">
        <f>LEFT(S97,'FORMATO DIL'!$G$9)</f>
        <v>PENI</v>
      </c>
      <c r="U97">
        <v>54</v>
      </c>
    </row>
    <row r="98" spans="19:21">
      <c r="S98" t="s">
        <v>325</v>
      </c>
      <c r="T98" t="str">
        <f>LEFT(S98,'FORMATO DIL'!$G$9)</f>
        <v>PENI</v>
      </c>
      <c r="U98">
        <v>55</v>
      </c>
    </row>
    <row r="99" spans="19:21">
      <c r="S99" t="s">
        <v>327</v>
      </c>
      <c r="T99" t="str">
        <f>LEFT(S99,'FORMATO DIL'!$G$9)</f>
        <v>PIPE</v>
      </c>
      <c r="U99">
        <v>3914</v>
      </c>
    </row>
    <row r="100" spans="19:21">
      <c r="S100" t="s">
        <v>327</v>
      </c>
      <c r="T100" t="str">
        <f>LEFT(S100,'FORMATO DIL'!$G$9)</f>
        <v>PIPE</v>
      </c>
      <c r="U100" t="s">
        <v>578</v>
      </c>
    </row>
    <row r="101" spans="19:21">
      <c r="S101" t="s">
        <v>808</v>
      </c>
      <c r="T101" t="str">
        <f>LEFT(S101,'FORMATO DIL'!$G$9)</f>
        <v>PIPE</v>
      </c>
      <c r="U101" t="s">
        <v>598</v>
      </c>
    </row>
    <row r="102" spans="19:21">
      <c r="S102" t="s">
        <v>511</v>
      </c>
      <c r="T102" t="str">
        <f>LEFT(S102,'FORMATO DIL'!$G$9)</f>
        <v>POLI</v>
      </c>
      <c r="U102">
        <v>425</v>
      </c>
    </row>
    <row r="103" spans="19:21">
      <c r="S103" t="s">
        <v>35</v>
      </c>
      <c r="T103" t="str">
        <f>LEFT(S103,'FORMATO DIL'!$G$9)</f>
        <v>RANI</v>
      </c>
      <c r="U103">
        <v>140</v>
      </c>
    </row>
    <row r="104" spans="19:21">
      <c r="S104" t="s">
        <v>35</v>
      </c>
      <c r="T104" t="str">
        <f>LEFT(S104,'FORMATO DIL'!$G$9)</f>
        <v>RANI</v>
      </c>
      <c r="U104" t="s">
        <v>278</v>
      </c>
    </row>
    <row r="105" spans="19:21">
      <c r="S105" t="s">
        <v>186</v>
      </c>
      <c r="T105" t="str">
        <f>LEFT(S105,'FORMATO DIL'!$G$9)</f>
        <v>SODI</v>
      </c>
      <c r="U105">
        <v>482</v>
      </c>
    </row>
    <row r="106" spans="19:21">
      <c r="S106" t="s">
        <v>369</v>
      </c>
      <c r="T106" t="str">
        <f>LEFT(S106,'FORMATO DIL'!$G$9)</f>
        <v>SOLU</v>
      </c>
      <c r="U106">
        <v>5</v>
      </c>
    </row>
    <row r="107" spans="19:21">
      <c r="S107" t="s">
        <v>579</v>
      </c>
      <c r="T107" t="str">
        <f>LEFT(S107,'FORMATO DIL'!$G$9)</f>
        <v>TAZO</v>
      </c>
      <c r="U107" t="s">
        <v>598</v>
      </c>
    </row>
    <row r="108" spans="19:21">
      <c r="S108" t="s">
        <v>579</v>
      </c>
      <c r="T108" t="str">
        <f>LEFT(S108,'FORMATO DIL'!$G$9)</f>
        <v>TAZO</v>
      </c>
      <c r="U108" t="s">
        <v>799</v>
      </c>
    </row>
    <row r="109" spans="19:21">
      <c r="S109" t="s">
        <v>58</v>
      </c>
      <c r="T109" t="str">
        <f>LEFT(S109,'FORMATO DIL'!$G$9)</f>
        <v>TIGE</v>
      </c>
      <c r="U109">
        <v>14202</v>
      </c>
    </row>
    <row r="110" spans="19:21">
      <c r="S110" t="s">
        <v>61</v>
      </c>
      <c r="T110" t="str">
        <f>LEFT(S110,'FORMATO DIL'!$G$9)</f>
        <v>TRAM</v>
      </c>
      <c r="U110">
        <v>389</v>
      </c>
    </row>
    <row r="111" spans="19:21">
      <c r="S111" t="s">
        <v>189</v>
      </c>
      <c r="T111" t="str">
        <f>LEFT(S111,'FORMATO DIL'!$G$9)</f>
        <v>TRIM</v>
      </c>
      <c r="U111">
        <v>587</v>
      </c>
    </row>
    <row r="112" spans="19:21">
      <c r="S112" t="s">
        <v>583</v>
      </c>
      <c r="T112" t="str">
        <f>LEFT(S112,'FORMATO DIL'!$G$9)</f>
        <v>UNAS</v>
      </c>
      <c r="U112" t="s">
        <v>584</v>
      </c>
    </row>
    <row r="113" spans="19:21">
      <c r="S113" t="s">
        <v>583</v>
      </c>
      <c r="T113" t="str">
        <f>LEFT(S113,'FORMATO DIL'!$G$9)</f>
        <v>UNAS</v>
      </c>
      <c r="U113" t="s">
        <v>585</v>
      </c>
    </row>
    <row r="114" spans="19:21">
      <c r="S114" t="s">
        <v>413</v>
      </c>
      <c r="T114" t="str">
        <f>LEFT(S114,'FORMATO DIL'!$G$9)</f>
        <v>VALP</v>
      </c>
      <c r="U114">
        <v>5670</v>
      </c>
    </row>
    <row r="115" spans="19:21">
      <c r="S115" t="s">
        <v>30</v>
      </c>
      <c r="T115" t="str">
        <f>LEFT(S115,'FORMATO DIL'!$G$9)</f>
        <v>VANC</v>
      </c>
      <c r="U115">
        <v>612</v>
      </c>
    </row>
    <row r="116" spans="19:21">
      <c r="S116" t="s">
        <v>30</v>
      </c>
      <c r="T116" t="str">
        <f>LEFT(S116,'FORMATO DIL'!$G$9)</f>
        <v>VANC</v>
      </c>
      <c r="U116" t="s">
        <v>597</v>
      </c>
    </row>
    <row r="117" spans="19:21">
      <c r="S117" t="s">
        <v>810</v>
      </c>
      <c r="T117" t="str">
        <f>LEFT(S117,'FORMATO DIL'!$G$9)</f>
        <v>VANC</v>
      </c>
      <c r="U117" t="s">
        <v>809</v>
      </c>
    </row>
    <row r="118" spans="19:21">
      <c r="S118" t="s">
        <v>395</v>
      </c>
      <c r="T118" t="str">
        <f>LEFT(S118,'FORMATO DIL'!$G$9)</f>
        <v>VITA</v>
      </c>
      <c r="U118">
        <v>4749</v>
      </c>
    </row>
    <row r="119" spans="19:21">
      <c r="S119" t="s">
        <v>183</v>
      </c>
      <c r="T119" t="str">
        <f>LEFT(S119,'FORMATO DIL'!$G$9)</f>
        <v>VITA</v>
      </c>
      <c r="U119">
        <v>496</v>
      </c>
    </row>
    <row r="120" spans="19:21">
      <c r="S120" t="s">
        <v>183</v>
      </c>
      <c r="T120" t="str">
        <f>LEFT(S120,'FORMATO DIL'!$G$9)</f>
        <v>VITA</v>
      </c>
      <c r="U120" t="s">
        <v>818</v>
      </c>
    </row>
    <row r="121" spans="19:21">
      <c r="S121" t="s">
        <v>414</v>
      </c>
      <c r="T121" t="str">
        <f>LEFT(S121,'FORMATO DIL'!$G$9)</f>
        <v>VORI</v>
      </c>
      <c r="U121">
        <v>6094</v>
      </c>
    </row>
    <row r="122" spans="19:21">
      <c r="S122" t="s">
        <v>414</v>
      </c>
      <c r="U122">
        <v>6094</v>
      </c>
    </row>
  </sheetData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21506" r:id="rId4" name="ComboBox1">
          <controlPr defaultSize="0" autoLine="0" linkedCell="B9" listFillRange="NPT_LIST" r:id="rId5">
            <anchor moveWithCells="1">
              <from>
                <xdr:col>2</xdr:col>
                <xdr:colOff>47625</xdr:colOff>
                <xdr:row>7</xdr:row>
                <xdr:rowOff>47625</xdr:rowOff>
              </from>
              <to>
                <xdr:col>3</xdr:col>
                <xdr:colOff>733425</xdr:colOff>
                <xdr:row>8</xdr:row>
                <xdr:rowOff>142875</xdr:rowOff>
              </to>
            </anchor>
          </controlPr>
        </control>
      </mc:Choice>
      <mc:Fallback>
        <control shapeId="21506" r:id="rId4" name="ComboBox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1">
    <tabColor rgb="FF92D050"/>
  </sheetPr>
  <dimension ref="A1:AU124"/>
  <sheetViews>
    <sheetView zoomScale="90" zoomScaleNormal="90" zoomScaleSheetLayoutView="100" workbookViewId="0">
      <selection activeCell="B12" sqref="B12"/>
    </sheetView>
  </sheetViews>
  <sheetFormatPr defaultColWidth="9.85546875" defaultRowHeight="12.75" customHeight="1" zeroHeight="1"/>
  <cols>
    <col min="1" max="1" width="17.28515625" style="472" customWidth="1"/>
    <col min="2" max="2" width="30.42578125" style="472" bestFit="1" customWidth="1"/>
    <col min="3" max="3" width="17.28515625" style="516" customWidth="1"/>
    <col min="4" max="4" width="8.5703125" style="472" customWidth="1"/>
    <col min="5" max="5" width="12.42578125" style="472" customWidth="1"/>
    <col min="6" max="6" width="12.140625" style="517" customWidth="1"/>
    <col min="7" max="7" width="8" style="518" customWidth="1"/>
    <col min="8" max="8" width="29.7109375" style="472" customWidth="1"/>
    <col min="9" max="9" width="5.85546875" style="472" customWidth="1"/>
    <col min="10" max="10" width="12.140625" style="472" customWidth="1"/>
    <col min="11" max="11" width="15.140625" style="472" customWidth="1"/>
    <col min="12" max="12" width="8.85546875" style="472" bestFit="1" customWidth="1"/>
    <col min="13" max="13" width="6.7109375" style="473" bestFit="1" customWidth="1"/>
    <col min="14" max="14" width="12.85546875" style="472" customWidth="1"/>
    <col min="15" max="16" width="5.42578125" style="472" customWidth="1"/>
    <col min="17" max="17" width="9.85546875" style="471" bestFit="1" customWidth="1"/>
    <col min="18" max="18" width="15.85546875" style="472" bestFit="1" customWidth="1"/>
    <col min="19" max="20" width="11.42578125" style="472" customWidth="1"/>
    <col min="21" max="21" width="9.85546875" style="472" customWidth="1"/>
    <col min="22" max="22" width="9.85546875" style="472"/>
    <col min="23" max="23" width="47" style="555" bestFit="1" customWidth="1"/>
    <col min="24" max="24" width="28.7109375" style="556" customWidth="1"/>
    <col min="25" max="26" width="35.42578125" style="556" customWidth="1"/>
    <col min="27" max="27" width="52.7109375" style="472" bestFit="1" customWidth="1"/>
    <col min="28" max="40" width="9.85546875" style="472"/>
    <col min="41" max="41" width="11.5703125" style="472" bestFit="1" customWidth="1"/>
    <col min="42" max="42" width="9.85546875" style="472"/>
    <col min="43" max="43" width="17" style="472" bestFit="1" customWidth="1"/>
    <col min="44" max="16384" width="9.85546875" style="472"/>
  </cols>
  <sheetData>
    <row r="1" spans="1:47" ht="29.25" customHeight="1" thickBot="1">
      <c r="A1" s="839"/>
      <c r="B1" s="840"/>
      <c r="C1" s="471" t="s">
        <v>434</v>
      </c>
      <c r="F1" s="841" t="s">
        <v>487</v>
      </c>
      <c r="G1" s="842"/>
      <c r="H1" s="842"/>
      <c r="I1" s="842"/>
      <c r="J1" s="843"/>
      <c r="N1" s="849"/>
      <c r="O1" s="849"/>
      <c r="AA1" s="566" t="s">
        <v>1115</v>
      </c>
    </row>
    <row r="2" spans="1:47" s="471" customFormat="1" ht="29.25" customHeight="1" thickBot="1">
      <c r="A2" s="474" t="s">
        <v>1007</v>
      </c>
      <c r="B2" s="475"/>
      <c r="C2" s="476" t="s">
        <v>435</v>
      </c>
      <c r="F2" s="844"/>
      <c r="G2" s="845"/>
      <c r="H2" s="567"/>
      <c r="I2" s="844"/>
      <c r="J2" s="845"/>
      <c r="N2" s="849"/>
      <c r="O2" s="849"/>
      <c r="W2" s="557" t="s">
        <v>462</v>
      </c>
      <c r="X2" s="557" t="s">
        <v>361</v>
      </c>
      <c r="Y2" s="557" t="s">
        <v>4</v>
      </c>
      <c r="Z2" s="557" t="s">
        <v>576</v>
      </c>
      <c r="AA2" s="557" t="s">
        <v>1114</v>
      </c>
      <c r="AB2" s="560" t="s">
        <v>98</v>
      </c>
      <c r="AC2" s="560" t="s">
        <v>25</v>
      </c>
      <c r="AD2" s="560" t="s">
        <v>96</v>
      </c>
      <c r="AE2" s="560" t="s">
        <v>0</v>
      </c>
      <c r="AF2" s="561" t="s">
        <v>188</v>
      </c>
      <c r="AH2" t="s">
        <v>487</v>
      </c>
      <c r="AI2" t="s">
        <v>967</v>
      </c>
      <c r="AJ2"/>
      <c r="AK2"/>
      <c r="AL2"/>
      <c r="AM2"/>
      <c r="AN2"/>
      <c r="AO2"/>
      <c r="AP2"/>
      <c r="AQ2"/>
      <c r="AR2"/>
      <c r="AS2"/>
      <c r="AT2"/>
      <c r="AU2"/>
    </row>
    <row r="3" spans="1:47" s="471" customFormat="1" ht="29.25" customHeight="1" thickBot="1">
      <c r="A3" s="474" t="s">
        <v>1008</v>
      </c>
      <c r="B3" s="577" t="str">
        <f ca="1">'FORMATO DIL'!B3</f>
        <v>12:03:43</v>
      </c>
      <c r="W3" s="558" t="s">
        <v>1019</v>
      </c>
      <c r="X3" s="559" t="s">
        <v>500</v>
      </c>
      <c r="Y3" s="556" t="s">
        <v>497</v>
      </c>
      <c r="Z3" s="558" t="s">
        <v>1020</v>
      </c>
      <c r="AA3" s="471" t="str">
        <f ca="1">$AA$1&amp;"\"&amp;YEAR($B$5)&amp;"\"&amp;TEXT($B$5,"MM")&amp;" "&amp;UPPER(TEXT($B$5,"MMMM"))&amp;"\"&amp;TEXT($B$5,"DDMMYY")&amp;"\"</f>
        <v>S:\MAGISTRAL HSC CC 016\2022\08 AGOSTO\040822\</v>
      </c>
      <c r="AB3" s="185">
        <v>1</v>
      </c>
      <c r="AC3" s="135" t="s">
        <v>1083</v>
      </c>
      <c r="AD3" s="134" t="s">
        <v>1084</v>
      </c>
      <c r="AE3" s="135" t="s">
        <v>1085</v>
      </c>
      <c r="AF3" s="135">
        <v>5</v>
      </c>
      <c r="AH3" s="450" t="s">
        <v>464</v>
      </c>
      <c r="AI3" s="450" t="s">
        <v>957</v>
      </c>
      <c r="AJ3" s="450" t="s">
        <v>7</v>
      </c>
      <c r="AK3" s="450" t="s">
        <v>958</v>
      </c>
      <c r="AL3" s="450"/>
      <c r="AM3" s="450"/>
      <c r="AN3" s="450"/>
      <c r="AO3" s="450"/>
      <c r="AP3" s="450"/>
      <c r="AQ3" s="450" t="s">
        <v>959</v>
      </c>
      <c r="AR3" s="450" t="s">
        <v>960</v>
      </c>
      <c r="AS3" s="450" t="s">
        <v>961</v>
      </c>
      <c r="AT3" s="450" t="s">
        <v>962</v>
      </c>
      <c r="AU3" s="450" t="s">
        <v>963</v>
      </c>
    </row>
    <row r="4" spans="1:47" s="471" customFormat="1" ht="29.25" customHeight="1">
      <c r="A4" s="474" t="s">
        <v>290</v>
      </c>
      <c r="B4" s="477" t="s">
        <v>171</v>
      </c>
      <c r="F4" s="478" t="s">
        <v>151</v>
      </c>
      <c r="G4" s="479" t="s">
        <v>1009</v>
      </c>
      <c r="H4" s="480" t="str">
        <f>IFERROR(VALUE(RIGHT(H2,6)),"")</f>
        <v/>
      </c>
      <c r="I4" s="481" t="s">
        <v>463</v>
      </c>
      <c r="J4" s="482">
        <f>MAX(U:U)</f>
        <v>0</v>
      </c>
      <c r="K4" s="483"/>
      <c r="L4" s="480" t="str">
        <f>IFERROR(IF(J4="","",((J4-H4)+1)),"")</f>
        <v/>
      </c>
      <c r="W4" s="558" t="s">
        <v>1021</v>
      </c>
      <c r="X4" s="559" t="s">
        <v>500</v>
      </c>
      <c r="Y4" s="556" t="s">
        <v>499</v>
      </c>
      <c r="Z4" s="558" t="s">
        <v>1022</v>
      </c>
      <c r="AA4" s="471" t="str">
        <f t="shared" ref="AA4:AA11" ca="1" si="0">$AA$1&amp;"\"&amp;YEAR($B$5)&amp;"\"&amp;TEXT($B$5,"MM")&amp;" "&amp;UPPER(TEXT($B$5,"MMMM"))&amp;"\"&amp;TEXT($B$5,"DDMMYY")&amp;"\"</f>
        <v>S:\MAGISTRAL HSC CC 016\2022\08 AGOSTO\040822\</v>
      </c>
      <c r="AB4" s="185">
        <v>2</v>
      </c>
      <c r="AC4" s="135" t="s">
        <v>1086</v>
      </c>
      <c r="AD4" s="134" t="s">
        <v>1084</v>
      </c>
      <c r="AE4" s="135" t="s">
        <v>1087</v>
      </c>
      <c r="AF4" s="135">
        <v>0.15</v>
      </c>
      <c r="AH4" s="452" t="str">
        <f>G5</f>
        <v>CLIENTE</v>
      </c>
      <c r="AI4" s="452" t="str">
        <f>G6</f>
        <v>SERVICIO</v>
      </c>
      <c r="AJ4" s="452" t="str">
        <f>G7</f>
        <v>VO MAGISTRALES</v>
      </c>
      <c r="AK4" s="452" t="str">
        <f>G8</f>
        <v>DIEGO SALAZAR</v>
      </c>
      <c r="AL4"/>
      <c r="AM4"/>
      <c r="AN4"/>
      <c r="AO4"/>
      <c r="AP4"/>
      <c r="AQ4"/>
      <c r="AR4"/>
      <c r="AS4"/>
      <c r="AT4" s="451" t="str">
        <f>IF(LEN(H4)=1,"00000"&amp;H4,IF(LEN(H4)=2,"0000"&amp;H4,IF(LEN(H4)=3,"000"&amp;H4,IF(LEN(H4)=4,"00"&amp;H4,IF(LEN(H4)=5,"0"&amp;H4,H4)))))</f>
        <v/>
      </c>
      <c r="AU4" s="451">
        <f>J4</f>
        <v>0</v>
      </c>
    </row>
    <row r="5" spans="1:47" s="471" customFormat="1" ht="29.25" customHeight="1" thickBot="1">
      <c r="A5" s="484" t="s">
        <v>456</v>
      </c>
      <c r="B5" s="485">
        <f ca="1">TODAY()</f>
        <v>44777</v>
      </c>
      <c r="F5" s="478" t="s">
        <v>464</v>
      </c>
      <c r="G5" s="846" t="str">
        <f>IFERROR(VLOOKUP(B2,W:Z,2,0),"CLIENTE")</f>
        <v>CLIENTE</v>
      </c>
      <c r="H5" s="847"/>
      <c r="I5" s="847"/>
      <c r="J5" s="847"/>
      <c r="K5" s="847"/>
      <c r="L5" s="848"/>
      <c r="W5" s="558" t="s">
        <v>1023</v>
      </c>
      <c r="X5" s="559" t="s">
        <v>500</v>
      </c>
      <c r="Y5" s="556" t="s">
        <v>498</v>
      </c>
      <c r="Z5" s="558" t="s">
        <v>1024</v>
      </c>
      <c r="AA5" s="471" t="str">
        <f t="shared" ca="1" si="0"/>
        <v>S:\MAGISTRAL HSC CC 016\2022\08 AGOSTO\040822\</v>
      </c>
      <c r="AB5" s="185">
        <v>3</v>
      </c>
      <c r="AC5" s="135" t="s">
        <v>1088</v>
      </c>
      <c r="AD5" s="134" t="s">
        <v>1084</v>
      </c>
      <c r="AE5" s="135" t="s">
        <v>1085</v>
      </c>
      <c r="AF5" s="135">
        <v>5</v>
      </c>
      <c r="AH5" t="s">
        <v>950</v>
      </c>
      <c r="AI5"/>
      <c r="AJ5"/>
      <c r="AK5"/>
      <c r="AL5"/>
      <c r="AM5"/>
      <c r="AN5"/>
      <c r="AO5"/>
      <c r="AP5"/>
      <c r="AQ5"/>
      <c r="AR5"/>
      <c r="AS5"/>
      <c r="AT5" s="453"/>
      <c r="AU5"/>
    </row>
    <row r="6" spans="1:47" s="471" customFormat="1" ht="29.25" customHeight="1">
      <c r="A6" s="474" t="s">
        <v>1010</v>
      </c>
      <c r="B6" s="486" t="s">
        <v>1006</v>
      </c>
      <c r="F6" s="478" t="s">
        <v>4</v>
      </c>
      <c r="G6" s="835" t="str">
        <f>IFERROR(VLOOKUP(B2,W:Z,3,0),"SERVICIO")</f>
        <v>SERVICIO</v>
      </c>
      <c r="H6" s="835"/>
      <c r="I6" s="835"/>
      <c r="J6" s="835"/>
      <c r="K6" s="835"/>
      <c r="L6" s="835"/>
      <c r="W6" s="558" t="s">
        <v>514</v>
      </c>
      <c r="X6" s="559" t="s">
        <v>514</v>
      </c>
      <c r="Y6" s="556" t="s">
        <v>514</v>
      </c>
      <c r="Z6" s="558" t="s">
        <v>514</v>
      </c>
      <c r="AB6" s="185">
        <v>4</v>
      </c>
      <c r="AC6" s="135" t="s">
        <v>1089</v>
      </c>
      <c r="AD6" s="134" t="s">
        <v>1084</v>
      </c>
      <c r="AE6" s="135" t="s">
        <v>1090</v>
      </c>
      <c r="AF6" s="135">
        <v>25</v>
      </c>
      <c r="AH6" s="444" t="s">
        <v>951</v>
      </c>
      <c r="AI6" s="445"/>
      <c r="AJ6" s="446" t="s">
        <v>952</v>
      </c>
      <c r="AK6" s="447" t="s">
        <v>464</v>
      </c>
      <c r="AL6" s="447" t="s">
        <v>953</v>
      </c>
      <c r="AM6" s="447" t="s">
        <v>7</v>
      </c>
      <c r="AN6" s="447" t="s">
        <v>8</v>
      </c>
      <c r="AO6" s="448" t="s">
        <v>954</v>
      </c>
      <c r="AP6" s="445" t="s">
        <v>955</v>
      </c>
      <c r="AQ6" s="449" t="s">
        <v>956</v>
      </c>
      <c r="AR6"/>
      <c r="AS6"/>
      <c r="AT6"/>
      <c r="AU6"/>
    </row>
    <row r="7" spans="1:47" s="471" customFormat="1" ht="29.25" customHeight="1">
      <c r="A7" s="484" t="s">
        <v>1011</v>
      </c>
      <c r="B7" s="487" t="s">
        <v>343</v>
      </c>
      <c r="F7" s="478" t="s">
        <v>7</v>
      </c>
      <c r="G7" s="835" t="s">
        <v>1012</v>
      </c>
      <c r="H7" s="835"/>
      <c r="I7" s="835"/>
      <c r="J7" s="835"/>
      <c r="K7" s="835"/>
      <c r="L7" s="835"/>
      <c r="W7" s="558" t="s">
        <v>1002</v>
      </c>
      <c r="X7" s="559" t="s">
        <v>1002</v>
      </c>
      <c r="Y7" s="556" t="s">
        <v>481</v>
      </c>
      <c r="Z7" s="558" t="s">
        <v>1003</v>
      </c>
      <c r="AA7" s="471" t="str">
        <f ca="1">"S:\MAGISTRALES HUS CC 016"&amp;"\"&amp;YEAR($B$5)&amp;"\"&amp;TEXT($B$5,"MM")&amp;" "&amp;UPPER(TEXT($B$5,"MMMM"))&amp;"\"&amp;TEXT($B$5,"DDMMYY")&amp;"\"</f>
        <v>S:\MAGISTRALES HUS CC 016\2022\08 AGOSTO\040822\</v>
      </c>
      <c r="AB7" s="185">
        <v>5</v>
      </c>
      <c r="AC7" s="135" t="s">
        <v>42</v>
      </c>
      <c r="AD7" s="134" t="s">
        <v>1084</v>
      </c>
      <c r="AE7" s="135" t="s">
        <v>1091</v>
      </c>
      <c r="AF7" s="135">
        <v>40</v>
      </c>
      <c r="AH7" s="452" t="str">
        <f>MID(A12,1,5)</f>
        <v>0</v>
      </c>
      <c r="AI7"/>
      <c r="AJ7" s="451">
        <f>VALUE(AH7)</f>
        <v>0</v>
      </c>
      <c r="AK7" s="452" t="str">
        <f>G5</f>
        <v>CLIENTE</v>
      </c>
      <c r="AL7" s="562" t="str">
        <f>C2</f>
        <v>NORMAL</v>
      </c>
      <c r="AM7" s="452" t="str">
        <f>G7</f>
        <v>VO MAGISTRALES</v>
      </c>
      <c r="AN7" s="452">
        <f>SUM(Q12:Q75)</f>
        <v>0</v>
      </c>
      <c r="AO7" s="563">
        <f ca="1">B5</f>
        <v>44777</v>
      </c>
      <c r="AP7" s="564" t="str">
        <f ca="1">B3</f>
        <v>12:03:43</v>
      </c>
      <c r="AQ7" s="565">
        <f ca="1">NOW()</f>
        <v>44777.505357175927</v>
      </c>
      <c r="AR7"/>
      <c r="AS7"/>
      <c r="AT7"/>
      <c r="AU7"/>
    </row>
    <row r="8" spans="1:47" s="471" customFormat="1" ht="29.25" customHeight="1" thickBot="1">
      <c r="A8" s="488" t="s">
        <v>1013</v>
      </c>
      <c r="B8" s="489" t="s">
        <v>540</v>
      </c>
      <c r="F8" s="490" t="s">
        <v>1014</v>
      </c>
      <c r="G8" s="835" t="str">
        <f>IFERROR(VLOOKUP(B7,LOTES!I4:K8,3,0),"RESPONSABLE")</f>
        <v>DIEGO SALAZAR</v>
      </c>
      <c r="H8" s="835"/>
      <c r="I8" s="835"/>
      <c r="J8" s="835"/>
      <c r="K8" s="835"/>
      <c r="L8" s="835"/>
      <c r="W8" s="558" t="s">
        <v>514</v>
      </c>
      <c r="X8" s="559" t="s">
        <v>514</v>
      </c>
      <c r="Y8" s="556" t="s">
        <v>514</v>
      </c>
      <c r="Z8" s="558" t="s">
        <v>514</v>
      </c>
      <c r="AB8" s="185">
        <v>6</v>
      </c>
      <c r="AC8" s="135" t="s">
        <v>1092</v>
      </c>
      <c r="AD8" s="134" t="s">
        <v>1084</v>
      </c>
      <c r="AE8" s="135" t="s">
        <v>1093</v>
      </c>
      <c r="AF8" s="135">
        <v>25</v>
      </c>
    </row>
    <row r="9" spans="1:47" s="471" customFormat="1" ht="16.5" customHeight="1" thickBot="1">
      <c r="A9" s="491"/>
      <c r="B9" s="492"/>
      <c r="C9" s="492"/>
      <c r="D9" s="492"/>
      <c r="E9" s="492"/>
      <c r="F9" s="492"/>
      <c r="G9" s="493"/>
      <c r="H9" s="493"/>
      <c r="I9" s="493"/>
      <c r="J9" s="493"/>
      <c r="K9" s="493"/>
      <c r="L9" s="493"/>
      <c r="M9" s="493"/>
      <c r="N9" s="493"/>
      <c r="O9" s="493"/>
      <c r="P9" s="493"/>
      <c r="W9" s="558" t="s">
        <v>1384</v>
      </c>
      <c r="X9" s="559" t="s">
        <v>500</v>
      </c>
      <c r="Y9" s="556" t="s">
        <v>953</v>
      </c>
      <c r="Z9" s="558" t="s">
        <v>1385</v>
      </c>
      <c r="AA9" s="471" t="str">
        <f t="shared" ca="1" si="0"/>
        <v>S:\MAGISTRAL HSC CC 016\2022\08 AGOSTO\040822\</v>
      </c>
      <c r="AB9" s="185">
        <v>7</v>
      </c>
      <c r="AC9" s="135" t="s">
        <v>36</v>
      </c>
      <c r="AD9" s="134" t="s">
        <v>1084</v>
      </c>
      <c r="AE9" s="135" t="s">
        <v>1094</v>
      </c>
      <c r="AF9" s="135">
        <v>10</v>
      </c>
    </row>
    <row r="10" spans="1:47" s="471" customFormat="1" ht="16.5" customHeight="1">
      <c r="A10" s="836" t="s">
        <v>328</v>
      </c>
      <c r="B10" s="837"/>
      <c r="C10" s="837"/>
      <c r="D10" s="837"/>
      <c r="E10" s="837"/>
      <c r="F10" s="837"/>
      <c r="G10" s="837"/>
      <c r="H10" s="837"/>
      <c r="I10" s="837"/>
      <c r="J10" s="837"/>
      <c r="K10" s="837"/>
      <c r="L10" s="837"/>
      <c r="M10" s="837"/>
      <c r="N10" s="837"/>
      <c r="O10" s="837"/>
      <c r="P10" s="837"/>
      <c r="Q10" s="837"/>
      <c r="R10" s="837"/>
      <c r="S10" s="838"/>
      <c r="W10" s="558" t="s">
        <v>1025</v>
      </c>
      <c r="X10" s="556" t="s">
        <v>500</v>
      </c>
      <c r="Y10" s="556" t="s">
        <v>544</v>
      </c>
      <c r="Z10" s="558" t="s">
        <v>1026</v>
      </c>
      <c r="AA10" s="471" t="str">
        <f t="shared" ca="1" si="0"/>
        <v>S:\MAGISTRAL HSC CC 016\2022\08 AGOSTO\040822\</v>
      </c>
      <c r="AB10" s="185">
        <v>8</v>
      </c>
      <c r="AC10" s="135" t="s">
        <v>242</v>
      </c>
      <c r="AD10" s="134" t="s">
        <v>1095</v>
      </c>
      <c r="AE10" s="135" t="s">
        <v>1096</v>
      </c>
      <c r="AF10" s="135">
        <v>20</v>
      </c>
    </row>
    <row r="11" spans="1:47" s="500" customFormat="1" ht="30.75" customHeight="1">
      <c r="A11" s="494" t="s">
        <v>319</v>
      </c>
      <c r="B11" s="495" t="s">
        <v>3</v>
      </c>
      <c r="C11" s="495" t="s">
        <v>14</v>
      </c>
      <c r="D11" s="495" t="s">
        <v>288</v>
      </c>
      <c r="E11" s="495" t="s">
        <v>5</v>
      </c>
      <c r="F11" s="495" t="s">
        <v>97</v>
      </c>
      <c r="G11" s="496" t="s">
        <v>1015</v>
      </c>
      <c r="H11" s="495" t="s">
        <v>6</v>
      </c>
      <c r="I11" s="497" t="s">
        <v>513</v>
      </c>
      <c r="J11" s="495" t="s">
        <v>289</v>
      </c>
      <c r="K11" s="495" t="s">
        <v>261</v>
      </c>
      <c r="L11" s="497" t="s">
        <v>329</v>
      </c>
      <c r="M11" s="498" t="s">
        <v>262</v>
      </c>
      <c r="N11" s="498" t="s">
        <v>263</v>
      </c>
      <c r="O11" s="495" t="s">
        <v>330</v>
      </c>
      <c r="P11" s="495" t="s">
        <v>331</v>
      </c>
      <c r="Q11" s="495" t="s">
        <v>266</v>
      </c>
      <c r="R11" s="495" t="s">
        <v>1016</v>
      </c>
      <c r="S11" s="499" t="s">
        <v>175</v>
      </c>
      <c r="W11" s="558" t="s">
        <v>1027</v>
      </c>
      <c r="X11" s="559" t="s">
        <v>500</v>
      </c>
      <c r="Y11" s="556" t="s">
        <v>501</v>
      </c>
      <c r="Z11" s="558" t="s">
        <v>1028</v>
      </c>
      <c r="AA11" s="471" t="str">
        <f t="shared" ca="1" si="0"/>
        <v>S:\MAGISTRAL HSC CC 016\2022\08 AGOSTO\040822\</v>
      </c>
      <c r="AB11" s="185">
        <v>9</v>
      </c>
      <c r="AC11" s="135" t="s">
        <v>1097</v>
      </c>
      <c r="AD11" s="134" t="s">
        <v>1095</v>
      </c>
      <c r="AE11" s="135" t="s">
        <v>1098</v>
      </c>
      <c r="AF11" s="135">
        <v>75</v>
      </c>
    </row>
    <row r="12" spans="1:47" ht="15" customHeight="1">
      <c r="A12" s="501">
        <f>H2</f>
        <v>0</v>
      </c>
      <c r="B12" s="575"/>
      <c r="C12" s="510"/>
      <c r="D12" s="511"/>
      <c r="E12" s="508"/>
      <c r="F12" s="510"/>
      <c r="G12" s="502"/>
      <c r="H12" s="508"/>
      <c r="I12" s="508"/>
      <c r="J12" s="503"/>
      <c r="K12" s="508"/>
      <c r="L12" s="508"/>
      <c r="M12" s="508"/>
      <c r="N12" s="509"/>
      <c r="O12" s="506"/>
      <c r="P12" s="506"/>
      <c r="Q12" s="506"/>
      <c r="R12" s="169"/>
      <c r="S12" s="171" t="str">
        <f>IFERROR(VLOOKUP(G12,#REF!,13,0),"O.C.")</f>
        <v>O.C.</v>
      </c>
      <c r="U12" s="500">
        <f>IFERROR(VALUE(MID(A12,7,7)),0)</f>
        <v>0</v>
      </c>
      <c r="W12" s="558" t="s">
        <v>514</v>
      </c>
      <c r="Z12" s="558" t="s">
        <v>514</v>
      </c>
      <c r="AB12" s="185">
        <v>10</v>
      </c>
      <c r="AC12" s="135" t="s">
        <v>1099</v>
      </c>
      <c r="AD12" s="134" t="s">
        <v>1084</v>
      </c>
      <c r="AE12" s="135" t="s">
        <v>1100</v>
      </c>
      <c r="AF12" s="135">
        <v>1</v>
      </c>
    </row>
    <row r="13" spans="1:47" ht="15" customHeight="1">
      <c r="A13" s="507" t="str">
        <f>IF(B13&lt;&gt;0,LEFT(A12,6)&amp;IF(LEN(U13)=1,"00000"&amp;U13,IF(LEN(U13)=2,"0000"&amp;U13,IF(LEN(U13)=3,"000"&amp;U13,IF(LEN(U13)=4,"00"&amp;U13,IF(LEN(U13)=5,"0"&amp;U13,U13))))),"")</f>
        <v/>
      </c>
      <c r="B13" s="165"/>
      <c r="C13" s="166"/>
      <c r="D13" s="167"/>
      <c r="E13" s="167"/>
      <c r="F13" s="165"/>
      <c r="G13" s="502"/>
      <c r="H13" s="167"/>
      <c r="I13" s="167"/>
      <c r="J13" s="503"/>
      <c r="K13" s="167"/>
      <c r="L13" s="167"/>
      <c r="M13" s="167"/>
      <c r="N13" s="167"/>
      <c r="O13" s="167"/>
      <c r="P13" s="167"/>
      <c r="Q13" s="508"/>
      <c r="R13" s="167"/>
      <c r="S13" s="171" t="str">
        <f>IFERROR(VLOOKUP(G13,#REF!,13,0),"O.C.")</f>
        <v>O.C.</v>
      </c>
      <c r="U13" s="500" t="str">
        <f>IF(B13&lt;&gt;"",U12+1,"")</f>
        <v/>
      </c>
      <c r="W13" s="558" t="s">
        <v>1029</v>
      </c>
      <c r="X13" s="556" t="s">
        <v>465</v>
      </c>
      <c r="Y13" s="556" t="s">
        <v>478</v>
      </c>
      <c r="Z13" s="558" t="s">
        <v>1030</v>
      </c>
      <c r="AB13" s="185">
        <v>11</v>
      </c>
      <c r="AC13" s="135" t="s">
        <v>1101</v>
      </c>
      <c r="AD13" s="134" t="s">
        <v>1084</v>
      </c>
      <c r="AE13" s="135" t="s">
        <v>1085</v>
      </c>
      <c r="AF13" s="135">
        <v>5</v>
      </c>
    </row>
    <row r="14" spans="1:47" ht="14.25" customHeight="1">
      <c r="A14" s="507" t="str">
        <f t="shared" ref="A14:A75" si="1">IF(B14&lt;&gt;0,LEFT(A13,6)&amp;IF(LEN(U14)=1,"00000"&amp;U14,IF(LEN(U14)=2,"0000"&amp;U14,IF(LEN(U14)=3,"000"&amp;U14,IF(LEN(U14)=4,"00"&amp;U14,IF(LEN(U14)=5,"0"&amp;U14,U14))))),"")</f>
        <v/>
      </c>
      <c r="B14" s="165"/>
      <c r="C14" s="166"/>
      <c r="D14" s="167"/>
      <c r="E14" s="167"/>
      <c r="F14" s="165"/>
      <c r="G14" s="502"/>
      <c r="H14" s="167"/>
      <c r="I14" s="167"/>
      <c r="J14" s="503"/>
      <c r="K14" s="167"/>
      <c r="L14" s="167"/>
      <c r="M14" s="167"/>
      <c r="N14" s="504"/>
      <c r="O14" s="505"/>
      <c r="P14" s="505"/>
      <c r="Q14" s="506"/>
      <c r="R14" s="170"/>
      <c r="S14" s="171" t="str">
        <f>IFERROR(VLOOKUP(G14,#REF!,13,0),"O.C.")</f>
        <v>O.C.</v>
      </c>
      <c r="U14" s="500" t="str">
        <f t="shared" ref="U14:U75" si="2">IF(B14&lt;&gt;"",U13+1,"")</f>
        <v/>
      </c>
      <c r="W14" s="558" t="s">
        <v>1031</v>
      </c>
      <c r="X14" s="556" t="s">
        <v>465</v>
      </c>
      <c r="Y14" s="556" t="s">
        <v>480</v>
      </c>
      <c r="Z14" s="558" t="s">
        <v>1032</v>
      </c>
      <c r="AB14" s="185">
        <v>12</v>
      </c>
      <c r="AC14" s="135" t="s">
        <v>35</v>
      </c>
      <c r="AD14" s="134" t="s">
        <v>1084</v>
      </c>
      <c r="AE14" s="135" t="s">
        <v>1102</v>
      </c>
      <c r="AF14" s="135">
        <v>150</v>
      </c>
    </row>
    <row r="15" spans="1:47" ht="15" customHeight="1">
      <c r="A15" s="507" t="str">
        <f t="shared" si="1"/>
        <v/>
      </c>
      <c r="B15" s="165"/>
      <c r="C15" s="166"/>
      <c r="D15" s="167"/>
      <c r="E15" s="167"/>
      <c r="F15" s="165"/>
      <c r="G15" s="502"/>
      <c r="H15" s="167"/>
      <c r="I15" s="167"/>
      <c r="J15" s="503"/>
      <c r="K15" s="167"/>
      <c r="L15" s="167"/>
      <c r="M15" s="167"/>
      <c r="N15" s="168"/>
      <c r="O15" s="167"/>
      <c r="P15" s="167"/>
      <c r="Q15" s="508"/>
      <c r="R15" s="169"/>
      <c r="S15" s="171" t="str">
        <f>IFERROR(VLOOKUP(G15,#REF!,13,0),"O.C.")</f>
        <v>O.C.</v>
      </c>
      <c r="U15" s="500" t="str">
        <f t="shared" si="2"/>
        <v/>
      </c>
      <c r="W15" s="558" t="s">
        <v>1033</v>
      </c>
      <c r="X15" s="556" t="s">
        <v>465</v>
      </c>
      <c r="Y15" s="556" t="s">
        <v>479</v>
      </c>
      <c r="Z15" s="558" t="s">
        <v>1030</v>
      </c>
      <c r="AB15" s="185">
        <v>13</v>
      </c>
      <c r="AC15" s="135" t="s">
        <v>1103</v>
      </c>
      <c r="AD15" s="134" t="s">
        <v>1084</v>
      </c>
      <c r="AE15" s="135" t="s">
        <v>1104</v>
      </c>
      <c r="AF15" s="135">
        <v>50</v>
      </c>
    </row>
    <row r="16" spans="1:47" ht="15" customHeight="1">
      <c r="A16" s="507" t="str">
        <f t="shared" si="1"/>
        <v/>
      </c>
      <c r="B16" s="165"/>
      <c r="C16" s="510"/>
      <c r="D16" s="511"/>
      <c r="E16" s="508"/>
      <c r="F16" s="510"/>
      <c r="G16" s="502"/>
      <c r="H16" s="508"/>
      <c r="I16" s="508"/>
      <c r="J16" s="503"/>
      <c r="K16" s="508"/>
      <c r="L16" s="508"/>
      <c r="M16" s="508"/>
      <c r="N16" s="506"/>
      <c r="O16" s="506"/>
      <c r="P16" s="506"/>
      <c r="Q16" s="506"/>
      <c r="R16" s="508"/>
      <c r="S16" s="171" t="str">
        <f>IFERROR(VLOOKUP(G16,#REF!,13,0),"O.C.")</f>
        <v>O.C.</v>
      </c>
      <c r="U16" s="500" t="str">
        <f t="shared" si="2"/>
        <v/>
      </c>
      <c r="W16" s="558" t="s">
        <v>514</v>
      </c>
      <c r="Z16" s="558" t="s">
        <v>1032</v>
      </c>
      <c r="AB16" s="185">
        <v>14</v>
      </c>
      <c r="AC16" s="135" t="s">
        <v>1105</v>
      </c>
      <c r="AD16" s="134" t="s">
        <v>1084</v>
      </c>
      <c r="AE16" s="135" t="s">
        <v>1093</v>
      </c>
      <c r="AF16" s="135">
        <v>25</v>
      </c>
    </row>
    <row r="17" spans="1:32" ht="14.25" customHeight="1">
      <c r="A17" s="507" t="str">
        <f t="shared" si="1"/>
        <v/>
      </c>
      <c r="B17" s="165"/>
      <c r="C17" s="510"/>
      <c r="D17" s="511"/>
      <c r="E17" s="508"/>
      <c r="F17" s="510"/>
      <c r="G17" s="502"/>
      <c r="H17" s="508"/>
      <c r="I17" s="508"/>
      <c r="J17" s="503"/>
      <c r="K17" s="508"/>
      <c r="L17" s="508"/>
      <c r="M17" s="508"/>
      <c r="N17" s="508"/>
      <c r="O17" s="508"/>
      <c r="P17" s="508"/>
      <c r="Q17" s="508"/>
      <c r="R17" s="508"/>
      <c r="S17" s="171" t="str">
        <f>IFERROR(VLOOKUP(G17,#REF!,13,0),"O.C.")</f>
        <v>O.C.</v>
      </c>
      <c r="U17" s="500" t="str">
        <f t="shared" si="2"/>
        <v/>
      </c>
      <c r="W17" s="558" t="s">
        <v>1035</v>
      </c>
      <c r="X17" s="556" t="s">
        <v>466</v>
      </c>
      <c r="Y17" s="556" t="s">
        <v>483</v>
      </c>
      <c r="Z17" s="558" t="s">
        <v>1034</v>
      </c>
      <c r="AB17" s="185">
        <v>15</v>
      </c>
      <c r="AC17" s="135" t="s">
        <v>1106</v>
      </c>
      <c r="AD17" s="134" t="s">
        <v>1084</v>
      </c>
      <c r="AE17" s="135" t="s">
        <v>1107</v>
      </c>
      <c r="AF17" s="135">
        <v>0.05</v>
      </c>
    </row>
    <row r="18" spans="1:32" ht="14.25" customHeight="1">
      <c r="A18" s="507" t="str">
        <f t="shared" si="1"/>
        <v/>
      </c>
      <c r="B18" s="165"/>
      <c r="C18" s="510"/>
      <c r="D18" s="511"/>
      <c r="E18" s="508"/>
      <c r="F18" s="510"/>
      <c r="G18" s="502"/>
      <c r="H18" s="508"/>
      <c r="I18" s="508"/>
      <c r="J18" s="503"/>
      <c r="K18" s="508"/>
      <c r="L18" s="508"/>
      <c r="M18" s="508"/>
      <c r="N18" s="513"/>
      <c r="O18" s="508"/>
      <c r="P18" s="508"/>
      <c r="Q18" s="508"/>
      <c r="R18" s="170"/>
      <c r="S18" s="171" t="str">
        <f>IFERROR(VLOOKUP(G18,#REF!,13,0),"O.C.")</f>
        <v>O.C.</v>
      </c>
      <c r="U18" s="500" t="str">
        <f t="shared" si="2"/>
        <v/>
      </c>
      <c r="W18" s="558" t="s">
        <v>1037</v>
      </c>
      <c r="X18" s="556" t="s">
        <v>466</v>
      </c>
      <c r="Y18" s="556" t="s">
        <v>1038</v>
      </c>
      <c r="Z18" s="558" t="s">
        <v>514</v>
      </c>
      <c r="AB18" s="185">
        <v>16</v>
      </c>
      <c r="AC18" s="135" t="s">
        <v>1108</v>
      </c>
      <c r="AD18" s="134" t="s">
        <v>1084</v>
      </c>
      <c r="AE18" s="135" t="s">
        <v>1104</v>
      </c>
      <c r="AF18" s="135">
        <v>50</v>
      </c>
    </row>
    <row r="19" spans="1:32" ht="14.25" customHeight="1">
      <c r="A19" s="507" t="str">
        <f t="shared" si="1"/>
        <v/>
      </c>
      <c r="B19" s="165"/>
      <c r="C19" s="166"/>
      <c r="D19" s="167"/>
      <c r="E19" s="167"/>
      <c r="F19" s="165"/>
      <c r="G19" s="502"/>
      <c r="H19" s="508"/>
      <c r="I19" s="508"/>
      <c r="J19" s="503"/>
      <c r="K19" s="508"/>
      <c r="L19" s="508"/>
      <c r="M19" s="508"/>
      <c r="N19" s="509"/>
      <c r="O19" s="506"/>
      <c r="P19" s="506"/>
      <c r="Q19" s="512"/>
      <c r="R19" s="169"/>
      <c r="S19" s="171" t="str">
        <f>IFERROR(VLOOKUP(G19,#REF!,13,0),"O.C.")</f>
        <v>O.C.</v>
      </c>
      <c r="U19" s="500" t="str">
        <f t="shared" si="2"/>
        <v/>
      </c>
      <c r="W19" s="558" t="s">
        <v>1040</v>
      </c>
      <c r="X19" s="556" t="s">
        <v>467</v>
      </c>
      <c r="Y19" s="556" t="s">
        <v>483</v>
      </c>
      <c r="Z19" s="558" t="s">
        <v>1036</v>
      </c>
      <c r="AB19" s="185">
        <v>17</v>
      </c>
      <c r="AC19" s="135" t="s">
        <v>1109</v>
      </c>
      <c r="AD19" s="134" t="s">
        <v>1084</v>
      </c>
      <c r="AE19" s="135" t="s">
        <v>1110</v>
      </c>
      <c r="AF19" s="135">
        <v>100</v>
      </c>
    </row>
    <row r="20" spans="1:32" ht="15" customHeight="1">
      <c r="A20" s="507" t="str">
        <f t="shared" si="1"/>
        <v/>
      </c>
      <c r="B20" s="165"/>
      <c r="C20" s="510"/>
      <c r="D20" s="511"/>
      <c r="E20" s="508"/>
      <c r="F20" s="510"/>
      <c r="G20" s="502"/>
      <c r="H20" s="508"/>
      <c r="I20" s="508"/>
      <c r="J20" s="503"/>
      <c r="K20" s="508"/>
      <c r="L20" s="508"/>
      <c r="M20" s="508"/>
      <c r="N20" s="513"/>
      <c r="O20" s="508"/>
      <c r="P20" s="508"/>
      <c r="Q20" s="508"/>
      <c r="R20" s="169"/>
      <c r="S20" s="171" t="str">
        <f>IFERROR(VLOOKUP(G20,#REF!,13,0),"O.C.")</f>
        <v>O.C.</v>
      </c>
      <c r="U20" s="500" t="str">
        <f t="shared" si="2"/>
        <v/>
      </c>
      <c r="W20" s="558" t="s">
        <v>514</v>
      </c>
      <c r="Z20" s="558" t="s">
        <v>1039</v>
      </c>
      <c r="AB20" s="185">
        <v>18</v>
      </c>
      <c r="AC20" s="135" t="s">
        <v>1111</v>
      </c>
      <c r="AD20" s="134" t="s">
        <v>1084</v>
      </c>
      <c r="AE20" s="135" t="s">
        <v>1100</v>
      </c>
      <c r="AF20" s="135">
        <v>1</v>
      </c>
    </row>
    <row r="21" spans="1:32" ht="14.25" customHeight="1">
      <c r="A21" s="507" t="str">
        <f t="shared" si="1"/>
        <v/>
      </c>
      <c r="B21" s="165"/>
      <c r="C21" s="166"/>
      <c r="D21" s="167"/>
      <c r="E21" s="167"/>
      <c r="F21" s="165"/>
      <c r="G21" s="502"/>
      <c r="H21" s="508"/>
      <c r="I21" s="508"/>
      <c r="J21" s="503"/>
      <c r="K21" s="508"/>
      <c r="L21" s="508"/>
      <c r="M21" s="508"/>
      <c r="N21" s="506"/>
      <c r="O21" s="506"/>
      <c r="P21" s="506"/>
      <c r="Q21" s="506"/>
      <c r="R21" s="508"/>
      <c r="S21" s="171" t="str">
        <f>IFERROR(VLOOKUP(G21,#REF!,13,0),"O.C.")</f>
        <v>O.C.</v>
      </c>
      <c r="U21" s="500" t="str">
        <f t="shared" si="2"/>
        <v/>
      </c>
      <c r="W21" s="558" t="s">
        <v>1042</v>
      </c>
      <c r="X21" s="556" t="s">
        <v>468</v>
      </c>
      <c r="Y21" s="556" t="s">
        <v>486</v>
      </c>
      <c r="Z21" s="558" t="s">
        <v>1041</v>
      </c>
      <c r="AB21" s="185">
        <v>19</v>
      </c>
      <c r="AC21" s="135" t="s">
        <v>1112</v>
      </c>
      <c r="AD21" s="134" t="s">
        <v>1084</v>
      </c>
      <c r="AE21" s="135" t="s">
        <v>1104</v>
      </c>
      <c r="AF21" s="135">
        <v>50</v>
      </c>
    </row>
    <row r="22" spans="1:32" ht="14.25" customHeight="1">
      <c r="A22" s="507" t="str">
        <f t="shared" si="1"/>
        <v/>
      </c>
      <c r="B22" s="165"/>
      <c r="C22" s="166"/>
      <c r="D22" s="167"/>
      <c r="E22" s="167"/>
      <c r="F22" s="165"/>
      <c r="G22" s="502"/>
      <c r="H22" s="167"/>
      <c r="I22" s="167"/>
      <c r="J22" s="503"/>
      <c r="K22" s="167"/>
      <c r="L22" s="167"/>
      <c r="M22" s="167"/>
      <c r="N22" s="167"/>
      <c r="O22" s="167"/>
      <c r="P22" s="167"/>
      <c r="Q22" s="508"/>
      <c r="R22" s="167"/>
      <c r="S22" s="171" t="str">
        <f>IFERROR(VLOOKUP(G22,#REF!,13,0),"O.C.")</f>
        <v>O.C.</v>
      </c>
      <c r="U22" s="500" t="str">
        <f t="shared" si="2"/>
        <v/>
      </c>
      <c r="W22" s="558" t="s">
        <v>1044</v>
      </c>
      <c r="X22" s="556" t="s">
        <v>468</v>
      </c>
      <c r="Y22" s="556" t="s">
        <v>485</v>
      </c>
      <c r="Z22" s="558" t="s">
        <v>514</v>
      </c>
      <c r="AB22" s="185">
        <v>20</v>
      </c>
      <c r="AC22" s="135" t="s">
        <v>1113</v>
      </c>
      <c r="AD22" s="134" t="s">
        <v>1084</v>
      </c>
      <c r="AE22" s="135" t="s">
        <v>1085</v>
      </c>
      <c r="AF22" s="135">
        <v>5</v>
      </c>
    </row>
    <row r="23" spans="1:32" ht="14.25" customHeight="1">
      <c r="A23" s="507" t="str">
        <f t="shared" si="1"/>
        <v/>
      </c>
      <c r="B23" s="165"/>
      <c r="C23" s="510"/>
      <c r="D23" s="511"/>
      <c r="E23" s="508"/>
      <c r="F23" s="510"/>
      <c r="G23" s="502"/>
      <c r="H23" s="508"/>
      <c r="I23" s="508"/>
      <c r="J23" s="503"/>
      <c r="K23" s="508"/>
      <c r="L23" s="508"/>
      <c r="M23" s="508"/>
      <c r="N23" s="508"/>
      <c r="O23" s="508"/>
      <c r="P23" s="508"/>
      <c r="Q23" s="508"/>
      <c r="R23" s="508"/>
      <c r="S23" s="171" t="str">
        <f>IFERROR(VLOOKUP(G23,#REF!,13,0),"O.C.")</f>
        <v>O.C.</v>
      </c>
      <c r="U23" s="500" t="str">
        <f t="shared" si="2"/>
        <v/>
      </c>
      <c r="W23" s="558" t="s">
        <v>1046</v>
      </c>
      <c r="X23" s="556" t="s">
        <v>468</v>
      </c>
      <c r="Y23" s="556" t="s">
        <v>484</v>
      </c>
      <c r="Z23" s="558" t="s">
        <v>1043</v>
      </c>
    </row>
    <row r="24" spans="1:32" ht="14.25" customHeight="1">
      <c r="A24" s="507" t="str">
        <f t="shared" si="1"/>
        <v/>
      </c>
      <c r="B24" s="165"/>
      <c r="C24" s="166"/>
      <c r="D24" s="167"/>
      <c r="E24" s="167"/>
      <c r="F24" s="165"/>
      <c r="G24" s="502"/>
      <c r="H24" s="508"/>
      <c r="I24" s="508"/>
      <c r="J24" s="503"/>
      <c r="K24" s="508"/>
      <c r="L24" s="508"/>
      <c r="M24" s="508"/>
      <c r="N24" s="509"/>
      <c r="O24" s="506"/>
      <c r="P24" s="506"/>
      <c r="Q24" s="506"/>
      <c r="R24" s="169"/>
      <c r="S24" s="171" t="str">
        <f>IFERROR(VLOOKUP(G24,#REF!,13,0),"O.C.")</f>
        <v>O.C.</v>
      </c>
      <c r="U24" s="500" t="str">
        <f t="shared" si="2"/>
        <v/>
      </c>
      <c r="W24" s="558" t="s">
        <v>1048</v>
      </c>
      <c r="X24" s="556" t="s">
        <v>468</v>
      </c>
      <c r="Y24" s="556" t="s">
        <v>483</v>
      </c>
      <c r="Z24" s="558" t="s">
        <v>1045</v>
      </c>
    </row>
    <row r="25" spans="1:32" ht="15" customHeight="1">
      <c r="A25" s="507" t="str">
        <f t="shared" si="1"/>
        <v/>
      </c>
      <c r="B25" s="165"/>
      <c r="C25" s="510"/>
      <c r="D25" s="511"/>
      <c r="E25" s="508"/>
      <c r="F25" s="510"/>
      <c r="G25" s="502"/>
      <c r="H25" s="508"/>
      <c r="I25" s="508"/>
      <c r="J25" s="503"/>
      <c r="K25" s="508"/>
      <c r="L25" s="508"/>
      <c r="M25" s="508"/>
      <c r="N25" s="506"/>
      <c r="O25" s="506"/>
      <c r="P25" s="506"/>
      <c r="Q25" s="506"/>
      <c r="R25" s="508"/>
      <c r="S25" s="171" t="str">
        <f>IFERROR(VLOOKUP(G25,#REF!,13,0),"O.C.")</f>
        <v>O.C.</v>
      </c>
      <c r="U25" s="500" t="str">
        <f t="shared" si="2"/>
        <v/>
      </c>
      <c r="W25" s="558" t="s">
        <v>514</v>
      </c>
      <c r="Z25" s="558" t="s">
        <v>1047</v>
      </c>
    </row>
    <row r="26" spans="1:32" ht="15" customHeight="1">
      <c r="A26" s="507" t="str">
        <f t="shared" si="1"/>
        <v/>
      </c>
      <c r="B26" s="439"/>
      <c r="C26" s="510"/>
      <c r="D26" s="511"/>
      <c r="E26" s="508"/>
      <c r="F26" s="510"/>
      <c r="G26" s="502"/>
      <c r="H26" s="508"/>
      <c r="I26" s="508"/>
      <c r="J26" s="503"/>
      <c r="K26" s="508"/>
      <c r="L26" s="508"/>
      <c r="M26" s="508"/>
      <c r="N26" s="509"/>
      <c r="O26" s="506"/>
      <c r="P26" s="506"/>
      <c r="Q26" s="506"/>
      <c r="R26" s="170"/>
      <c r="S26" s="171" t="str">
        <f>IFERROR(VLOOKUP(G26,#REF!,13,0),"O.C.")</f>
        <v>O.C.</v>
      </c>
      <c r="U26" s="500" t="str">
        <f t="shared" si="2"/>
        <v/>
      </c>
      <c r="W26" s="558" t="s">
        <v>1050</v>
      </c>
      <c r="X26" s="556" t="s">
        <v>469</v>
      </c>
      <c r="Y26" s="556" t="s">
        <v>481</v>
      </c>
      <c r="Z26" s="558" t="s">
        <v>1049</v>
      </c>
    </row>
    <row r="27" spans="1:32" ht="15" customHeight="1">
      <c r="A27" s="507" t="str">
        <f t="shared" si="1"/>
        <v/>
      </c>
      <c r="B27" s="576"/>
      <c r="C27" s="166"/>
      <c r="D27" s="167"/>
      <c r="E27" s="167"/>
      <c r="F27" s="165"/>
      <c r="G27" s="502"/>
      <c r="H27" s="167"/>
      <c r="I27" s="167"/>
      <c r="J27" s="503"/>
      <c r="K27" s="167"/>
      <c r="L27" s="167"/>
      <c r="M27" s="167"/>
      <c r="N27" s="505"/>
      <c r="O27" s="505"/>
      <c r="P27" s="505"/>
      <c r="Q27" s="506"/>
      <c r="R27" s="167"/>
      <c r="S27" s="171" t="str">
        <f>IFERROR(VLOOKUP(G27,#REF!,13,0),"O.C.")</f>
        <v>O.C.</v>
      </c>
      <c r="U27" s="500" t="str">
        <f t="shared" si="2"/>
        <v/>
      </c>
      <c r="W27" s="558" t="s">
        <v>1052</v>
      </c>
      <c r="X27" s="556" t="s">
        <v>470</v>
      </c>
      <c r="Y27" s="556" t="s">
        <v>481</v>
      </c>
      <c r="Z27" s="558" t="s">
        <v>514</v>
      </c>
    </row>
    <row r="28" spans="1:32" ht="15" customHeight="1">
      <c r="A28" s="507" t="str">
        <f t="shared" si="1"/>
        <v/>
      </c>
      <c r="B28" s="165"/>
      <c r="C28" s="166"/>
      <c r="D28" s="167"/>
      <c r="E28" s="167"/>
      <c r="F28" s="165"/>
      <c r="G28" s="502"/>
      <c r="H28" s="167"/>
      <c r="I28" s="167"/>
      <c r="J28" s="503"/>
      <c r="K28" s="167"/>
      <c r="L28" s="167"/>
      <c r="M28" s="167"/>
      <c r="N28" s="505"/>
      <c r="O28" s="505"/>
      <c r="P28" s="505"/>
      <c r="Q28" s="506"/>
      <c r="R28" s="167"/>
      <c r="S28" s="171" t="str">
        <f>IFERROR(VLOOKUP(G28,#REF!,13,0),"O.C.")</f>
        <v>O.C.</v>
      </c>
      <c r="U28" s="500" t="str">
        <f t="shared" si="2"/>
        <v/>
      </c>
      <c r="W28" s="558" t="s">
        <v>514</v>
      </c>
      <c r="Z28" s="558" t="s">
        <v>1051</v>
      </c>
    </row>
    <row r="29" spans="1:32" ht="15">
      <c r="A29" s="507" t="str">
        <f t="shared" si="1"/>
        <v/>
      </c>
      <c r="B29" s="165"/>
      <c r="C29" s="166"/>
      <c r="D29" s="167"/>
      <c r="E29" s="167"/>
      <c r="F29" s="165"/>
      <c r="G29" s="502"/>
      <c r="H29" s="167"/>
      <c r="I29" s="167"/>
      <c r="J29" s="503"/>
      <c r="K29" s="167"/>
      <c r="L29" s="167"/>
      <c r="M29" s="167"/>
      <c r="N29" s="168"/>
      <c r="O29" s="167"/>
      <c r="P29" s="167"/>
      <c r="Q29" s="508"/>
      <c r="R29" s="169"/>
      <c r="S29" s="171" t="str">
        <f>IFERROR(VLOOKUP(G29,#REF!,13,0),"O.C.")</f>
        <v>O.C.</v>
      </c>
      <c r="U29" s="500" t="str">
        <f t="shared" si="2"/>
        <v/>
      </c>
      <c r="W29" s="558" t="s">
        <v>1054</v>
      </c>
      <c r="X29" s="556" t="s">
        <v>542</v>
      </c>
      <c r="Y29" s="556" t="s">
        <v>481</v>
      </c>
      <c r="Z29" s="558" t="s">
        <v>1053</v>
      </c>
    </row>
    <row r="30" spans="1:32" ht="15">
      <c r="A30" s="507" t="str">
        <f t="shared" si="1"/>
        <v/>
      </c>
      <c r="B30" s="165"/>
      <c r="C30" s="166"/>
      <c r="D30" s="167"/>
      <c r="E30" s="167"/>
      <c r="F30" s="165"/>
      <c r="G30" s="502"/>
      <c r="H30" s="167"/>
      <c r="I30" s="167"/>
      <c r="J30" s="503"/>
      <c r="K30" s="167"/>
      <c r="L30" s="167"/>
      <c r="M30" s="167"/>
      <c r="N30" s="168"/>
      <c r="O30" s="167"/>
      <c r="P30" s="167"/>
      <c r="Q30" s="508"/>
      <c r="R30" s="170"/>
      <c r="S30" s="171" t="str">
        <f>IFERROR(VLOOKUP(G30,#REF!,13,0),"O.C.")</f>
        <v>O.C.</v>
      </c>
      <c r="U30" s="500" t="str">
        <f t="shared" si="2"/>
        <v/>
      </c>
      <c r="W30" s="558" t="s">
        <v>1056</v>
      </c>
      <c r="X30" s="556" t="s">
        <v>541</v>
      </c>
      <c r="Y30" s="556" t="s">
        <v>481</v>
      </c>
      <c r="Z30" s="558" t="s">
        <v>514</v>
      </c>
    </row>
    <row r="31" spans="1:32" ht="15">
      <c r="A31" s="507" t="str">
        <f t="shared" si="1"/>
        <v/>
      </c>
      <c r="B31" s="165"/>
      <c r="C31" s="510"/>
      <c r="D31" s="511"/>
      <c r="E31" s="508"/>
      <c r="F31" s="510"/>
      <c r="G31" s="502"/>
      <c r="H31" s="508"/>
      <c r="I31" s="508"/>
      <c r="J31" s="503"/>
      <c r="K31" s="508"/>
      <c r="L31" s="508"/>
      <c r="M31" s="508"/>
      <c r="N31" s="513"/>
      <c r="O31" s="508"/>
      <c r="P31" s="508"/>
      <c r="Q31" s="169"/>
      <c r="R31" s="169"/>
      <c r="S31" s="171" t="str">
        <f>IFERROR(VLOOKUP(G31,#REF!,13,0),"O.C.")</f>
        <v>O.C.</v>
      </c>
      <c r="U31" s="500" t="str">
        <f t="shared" si="2"/>
        <v/>
      </c>
      <c r="W31" s="558" t="s">
        <v>1058</v>
      </c>
      <c r="X31" s="556" t="s">
        <v>574</v>
      </c>
      <c r="Y31" s="556" t="s">
        <v>495</v>
      </c>
      <c r="Z31" s="558" t="s">
        <v>1055</v>
      </c>
    </row>
    <row r="32" spans="1:32" ht="15">
      <c r="A32" s="507" t="str">
        <f t="shared" si="1"/>
        <v/>
      </c>
      <c r="B32" s="165"/>
      <c r="C32" s="166"/>
      <c r="D32" s="167"/>
      <c r="E32" s="167"/>
      <c r="F32" s="165"/>
      <c r="G32" s="502"/>
      <c r="H32" s="167"/>
      <c r="I32" s="167"/>
      <c r="J32" s="503"/>
      <c r="K32" s="167"/>
      <c r="L32" s="167"/>
      <c r="M32" s="167"/>
      <c r="N32" s="168"/>
      <c r="O32" s="167"/>
      <c r="P32" s="167"/>
      <c r="Q32" s="508"/>
      <c r="R32" s="169"/>
      <c r="S32" s="171" t="str">
        <f>IFERROR(VLOOKUP(G32,#REF!,13,0),"O.C.")</f>
        <v>O.C.</v>
      </c>
      <c r="U32" s="500" t="str">
        <f t="shared" si="2"/>
        <v/>
      </c>
      <c r="W32" s="558" t="s">
        <v>514</v>
      </c>
      <c r="Y32" s="556" t="s">
        <v>361</v>
      </c>
      <c r="Z32" s="558" t="s">
        <v>1057</v>
      </c>
    </row>
    <row r="33" spans="1:26" ht="15">
      <c r="A33" s="507" t="str">
        <f t="shared" si="1"/>
        <v/>
      </c>
      <c r="B33" s="165"/>
      <c r="C33" s="166"/>
      <c r="D33" s="167"/>
      <c r="E33" s="167"/>
      <c r="F33" s="165"/>
      <c r="G33" s="502"/>
      <c r="H33" s="167"/>
      <c r="I33" s="167"/>
      <c r="J33" s="503"/>
      <c r="K33" s="167"/>
      <c r="L33" s="167"/>
      <c r="M33" s="167"/>
      <c r="N33" s="168"/>
      <c r="O33" s="167"/>
      <c r="P33" s="167"/>
      <c r="Q33" s="169"/>
      <c r="R33" s="169"/>
      <c r="S33" s="171" t="str">
        <f>IFERROR(VLOOKUP(G33,#REF!,13,0),"O.C.")</f>
        <v>O.C.</v>
      </c>
      <c r="U33" s="500" t="str">
        <f t="shared" si="2"/>
        <v/>
      </c>
      <c r="W33" s="558" t="s">
        <v>1060</v>
      </c>
      <c r="X33" s="556" t="s">
        <v>474</v>
      </c>
      <c r="Y33" s="556" t="s">
        <v>474</v>
      </c>
      <c r="Z33" s="558" t="s">
        <v>1059</v>
      </c>
    </row>
    <row r="34" spans="1:26" ht="15">
      <c r="A34" s="507" t="str">
        <f t="shared" si="1"/>
        <v/>
      </c>
      <c r="B34" s="165"/>
      <c r="C34" s="510"/>
      <c r="D34" s="511"/>
      <c r="E34" s="508"/>
      <c r="F34" s="510"/>
      <c r="G34" s="502"/>
      <c r="H34" s="508"/>
      <c r="I34" s="508"/>
      <c r="J34" s="503"/>
      <c r="K34" s="508"/>
      <c r="L34" s="508"/>
      <c r="M34" s="508"/>
      <c r="N34" s="513"/>
      <c r="O34" s="508"/>
      <c r="P34" s="508"/>
      <c r="Q34" s="508"/>
      <c r="R34" s="169"/>
      <c r="S34" s="171" t="str">
        <f>IFERROR(VLOOKUP(G34,#REF!,13,0),"O.C.")</f>
        <v>O.C.</v>
      </c>
      <c r="U34" s="500" t="str">
        <f t="shared" si="2"/>
        <v/>
      </c>
      <c r="W34" s="558" t="s">
        <v>1062</v>
      </c>
      <c r="X34" s="556" t="s">
        <v>475</v>
      </c>
      <c r="Y34" s="556" t="s">
        <v>475</v>
      </c>
      <c r="Z34" s="558" t="s">
        <v>514</v>
      </c>
    </row>
    <row r="35" spans="1:26" ht="15">
      <c r="A35" s="507" t="str">
        <f t="shared" si="1"/>
        <v/>
      </c>
      <c r="B35" s="165"/>
      <c r="C35" s="166"/>
      <c r="D35" s="167"/>
      <c r="E35" s="167"/>
      <c r="F35" s="165"/>
      <c r="G35" s="502"/>
      <c r="H35" s="508"/>
      <c r="I35" s="508"/>
      <c r="J35" s="503"/>
      <c r="K35" s="508"/>
      <c r="L35" s="508"/>
      <c r="M35" s="508"/>
      <c r="N35" s="513"/>
      <c r="O35" s="508"/>
      <c r="P35" s="508"/>
      <c r="Q35" s="169"/>
      <c r="R35" s="169"/>
      <c r="S35" s="171" t="str">
        <f>IFERROR(VLOOKUP(G35,#REF!,13,0),"O.C.")</f>
        <v>O.C.</v>
      </c>
      <c r="U35" s="500" t="str">
        <f t="shared" si="2"/>
        <v/>
      </c>
      <c r="W35" s="558" t="s">
        <v>151</v>
      </c>
      <c r="X35" s="556" t="s">
        <v>476</v>
      </c>
      <c r="Y35" s="556" t="s">
        <v>476</v>
      </c>
      <c r="Z35" s="558" t="s">
        <v>1061</v>
      </c>
    </row>
    <row r="36" spans="1:26" ht="15">
      <c r="A36" s="507" t="str">
        <f t="shared" si="1"/>
        <v/>
      </c>
      <c r="B36" s="165"/>
      <c r="C36" s="510"/>
      <c r="D36" s="511"/>
      <c r="E36" s="508"/>
      <c r="F36" s="510"/>
      <c r="G36" s="502"/>
      <c r="H36" s="508"/>
      <c r="I36" s="508"/>
      <c r="J36" s="503"/>
      <c r="K36" s="508"/>
      <c r="L36" s="508"/>
      <c r="M36" s="508"/>
      <c r="N36" s="513"/>
      <c r="O36" s="508"/>
      <c r="P36" s="508"/>
      <c r="Q36" s="508"/>
      <c r="R36" s="169"/>
      <c r="S36" s="171" t="str">
        <f>IFERROR(VLOOKUP(G36,#REF!,13,0),"O.C.")</f>
        <v>O.C.</v>
      </c>
      <c r="U36" s="500" t="str">
        <f t="shared" si="2"/>
        <v/>
      </c>
      <c r="W36" s="558" t="s">
        <v>514</v>
      </c>
      <c r="Z36" s="558" t="s">
        <v>1063</v>
      </c>
    </row>
    <row r="37" spans="1:26" ht="15">
      <c r="A37" s="507" t="str">
        <f t="shared" si="1"/>
        <v/>
      </c>
      <c r="B37" s="165"/>
      <c r="C37" s="166"/>
      <c r="D37" s="167"/>
      <c r="E37" s="167"/>
      <c r="F37" s="165"/>
      <c r="G37" s="502"/>
      <c r="H37" s="167"/>
      <c r="I37" s="167"/>
      <c r="J37" s="503"/>
      <c r="K37" s="167"/>
      <c r="L37" s="167"/>
      <c r="M37" s="167"/>
      <c r="N37" s="168"/>
      <c r="O37" s="167"/>
      <c r="P37" s="167"/>
      <c r="Q37" s="508"/>
      <c r="R37" s="169"/>
      <c r="S37" s="171" t="str">
        <f>IFERROR(VLOOKUP(G37,#REF!,13,0),"O.C.")</f>
        <v>O.C.</v>
      </c>
      <c r="U37" s="500" t="str">
        <f t="shared" si="2"/>
        <v/>
      </c>
      <c r="W37" s="558" t="s">
        <v>750</v>
      </c>
      <c r="X37" s="556" t="s">
        <v>472</v>
      </c>
      <c r="Y37" s="556" t="s">
        <v>481</v>
      </c>
      <c r="Z37" s="558" t="s">
        <v>151</v>
      </c>
    </row>
    <row r="38" spans="1:26" ht="15">
      <c r="A38" s="507" t="str">
        <f t="shared" si="1"/>
        <v/>
      </c>
      <c r="B38" s="165"/>
      <c r="C38" s="510"/>
      <c r="D38" s="511"/>
      <c r="E38" s="508"/>
      <c r="F38" s="510"/>
      <c r="G38" s="502"/>
      <c r="H38" s="508"/>
      <c r="I38" s="508"/>
      <c r="J38" s="503"/>
      <c r="K38" s="508"/>
      <c r="L38" s="508"/>
      <c r="M38" s="508"/>
      <c r="N38" s="513"/>
      <c r="O38" s="508"/>
      <c r="P38" s="508"/>
      <c r="Q38" s="508"/>
      <c r="R38" s="169"/>
      <c r="S38" s="171" t="str">
        <f>IFERROR(VLOOKUP(G38,#REF!,13,0),"O.C.")</f>
        <v>O.C.</v>
      </c>
      <c r="U38" s="500" t="str">
        <f t="shared" si="2"/>
        <v/>
      </c>
      <c r="W38" s="558" t="s">
        <v>1065</v>
      </c>
      <c r="X38" s="556" t="s">
        <v>471</v>
      </c>
      <c r="Y38" s="556" t="s">
        <v>481</v>
      </c>
      <c r="Z38" s="558" t="s">
        <v>514</v>
      </c>
    </row>
    <row r="39" spans="1:26" ht="15">
      <c r="A39" s="507" t="str">
        <f t="shared" si="1"/>
        <v/>
      </c>
      <c r="B39" s="165"/>
      <c r="C39" s="166"/>
      <c r="D39" s="167"/>
      <c r="E39" s="167"/>
      <c r="F39" s="165"/>
      <c r="G39" s="502"/>
      <c r="H39" s="167"/>
      <c r="I39" s="167"/>
      <c r="J39" s="503"/>
      <c r="K39" s="167"/>
      <c r="L39" s="167"/>
      <c r="M39" s="167"/>
      <c r="N39" s="168"/>
      <c r="O39" s="167"/>
      <c r="P39" s="167"/>
      <c r="Q39" s="508"/>
      <c r="R39" s="169"/>
      <c r="S39" s="171" t="str">
        <f>IFERROR(VLOOKUP(G39,#REF!,13,0),"O.C.")</f>
        <v>O.C.</v>
      </c>
      <c r="U39" s="500" t="str">
        <f t="shared" si="2"/>
        <v/>
      </c>
      <c r="W39" s="558" t="s">
        <v>491</v>
      </c>
      <c r="X39" s="556" t="s">
        <v>491</v>
      </c>
      <c r="Y39" s="556" t="s">
        <v>481</v>
      </c>
      <c r="Z39" s="558" t="s">
        <v>1064</v>
      </c>
    </row>
    <row r="40" spans="1:26" ht="15">
      <c r="A40" s="507" t="str">
        <f t="shared" si="1"/>
        <v/>
      </c>
      <c r="B40" s="165"/>
      <c r="C40" s="166"/>
      <c r="D40" s="167"/>
      <c r="E40" s="167"/>
      <c r="F40" s="165"/>
      <c r="G40" s="502"/>
      <c r="H40" s="167"/>
      <c r="I40" s="167"/>
      <c r="J40" s="503"/>
      <c r="K40" s="167"/>
      <c r="L40" s="167"/>
      <c r="M40" s="167"/>
      <c r="N40" s="168"/>
      <c r="O40" s="167"/>
      <c r="P40" s="167"/>
      <c r="Q40" s="508"/>
      <c r="R40" s="169"/>
      <c r="S40" s="171" t="str">
        <f>IFERROR(VLOOKUP(G40,#REF!,13,0),"O.C.")</f>
        <v>O.C.</v>
      </c>
      <c r="U40" s="500" t="str">
        <f t="shared" si="2"/>
        <v/>
      </c>
      <c r="W40" s="558" t="s">
        <v>514</v>
      </c>
      <c r="Z40" s="558" t="s">
        <v>1066</v>
      </c>
    </row>
    <row r="41" spans="1:26" ht="15">
      <c r="A41" s="507" t="str">
        <f t="shared" si="1"/>
        <v/>
      </c>
      <c r="B41" s="165"/>
      <c r="C41" s="510"/>
      <c r="D41" s="511"/>
      <c r="E41" s="508"/>
      <c r="F41" s="510"/>
      <c r="G41" s="502"/>
      <c r="H41" s="508"/>
      <c r="I41" s="508"/>
      <c r="J41" s="503"/>
      <c r="K41" s="508"/>
      <c r="L41" s="508"/>
      <c r="M41" s="508"/>
      <c r="N41" s="513"/>
      <c r="O41" s="508"/>
      <c r="P41" s="508"/>
      <c r="Q41" s="169"/>
      <c r="R41" s="169"/>
      <c r="S41" s="171" t="str">
        <f>IFERROR(VLOOKUP(G41,#REF!,13,0),"O.C.")</f>
        <v>O.C.</v>
      </c>
      <c r="U41" s="500" t="str">
        <f t="shared" si="2"/>
        <v/>
      </c>
      <c r="W41" s="558" t="s">
        <v>494</v>
      </c>
      <c r="X41" s="556" t="s">
        <v>494</v>
      </c>
      <c r="Y41" s="556" t="s">
        <v>481</v>
      </c>
      <c r="Z41" s="558" t="s">
        <v>1067</v>
      </c>
    </row>
    <row r="42" spans="1:26" ht="15">
      <c r="A42" s="507" t="str">
        <f t="shared" si="1"/>
        <v/>
      </c>
      <c r="B42" s="165"/>
      <c r="C42" s="166"/>
      <c r="D42" s="167"/>
      <c r="E42" s="167"/>
      <c r="F42" s="165"/>
      <c r="G42" s="502"/>
      <c r="H42" s="508"/>
      <c r="I42" s="508"/>
      <c r="J42" s="503"/>
      <c r="K42" s="508"/>
      <c r="L42" s="508"/>
      <c r="M42" s="508"/>
      <c r="N42" s="513"/>
      <c r="O42" s="508"/>
      <c r="P42" s="508"/>
      <c r="Q42" s="508"/>
      <c r="R42" s="170"/>
      <c r="S42" s="171" t="str">
        <f>IFERROR(VLOOKUP(G42,#REF!,13,0),"O.C.")</f>
        <v>O.C.</v>
      </c>
      <c r="U42" s="500" t="str">
        <f t="shared" si="2"/>
        <v/>
      </c>
      <c r="W42" s="558" t="s">
        <v>1069</v>
      </c>
      <c r="X42" s="556" t="s">
        <v>1070</v>
      </c>
      <c r="Y42" s="556" t="s">
        <v>481</v>
      </c>
      <c r="Z42" s="558" t="s">
        <v>514</v>
      </c>
    </row>
    <row r="43" spans="1:26" ht="15">
      <c r="A43" s="507" t="str">
        <f t="shared" si="1"/>
        <v/>
      </c>
      <c r="B43" s="165"/>
      <c r="C43" s="510"/>
      <c r="D43" s="511"/>
      <c r="E43" s="508"/>
      <c r="F43" s="510"/>
      <c r="G43" s="502"/>
      <c r="H43" s="508"/>
      <c r="I43" s="508"/>
      <c r="J43" s="503"/>
      <c r="K43" s="508"/>
      <c r="L43" s="508"/>
      <c r="M43" s="508"/>
      <c r="N43" s="513"/>
      <c r="O43" s="508"/>
      <c r="P43" s="508"/>
      <c r="Q43" s="169"/>
      <c r="R43" s="169"/>
      <c r="S43" s="171" t="str">
        <f>IFERROR(VLOOKUP(G43,#REF!,13,0),"O.C.")</f>
        <v>O.C.</v>
      </c>
      <c r="U43" s="500" t="str">
        <f t="shared" si="2"/>
        <v/>
      </c>
      <c r="W43" s="558" t="s">
        <v>514</v>
      </c>
      <c r="Z43" s="558" t="s">
        <v>1068</v>
      </c>
    </row>
    <row r="44" spans="1:26" ht="15">
      <c r="A44" s="507" t="str">
        <f t="shared" si="1"/>
        <v/>
      </c>
      <c r="B44" s="165"/>
      <c r="C44" s="166"/>
      <c r="D44" s="167"/>
      <c r="E44" s="167"/>
      <c r="F44" s="165"/>
      <c r="G44" s="502"/>
      <c r="H44" s="167"/>
      <c r="I44" s="167"/>
      <c r="J44" s="503"/>
      <c r="K44" s="167"/>
      <c r="L44" s="167"/>
      <c r="M44" s="167"/>
      <c r="N44" s="168"/>
      <c r="O44" s="167"/>
      <c r="P44" s="167"/>
      <c r="Q44" s="169"/>
      <c r="R44" s="169"/>
      <c r="S44" s="171" t="str">
        <f>IFERROR(VLOOKUP(G44,#REF!,13,0),"O.C.")</f>
        <v>O.C.</v>
      </c>
      <c r="U44" s="500" t="str">
        <f t="shared" si="2"/>
        <v/>
      </c>
      <c r="W44" s="558" t="s">
        <v>1072</v>
      </c>
      <c r="X44" s="556" t="s">
        <v>473</v>
      </c>
      <c r="Z44" s="558" t="s">
        <v>1071</v>
      </c>
    </row>
    <row r="45" spans="1:26" ht="15">
      <c r="A45" s="507" t="str">
        <f t="shared" si="1"/>
        <v/>
      </c>
      <c r="B45" s="165"/>
      <c r="C45" s="510"/>
      <c r="D45" s="511"/>
      <c r="E45" s="508"/>
      <c r="F45" s="510"/>
      <c r="G45" s="502"/>
      <c r="H45" s="508"/>
      <c r="I45" s="508"/>
      <c r="J45" s="503"/>
      <c r="K45" s="508"/>
      <c r="L45" s="508"/>
      <c r="M45" s="508"/>
      <c r="N45" s="513"/>
      <c r="O45" s="508"/>
      <c r="P45" s="508"/>
      <c r="Q45" s="169"/>
      <c r="R45" s="169"/>
      <c r="S45" s="171" t="str">
        <f>IFERROR(VLOOKUP(G45,#REF!,13,0),"O.C.")</f>
        <v>O.C.</v>
      </c>
      <c r="U45" s="500" t="str">
        <f t="shared" si="2"/>
        <v/>
      </c>
      <c r="W45" s="558" t="s">
        <v>461</v>
      </c>
      <c r="X45" s="556" t="s">
        <v>477</v>
      </c>
      <c r="Y45" s="556" t="s">
        <v>482</v>
      </c>
      <c r="Z45" s="558" t="s">
        <v>514</v>
      </c>
    </row>
    <row r="46" spans="1:26" ht="15">
      <c r="A46" s="507" t="str">
        <f t="shared" si="1"/>
        <v/>
      </c>
      <c r="B46" s="165"/>
      <c r="C46" s="166"/>
      <c r="D46" s="167"/>
      <c r="E46" s="167"/>
      <c r="F46" s="165"/>
      <c r="G46" s="502"/>
      <c r="H46" s="167"/>
      <c r="I46" s="167"/>
      <c r="J46" s="503"/>
      <c r="K46" s="167"/>
      <c r="L46" s="167"/>
      <c r="M46" s="167"/>
      <c r="N46" s="168"/>
      <c r="O46" s="167"/>
      <c r="P46" s="167"/>
      <c r="Q46" s="508"/>
      <c r="R46" s="169"/>
      <c r="S46" s="171" t="str">
        <f>IFERROR(VLOOKUP(G46,#REF!,13,0),"O.C.")</f>
        <v>O.C.</v>
      </c>
      <c r="U46" s="500" t="str">
        <f t="shared" si="2"/>
        <v/>
      </c>
      <c r="W46" s="558" t="s">
        <v>514</v>
      </c>
      <c r="Z46" s="558" t="s">
        <v>1073</v>
      </c>
    </row>
    <row r="47" spans="1:26" ht="15">
      <c r="A47" s="507" t="str">
        <f t="shared" si="1"/>
        <v/>
      </c>
      <c r="B47" s="165"/>
      <c r="C47" s="166"/>
      <c r="D47" s="167"/>
      <c r="E47" s="167"/>
      <c r="F47" s="165"/>
      <c r="G47" s="502"/>
      <c r="H47" s="167"/>
      <c r="I47" s="167"/>
      <c r="J47" s="503"/>
      <c r="K47" s="167"/>
      <c r="L47" s="167"/>
      <c r="M47" s="167"/>
      <c r="N47" s="168"/>
      <c r="O47" s="167"/>
      <c r="P47" s="167"/>
      <c r="Q47" s="508"/>
      <c r="R47" s="170"/>
      <c r="S47" s="171" t="str">
        <f>IFERROR(VLOOKUP(G47,#REF!,13,0),"O.C.")</f>
        <v>O.C.</v>
      </c>
      <c r="U47" s="500" t="str">
        <f t="shared" si="2"/>
        <v/>
      </c>
      <c r="W47" s="558" t="s">
        <v>1075</v>
      </c>
      <c r="X47" s="556" t="s">
        <v>1076</v>
      </c>
      <c r="Y47" s="556" t="s">
        <v>495</v>
      </c>
      <c r="Z47" s="558" t="s">
        <v>1074</v>
      </c>
    </row>
    <row r="48" spans="1:26" ht="15">
      <c r="A48" s="507" t="str">
        <f t="shared" si="1"/>
        <v/>
      </c>
      <c r="B48" s="165"/>
      <c r="C48" s="510"/>
      <c r="D48" s="511"/>
      <c r="E48" s="508"/>
      <c r="F48" s="510"/>
      <c r="G48" s="502"/>
      <c r="H48" s="508"/>
      <c r="I48" s="508"/>
      <c r="J48" s="503"/>
      <c r="K48" s="508"/>
      <c r="L48" s="508"/>
      <c r="M48" s="508"/>
      <c r="N48" s="513"/>
      <c r="O48" s="508"/>
      <c r="P48" s="508"/>
      <c r="Q48" s="508"/>
      <c r="R48" s="169"/>
      <c r="S48" s="171" t="str">
        <f>IFERROR(VLOOKUP(G48,#REF!,13,0),"O.C.")</f>
        <v>O.C.</v>
      </c>
      <c r="U48" s="500" t="str">
        <f t="shared" si="2"/>
        <v/>
      </c>
      <c r="W48" s="558" t="s">
        <v>510</v>
      </c>
      <c r="X48" s="556" t="s">
        <v>510</v>
      </c>
      <c r="Y48" s="556" t="s">
        <v>481</v>
      </c>
      <c r="Z48" s="558" t="s">
        <v>514</v>
      </c>
    </row>
    <row r="49" spans="1:26" ht="15">
      <c r="A49" s="507" t="str">
        <f t="shared" si="1"/>
        <v/>
      </c>
      <c r="B49" s="165"/>
      <c r="C49" s="166"/>
      <c r="D49" s="167"/>
      <c r="E49" s="167"/>
      <c r="F49" s="165"/>
      <c r="G49" s="502"/>
      <c r="H49" s="508"/>
      <c r="I49" s="508"/>
      <c r="J49" s="503"/>
      <c r="K49" s="508"/>
      <c r="L49" s="508"/>
      <c r="M49" s="508"/>
      <c r="N49" s="513"/>
      <c r="O49" s="508"/>
      <c r="P49" s="508"/>
      <c r="Q49" s="169"/>
      <c r="R49" s="169"/>
      <c r="S49" s="171" t="str">
        <f>IFERROR(VLOOKUP(G49,#REF!,13,0),"O.C.")</f>
        <v>O.C.</v>
      </c>
      <c r="U49" s="500" t="str">
        <f t="shared" si="2"/>
        <v/>
      </c>
      <c r="W49" s="558" t="s">
        <v>514</v>
      </c>
      <c r="Z49" s="558" t="s">
        <v>1077</v>
      </c>
    </row>
    <row r="50" spans="1:26" ht="15">
      <c r="A50" s="507" t="str">
        <f t="shared" si="1"/>
        <v/>
      </c>
      <c r="B50" s="165"/>
      <c r="C50" s="510"/>
      <c r="D50" s="511"/>
      <c r="E50" s="508"/>
      <c r="F50" s="510"/>
      <c r="G50" s="502"/>
      <c r="H50" s="508"/>
      <c r="I50" s="508"/>
      <c r="J50" s="503"/>
      <c r="K50" s="508"/>
      <c r="L50" s="508"/>
      <c r="M50" s="508"/>
      <c r="N50" s="513"/>
      <c r="O50" s="508"/>
      <c r="P50" s="508"/>
      <c r="Q50" s="508"/>
      <c r="R50" s="170"/>
      <c r="S50" s="171" t="str">
        <f>IFERROR(VLOOKUP(G50,#REF!,13,0),"O.C.")</f>
        <v>O.C.</v>
      </c>
      <c r="U50" s="500" t="str">
        <f t="shared" si="2"/>
        <v/>
      </c>
      <c r="W50" s="558" t="s">
        <v>527</v>
      </c>
      <c r="X50" s="556" t="s">
        <v>488</v>
      </c>
      <c r="Y50" s="556" t="s">
        <v>489</v>
      </c>
      <c r="Z50" s="558" t="s">
        <v>1078</v>
      </c>
    </row>
    <row r="51" spans="1:26" ht="15">
      <c r="A51" s="507" t="str">
        <f t="shared" si="1"/>
        <v/>
      </c>
      <c r="B51" s="165"/>
      <c r="C51" s="166"/>
      <c r="D51" s="167"/>
      <c r="E51" s="167"/>
      <c r="F51" s="165"/>
      <c r="G51" s="502"/>
      <c r="H51" s="167"/>
      <c r="I51" s="167"/>
      <c r="J51" s="503"/>
      <c r="K51" s="167"/>
      <c r="L51" s="167"/>
      <c r="M51" s="167"/>
      <c r="N51" s="168"/>
      <c r="O51" s="167"/>
      <c r="P51" s="167"/>
      <c r="Q51" s="508"/>
      <c r="R51" s="170"/>
      <c r="S51" s="171" t="str">
        <f>IFERROR(VLOOKUP(G51,#REF!,13,0),"O.C.")</f>
        <v>O.C.</v>
      </c>
      <c r="U51" s="500" t="str">
        <f t="shared" si="2"/>
        <v/>
      </c>
      <c r="W51" s="558" t="s">
        <v>528</v>
      </c>
      <c r="X51" s="556" t="s">
        <v>488</v>
      </c>
      <c r="Y51" s="556" t="s">
        <v>531</v>
      </c>
      <c r="Z51" s="558" t="s">
        <v>514</v>
      </c>
    </row>
    <row r="52" spans="1:26" ht="15">
      <c r="A52" s="507" t="str">
        <f t="shared" si="1"/>
        <v/>
      </c>
      <c r="B52" s="165"/>
      <c r="C52" s="510"/>
      <c r="D52" s="511"/>
      <c r="E52" s="508"/>
      <c r="F52" s="510"/>
      <c r="G52" s="502"/>
      <c r="H52" s="508"/>
      <c r="I52" s="508"/>
      <c r="J52" s="503"/>
      <c r="K52" s="508"/>
      <c r="L52" s="508"/>
      <c r="M52" s="508"/>
      <c r="N52" s="513"/>
      <c r="O52" s="508"/>
      <c r="P52" s="508"/>
      <c r="Q52" s="508"/>
      <c r="R52" s="169"/>
      <c r="S52" s="171" t="str">
        <f>IFERROR(VLOOKUP(G52,#REF!,13,0),"O.C.")</f>
        <v>O.C.</v>
      </c>
      <c r="U52" s="500" t="str">
        <f t="shared" si="2"/>
        <v/>
      </c>
      <c r="W52" s="558" t="s">
        <v>529</v>
      </c>
      <c r="X52" s="556" t="s">
        <v>488</v>
      </c>
      <c r="Y52" s="556" t="s">
        <v>497</v>
      </c>
      <c r="Z52" s="558" t="s">
        <v>1079</v>
      </c>
    </row>
    <row r="53" spans="1:26" ht="15">
      <c r="A53" s="507" t="str">
        <f t="shared" si="1"/>
        <v/>
      </c>
      <c r="B53" s="165"/>
      <c r="C53" s="166"/>
      <c r="D53" s="167"/>
      <c r="E53" s="167"/>
      <c r="F53" s="165"/>
      <c r="G53" s="502"/>
      <c r="H53" s="167"/>
      <c r="I53" s="167"/>
      <c r="J53" s="503"/>
      <c r="K53" s="167"/>
      <c r="L53" s="167"/>
      <c r="M53" s="167"/>
      <c r="N53" s="168"/>
      <c r="O53" s="167"/>
      <c r="P53" s="167"/>
      <c r="Q53" s="508"/>
      <c r="R53" s="169"/>
      <c r="S53" s="171" t="str">
        <f>IFERROR(VLOOKUP(G53,#REF!,13,0),"O.C.")</f>
        <v>O.C.</v>
      </c>
      <c r="U53" s="500" t="str">
        <f t="shared" si="2"/>
        <v/>
      </c>
      <c r="W53" s="558" t="s">
        <v>530</v>
      </c>
      <c r="X53" s="556" t="s">
        <v>488</v>
      </c>
      <c r="Y53" s="556" t="s">
        <v>481</v>
      </c>
      <c r="Z53" s="558" t="s">
        <v>1080</v>
      </c>
    </row>
    <row r="54" spans="1:26" ht="15">
      <c r="A54" s="507" t="str">
        <f t="shared" si="1"/>
        <v/>
      </c>
      <c r="B54" s="165"/>
      <c r="C54" s="166"/>
      <c r="D54" s="167"/>
      <c r="E54" s="167"/>
      <c r="F54" s="165"/>
      <c r="G54" s="502"/>
      <c r="H54" s="167"/>
      <c r="I54" s="167"/>
      <c r="J54" s="503"/>
      <c r="K54" s="167"/>
      <c r="L54" s="167"/>
      <c r="M54" s="167"/>
      <c r="N54" s="168"/>
      <c r="O54" s="167"/>
      <c r="P54" s="167"/>
      <c r="Q54" s="508"/>
      <c r="R54" s="169"/>
      <c r="S54" s="171" t="str">
        <f>IFERROR(VLOOKUP(G54,#REF!,13,0),"O.C.")</f>
        <v>O.C.</v>
      </c>
      <c r="U54" s="500" t="str">
        <f t="shared" si="2"/>
        <v/>
      </c>
      <c r="W54" s="558"/>
      <c r="Z54" s="558" t="s">
        <v>1081</v>
      </c>
    </row>
    <row r="55" spans="1:26" ht="15">
      <c r="A55" s="507" t="str">
        <f t="shared" si="1"/>
        <v/>
      </c>
      <c r="B55" s="165"/>
      <c r="C55" s="510"/>
      <c r="D55" s="511"/>
      <c r="E55" s="508"/>
      <c r="F55" s="510"/>
      <c r="G55" s="502"/>
      <c r="H55" s="508"/>
      <c r="I55" s="508"/>
      <c r="J55" s="503"/>
      <c r="K55" s="508"/>
      <c r="L55" s="508"/>
      <c r="M55" s="508"/>
      <c r="N55" s="513"/>
      <c r="O55" s="508"/>
      <c r="P55" s="508"/>
      <c r="Q55" s="508"/>
      <c r="R55" s="169"/>
      <c r="S55" s="171" t="str">
        <f>IFERROR(VLOOKUP(G55,#REF!,13,0),"O.C.")</f>
        <v>O.C.</v>
      </c>
      <c r="U55" s="500" t="str">
        <f t="shared" si="2"/>
        <v/>
      </c>
      <c r="W55" s="558"/>
      <c r="Z55" s="558" t="s">
        <v>1082</v>
      </c>
    </row>
    <row r="56" spans="1:26" ht="15">
      <c r="A56" s="507" t="str">
        <f t="shared" si="1"/>
        <v/>
      </c>
      <c r="B56" s="165"/>
      <c r="C56" s="166"/>
      <c r="D56" s="167"/>
      <c r="E56" s="167"/>
      <c r="F56" s="165"/>
      <c r="G56" s="502"/>
      <c r="H56" s="508"/>
      <c r="I56" s="508"/>
      <c r="J56" s="503"/>
      <c r="K56" s="508"/>
      <c r="L56" s="508"/>
      <c r="M56" s="508"/>
      <c r="N56" s="513"/>
      <c r="O56" s="508"/>
      <c r="P56" s="508"/>
      <c r="Q56" s="508"/>
      <c r="R56" s="169"/>
      <c r="S56" s="171" t="str">
        <f>IFERROR(VLOOKUP(G56,#REF!,13,0),"O.C.")</f>
        <v>O.C.</v>
      </c>
      <c r="U56" s="500" t="str">
        <f t="shared" si="2"/>
        <v/>
      </c>
      <c r="W56" s="558"/>
    </row>
    <row r="57" spans="1:26" ht="15">
      <c r="A57" s="507" t="str">
        <f t="shared" si="1"/>
        <v/>
      </c>
      <c r="B57" s="165"/>
      <c r="C57" s="510"/>
      <c r="D57" s="511"/>
      <c r="E57" s="508"/>
      <c r="F57" s="510"/>
      <c r="G57" s="502"/>
      <c r="H57" s="508"/>
      <c r="I57" s="508"/>
      <c r="J57" s="503"/>
      <c r="K57" s="508"/>
      <c r="L57" s="508"/>
      <c r="M57" s="508"/>
      <c r="N57" s="513"/>
      <c r="O57" s="508"/>
      <c r="P57" s="508"/>
      <c r="Q57" s="508"/>
      <c r="R57" s="169"/>
      <c r="S57" s="171" t="str">
        <f>IFERROR(VLOOKUP(G57,#REF!,13,0),"O.C.")</f>
        <v>O.C.</v>
      </c>
      <c r="U57" s="500" t="str">
        <f t="shared" si="2"/>
        <v/>
      </c>
      <c r="W57" s="558"/>
    </row>
    <row r="58" spans="1:26" ht="15">
      <c r="A58" s="507" t="str">
        <f t="shared" si="1"/>
        <v/>
      </c>
      <c r="B58" s="165"/>
      <c r="C58" s="166"/>
      <c r="D58" s="167"/>
      <c r="E58" s="167"/>
      <c r="F58" s="165"/>
      <c r="G58" s="502"/>
      <c r="H58" s="167"/>
      <c r="I58" s="167"/>
      <c r="J58" s="503"/>
      <c r="K58" s="167"/>
      <c r="L58" s="167"/>
      <c r="M58" s="167"/>
      <c r="N58" s="168"/>
      <c r="O58" s="167"/>
      <c r="P58" s="167"/>
      <c r="Q58" s="508"/>
      <c r="R58" s="169"/>
      <c r="S58" s="171" t="str">
        <f>IFERROR(VLOOKUP(G58,#REF!,13,0),"O.C.")</f>
        <v>O.C.</v>
      </c>
      <c r="U58" s="500" t="str">
        <f t="shared" si="2"/>
        <v/>
      </c>
      <c r="W58" s="558"/>
    </row>
    <row r="59" spans="1:26" ht="15">
      <c r="A59" s="507" t="str">
        <f t="shared" si="1"/>
        <v/>
      </c>
      <c r="B59" s="165"/>
      <c r="C59" s="510"/>
      <c r="D59" s="511"/>
      <c r="E59" s="508"/>
      <c r="F59" s="510"/>
      <c r="G59" s="502"/>
      <c r="H59" s="508"/>
      <c r="I59" s="508"/>
      <c r="J59" s="503"/>
      <c r="K59" s="508"/>
      <c r="L59" s="508"/>
      <c r="M59" s="508"/>
      <c r="N59" s="513"/>
      <c r="O59" s="508"/>
      <c r="P59" s="508"/>
      <c r="Q59" s="508"/>
      <c r="R59" s="169"/>
      <c r="S59" s="171" t="str">
        <f>IFERROR(VLOOKUP(G59,#REF!,13,0),"O.C.")</f>
        <v>O.C.</v>
      </c>
      <c r="U59" s="500" t="str">
        <f t="shared" si="2"/>
        <v/>
      </c>
      <c r="W59" s="558"/>
    </row>
    <row r="60" spans="1:26" ht="15">
      <c r="A60" s="507" t="str">
        <f t="shared" si="1"/>
        <v/>
      </c>
      <c r="B60" s="165"/>
      <c r="C60" s="166"/>
      <c r="D60" s="167"/>
      <c r="E60" s="167"/>
      <c r="F60" s="165"/>
      <c r="G60" s="502"/>
      <c r="H60" s="167"/>
      <c r="I60" s="167"/>
      <c r="J60" s="503"/>
      <c r="K60" s="167"/>
      <c r="L60" s="167"/>
      <c r="M60" s="167"/>
      <c r="N60" s="168"/>
      <c r="O60" s="167"/>
      <c r="P60" s="167"/>
      <c r="Q60" s="508"/>
      <c r="R60" s="169"/>
      <c r="S60" s="171" t="str">
        <f>IFERROR(VLOOKUP(G60,#REF!,13,0),"O.C.")</f>
        <v>O.C.</v>
      </c>
      <c r="U60" s="500" t="str">
        <f t="shared" si="2"/>
        <v/>
      </c>
      <c r="W60" s="558"/>
    </row>
    <row r="61" spans="1:26" ht="15">
      <c r="A61" s="507" t="str">
        <f t="shared" si="1"/>
        <v/>
      </c>
      <c r="B61" s="165"/>
      <c r="C61" s="166"/>
      <c r="D61" s="167"/>
      <c r="E61" s="167"/>
      <c r="F61" s="165"/>
      <c r="G61" s="502"/>
      <c r="H61" s="167"/>
      <c r="I61" s="167"/>
      <c r="J61" s="503"/>
      <c r="K61" s="167"/>
      <c r="L61" s="167"/>
      <c r="M61" s="167"/>
      <c r="N61" s="168"/>
      <c r="O61" s="167"/>
      <c r="P61" s="167"/>
      <c r="Q61" s="508"/>
      <c r="R61" s="169"/>
      <c r="S61" s="171" t="str">
        <f>IFERROR(VLOOKUP(G61,#REF!,13,0),"O.C.")</f>
        <v>O.C.</v>
      </c>
      <c r="U61" s="500" t="str">
        <f t="shared" si="2"/>
        <v/>
      </c>
      <c r="W61" s="558"/>
    </row>
    <row r="62" spans="1:26" ht="15">
      <c r="A62" s="507" t="str">
        <f t="shared" si="1"/>
        <v/>
      </c>
      <c r="B62" s="165"/>
      <c r="C62" s="510"/>
      <c r="D62" s="511"/>
      <c r="E62" s="508"/>
      <c r="F62" s="510"/>
      <c r="G62" s="502"/>
      <c r="H62" s="508"/>
      <c r="I62" s="508"/>
      <c r="J62" s="503"/>
      <c r="K62" s="508"/>
      <c r="L62" s="508"/>
      <c r="M62" s="508"/>
      <c r="N62" s="513"/>
      <c r="O62" s="508"/>
      <c r="P62" s="508"/>
      <c r="Q62" s="508"/>
      <c r="R62" s="169"/>
      <c r="S62" s="171" t="str">
        <f>IFERROR(VLOOKUP(G62,#REF!,13,0),"O.C.")</f>
        <v>O.C.</v>
      </c>
      <c r="U62" s="500" t="str">
        <f t="shared" si="2"/>
        <v/>
      </c>
      <c r="W62" s="558"/>
      <c r="X62" s="559"/>
    </row>
    <row r="63" spans="1:26" ht="15">
      <c r="A63" s="507" t="str">
        <f t="shared" si="1"/>
        <v/>
      </c>
      <c r="B63" s="165"/>
      <c r="C63" s="166"/>
      <c r="D63" s="167"/>
      <c r="E63" s="167"/>
      <c r="F63" s="165"/>
      <c r="G63" s="502"/>
      <c r="H63" s="508"/>
      <c r="I63" s="508"/>
      <c r="J63" s="503"/>
      <c r="K63" s="508"/>
      <c r="L63" s="508"/>
      <c r="M63" s="508"/>
      <c r="N63" s="513"/>
      <c r="O63" s="508"/>
      <c r="P63" s="508"/>
      <c r="Q63" s="508"/>
      <c r="R63" s="169"/>
      <c r="S63" s="171" t="str">
        <f>IFERROR(VLOOKUP(G63,#REF!,13,0),"O.C.")</f>
        <v>O.C.</v>
      </c>
      <c r="U63" s="500" t="str">
        <f t="shared" si="2"/>
        <v/>
      </c>
      <c r="W63" s="558"/>
    </row>
    <row r="64" spans="1:26" ht="15">
      <c r="A64" s="507" t="str">
        <f t="shared" si="1"/>
        <v/>
      </c>
      <c r="B64" s="165"/>
      <c r="C64" s="510"/>
      <c r="D64" s="511"/>
      <c r="E64" s="508"/>
      <c r="F64" s="510"/>
      <c r="G64" s="502"/>
      <c r="H64" s="508"/>
      <c r="I64" s="508"/>
      <c r="J64" s="503"/>
      <c r="K64" s="508"/>
      <c r="L64" s="508"/>
      <c r="M64" s="508"/>
      <c r="N64" s="513"/>
      <c r="O64" s="508"/>
      <c r="P64" s="508"/>
      <c r="Q64" s="508"/>
      <c r="R64" s="169"/>
      <c r="S64" s="171" t="str">
        <f>IFERROR(VLOOKUP(G64,#REF!,13,0),"O.C.")</f>
        <v>O.C.</v>
      </c>
      <c r="U64" s="500" t="str">
        <f t="shared" si="2"/>
        <v/>
      </c>
      <c r="W64" s="558"/>
    </row>
    <row r="65" spans="1:23" ht="15">
      <c r="A65" s="507" t="str">
        <f t="shared" si="1"/>
        <v/>
      </c>
      <c r="B65" s="165"/>
      <c r="C65" s="166"/>
      <c r="D65" s="167"/>
      <c r="E65" s="167"/>
      <c r="F65" s="165"/>
      <c r="G65" s="502"/>
      <c r="H65" s="167"/>
      <c r="I65" s="167"/>
      <c r="J65" s="503"/>
      <c r="K65" s="167"/>
      <c r="L65" s="167"/>
      <c r="M65" s="167"/>
      <c r="N65" s="168"/>
      <c r="O65" s="167"/>
      <c r="P65" s="167"/>
      <c r="Q65" s="508"/>
      <c r="R65" s="169"/>
      <c r="S65" s="171" t="str">
        <f>IFERROR(VLOOKUP(G65,#REF!,13,0),"O.C.")</f>
        <v>O.C.</v>
      </c>
      <c r="U65" s="500" t="str">
        <f t="shared" si="2"/>
        <v/>
      </c>
      <c r="W65" s="558"/>
    </row>
    <row r="66" spans="1:23" ht="15">
      <c r="A66" s="507" t="str">
        <f t="shared" si="1"/>
        <v/>
      </c>
      <c r="B66" s="165"/>
      <c r="C66" s="510"/>
      <c r="D66" s="511"/>
      <c r="E66" s="508"/>
      <c r="F66" s="510"/>
      <c r="G66" s="502"/>
      <c r="H66" s="508"/>
      <c r="I66" s="508"/>
      <c r="J66" s="503"/>
      <c r="K66" s="508"/>
      <c r="L66" s="508"/>
      <c r="M66" s="508"/>
      <c r="N66" s="513"/>
      <c r="O66" s="508"/>
      <c r="P66" s="508"/>
      <c r="Q66" s="508"/>
      <c r="R66" s="169"/>
      <c r="S66" s="171" t="str">
        <f>IFERROR(VLOOKUP(G66,#REF!,13,0),"O.C.")</f>
        <v>O.C.</v>
      </c>
      <c r="U66" s="500" t="str">
        <f t="shared" si="2"/>
        <v/>
      </c>
      <c r="W66" s="558"/>
    </row>
    <row r="67" spans="1:23" ht="15">
      <c r="A67" s="507" t="str">
        <f t="shared" si="1"/>
        <v/>
      </c>
      <c r="B67" s="165"/>
      <c r="C67" s="166"/>
      <c r="D67" s="167"/>
      <c r="E67" s="167"/>
      <c r="F67" s="165"/>
      <c r="G67" s="502"/>
      <c r="H67" s="167"/>
      <c r="I67" s="167"/>
      <c r="J67" s="503"/>
      <c r="K67" s="167"/>
      <c r="L67" s="167"/>
      <c r="M67" s="167"/>
      <c r="N67" s="168"/>
      <c r="O67" s="167"/>
      <c r="P67" s="167"/>
      <c r="Q67" s="508"/>
      <c r="R67" s="169"/>
      <c r="S67" s="171" t="str">
        <f>IFERROR(VLOOKUP(G67,#REF!,13,0),"O.C.")</f>
        <v>O.C.</v>
      </c>
      <c r="U67" s="500" t="str">
        <f t="shared" si="2"/>
        <v/>
      </c>
      <c r="W67" s="558"/>
    </row>
    <row r="68" spans="1:23" ht="15">
      <c r="A68" s="507" t="str">
        <f t="shared" si="1"/>
        <v/>
      </c>
      <c r="B68" s="165"/>
      <c r="C68" s="166"/>
      <c r="D68" s="167"/>
      <c r="E68" s="167"/>
      <c r="F68" s="165"/>
      <c r="G68" s="502"/>
      <c r="H68" s="167"/>
      <c r="I68" s="167"/>
      <c r="J68" s="503"/>
      <c r="K68" s="167"/>
      <c r="L68" s="167"/>
      <c r="M68" s="167"/>
      <c r="N68" s="168"/>
      <c r="O68" s="167"/>
      <c r="P68" s="167"/>
      <c r="Q68" s="508"/>
      <c r="R68" s="169"/>
      <c r="S68" s="171" t="str">
        <f>IFERROR(VLOOKUP(G68,#REF!,13,0),"O.C.")</f>
        <v>O.C.</v>
      </c>
      <c r="U68" s="500" t="str">
        <f t="shared" si="2"/>
        <v/>
      </c>
      <c r="W68" s="558"/>
    </row>
    <row r="69" spans="1:23" ht="15">
      <c r="A69" s="507" t="str">
        <f t="shared" si="1"/>
        <v/>
      </c>
      <c r="B69" s="165"/>
      <c r="C69" s="166"/>
      <c r="D69" s="167"/>
      <c r="E69" s="167"/>
      <c r="F69" s="165"/>
      <c r="G69" s="502"/>
      <c r="H69" s="167"/>
      <c r="I69" s="167"/>
      <c r="J69" s="503"/>
      <c r="K69" s="167"/>
      <c r="L69" s="167"/>
      <c r="M69" s="167"/>
      <c r="N69" s="168"/>
      <c r="O69" s="167"/>
      <c r="P69" s="167"/>
      <c r="Q69" s="508"/>
      <c r="R69" s="169"/>
      <c r="S69" s="171" t="str">
        <f>IFERROR(VLOOKUP(G69,#REF!,13,0),"O.C.")</f>
        <v>O.C.</v>
      </c>
      <c r="U69" s="500" t="str">
        <f t="shared" si="2"/>
        <v/>
      </c>
      <c r="W69" s="558"/>
    </row>
    <row r="70" spans="1:23" ht="15">
      <c r="A70" s="507" t="str">
        <f t="shared" si="1"/>
        <v/>
      </c>
      <c r="B70" s="165"/>
      <c r="C70" s="166"/>
      <c r="D70" s="167"/>
      <c r="E70" s="167"/>
      <c r="F70" s="165"/>
      <c r="G70" s="502"/>
      <c r="H70" s="167"/>
      <c r="I70" s="167"/>
      <c r="J70" s="503"/>
      <c r="K70" s="167"/>
      <c r="L70" s="167"/>
      <c r="M70" s="167"/>
      <c r="N70" s="168"/>
      <c r="O70" s="167"/>
      <c r="P70" s="167"/>
      <c r="Q70" s="508"/>
      <c r="R70" s="169"/>
      <c r="S70" s="171" t="str">
        <f>IFERROR(VLOOKUP(G70,#REF!,13,0),"O.C.")</f>
        <v>O.C.</v>
      </c>
      <c r="U70" s="500" t="str">
        <f t="shared" si="2"/>
        <v/>
      </c>
      <c r="W70" s="558"/>
    </row>
    <row r="71" spans="1:23" ht="15">
      <c r="A71" s="507" t="str">
        <f t="shared" si="1"/>
        <v/>
      </c>
      <c r="B71" s="165"/>
      <c r="C71" s="166"/>
      <c r="D71" s="167"/>
      <c r="E71" s="167"/>
      <c r="F71" s="165"/>
      <c r="G71" s="502"/>
      <c r="H71" s="167"/>
      <c r="I71" s="167"/>
      <c r="J71" s="503"/>
      <c r="K71" s="167"/>
      <c r="L71" s="167"/>
      <c r="M71" s="167"/>
      <c r="N71" s="168"/>
      <c r="O71" s="167"/>
      <c r="P71" s="167"/>
      <c r="Q71" s="508"/>
      <c r="R71" s="169"/>
      <c r="S71" s="171" t="str">
        <f>IFERROR(VLOOKUP(G71,#REF!,13,0),"O.C.")</f>
        <v>O.C.</v>
      </c>
      <c r="U71" s="500" t="str">
        <f t="shared" si="2"/>
        <v/>
      </c>
      <c r="W71" s="558"/>
    </row>
    <row r="72" spans="1:23" ht="15">
      <c r="A72" s="507" t="str">
        <f t="shared" si="1"/>
        <v/>
      </c>
      <c r="B72" s="165"/>
      <c r="C72" s="166"/>
      <c r="D72" s="167"/>
      <c r="E72" s="167"/>
      <c r="F72" s="165"/>
      <c r="G72" s="502"/>
      <c r="H72" s="167"/>
      <c r="I72" s="167"/>
      <c r="J72" s="503"/>
      <c r="K72" s="167"/>
      <c r="L72" s="167"/>
      <c r="M72" s="167"/>
      <c r="N72" s="168"/>
      <c r="O72" s="167"/>
      <c r="P72" s="167"/>
      <c r="Q72" s="508"/>
      <c r="R72" s="169"/>
      <c r="S72" s="171" t="str">
        <f>IFERROR(VLOOKUP(G72,#REF!,13,0),"O.C.")</f>
        <v>O.C.</v>
      </c>
      <c r="U72" s="500" t="str">
        <f t="shared" si="2"/>
        <v/>
      </c>
      <c r="W72" s="558"/>
    </row>
    <row r="73" spans="1:23" ht="15">
      <c r="A73" s="507" t="str">
        <f t="shared" si="1"/>
        <v/>
      </c>
      <c r="B73" s="165"/>
      <c r="C73" s="514"/>
      <c r="D73" s="167"/>
      <c r="E73" s="167"/>
      <c r="F73" s="515"/>
      <c r="G73" s="502"/>
      <c r="H73" s="508"/>
      <c r="I73" s="508"/>
      <c r="J73" s="503"/>
      <c r="K73" s="508"/>
      <c r="L73" s="508"/>
      <c r="M73" s="508"/>
      <c r="N73" s="513"/>
      <c r="O73" s="508"/>
      <c r="P73" s="508"/>
      <c r="Q73" s="508"/>
      <c r="R73" s="169"/>
      <c r="S73" s="171" t="str">
        <f>IFERROR(VLOOKUP(G73,#REF!,13,0),"O.C.")</f>
        <v>O.C.</v>
      </c>
      <c r="U73" s="500" t="str">
        <f t="shared" si="2"/>
        <v/>
      </c>
      <c r="W73" s="558"/>
    </row>
    <row r="74" spans="1:23" ht="15">
      <c r="A74" s="507" t="str">
        <f t="shared" si="1"/>
        <v/>
      </c>
      <c r="B74" s="165"/>
      <c r="C74" s="514"/>
      <c r="D74" s="167"/>
      <c r="E74" s="167"/>
      <c r="F74" s="515"/>
      <c r="G74" s="502"/>
      <c r="H74" s="508"/>
      <c r="I74" s="508"/>
      <c r="J74" s="503"/>
      <c r="K74" s="508"/>
      <c r="L74" s="508"/>
      <c r="M74" s="508"/>
      <c r="N74" s="513"/>
      <c r="O74" s="508"/>
      <c r="P74" s="508"/>
      <c r="Q74" s="508"/>
      <c r="R74" s="169"/>
      <c r="S74" s="171" t="str">
        <f>IFERROR(VLOOKUP(G74,#REF!,13,0),"O.C.")</f>
        <v>O.C.</v>
      </c>
      <c r="U74" s="500" t="str">
        <f t="shared" si="2"/>
        <v/>
      </c>
      <c r="W74" s="558"/>
    </row>
    <row r="75" spans="1:23" ht="15">
      <c r="A75" s="507" t="str">
        <f t="shared" si="1"/>
        <v/>
      </c>
      <c r="B75" s="165"/>
      <c r="C75" s="166"/>
      <c r="D75" s="167"/>
      <c r="E75" s="167"/>
      <c r="F75" s="165"/>
      <c r="G75" s="502"/>
      <c r="H75" s="508"/>
      <c r="I75" s="508"/>
      <c r="J75" s="503"/>
      <c r="K75" s="508"/>
      <c r="L75" s="508"/>
      <c r="M75" s="508"/>
      <c r="N75" s="513"/>
      <c r="O75" s="508"/>
      <c r="P75" s="508"/>
      <c r="Q75" s="508"/>
      <c r="R75" s="169"/>
      <c r="S75" s="171" t="str">
        <f>IFERROR(VLOOKUP(G75,#REF!,13,0),"O.C.")</f>
        <v>O.C.</v>
      </c>
      <c r="U75" s="500" t="str">
        <f t="shared" si="2"/>
        <v/>
      </c>
      <c r="W75" s="558"/>
    </row>
    <row r="76" spans="1:23" ht="12.75" hidden="1" customHeight="1">
      <c r="W76" s="558"/>
    </row>
    <row r="77" spans="1:23" ht="12.75" hidden="1" customHeight="1">
      <c r="W77" s="558"/>
    </row>
    <row r="78" spans="1:23" ht="12.75" hidden="1" customHeight="1">
      <c r="W78" s="558"/>
    </row>
    <row r="79" spans="1:23" ht="12.75" hidden="1" customHeight="1">
      <c r="W79" s="558"/>
    </row>
    <row r="80" spans="1:23" ht="12.75" hidden="1" customHeight="1">
      <c r="W80" s="558"/>
    </row>
    <row r="81" spans="23:23" ht="12.75" hidden="1" customHeight="1">
      <c r="W81" s="558"/>
    </row>
    <row r="82" spans="23:23" ht="12.75" hidden="1" customHeight="1">
      <c r="W82" s="558"/>
    </row>
    <row r="83" spans="23:23" ht="12.75" hidden="1" customHeight="1">
      <c r="W83" s="558"/>
    </row>
    <row r="84" spans="23:23" ht="12.75" hidden="1" customHeight="1">
      <c r="W84" s="558"/>
    </row>
    <row r="85" spans="23:23" ht="12.75" hidden="1" customHeight="1">
      <c r="W85" s="558"/>
    </row>
    <row r="86" spans="23:23" ht="12.75" hidden="1" customHeight="1">
      <c r="W86" s="558"/>
    </row>
    <row r="87" spans="23:23" ht="12.75" hidden="1" customHeight="1">
      <c r="W87" s="558"/>
    </row>
    <row r="88" spans="23:23" ht="12.75" hidden="1" customHeight="1">
      <c r="W88" s="558"/>
    </row>
    <row r="89" spans="23:23" ht="12.75" hidden="1" customHeight="1">
      <c r="W89" s="558"/>
    </row>
    <row r="90" spans="23:23" ht="12.75" hidden="1" customHeight="1">
      <c r="W90" s="558"/>
    </row>
    <row r="91" spans="23:23" ht="12.75" hidden="1" customHeight="1">
      <c r="W91" s="558"/>
    </row>
    <row r="92" spans="23:23" ht="12.75" hidden="1" customHeight="1">
      <c r="W92" s="558"/>
    </row>
    <row r="93" spans="23:23" ht="12.75" hidden="1" customHeight="1">
      <c r="W93" s="558"/>
    </row>
    <row r="94" spans="23:23" ht="12.75" hidden="1" customHeight="1">
      <c r="W94" s="558"/>
    </row>
    <row r="95" spans="23:23" ht="12.75" hidden="1" customHeight="1">
      <c r="W95" s="558"/>
    </row>
    <row r="96" spans="23:23" ht="12.75" hidden="1" customHeight="1">
      <c r="W96" s="558"/>
    </row>
    <row r="97" spans="23:23" ht="12.75" hidden="1" customHeight="1">
      <c r="W97" s="558"/>
    </row>
    <row r="98" spans="23:23" ht="12.75" hidden="1" customHeight="1">
      <c r="W98" s="558"/>
    </row>
    <row r="99" spans="23:23" ht="12.75" hidden="1" customHeight="1">
      <c r="W99" s="558"/>
    </row>
    <row r="100" spans="23:23" ht="12.75" hidden="1" customHeight="1">
      <c r="W100" s="558"/>
    </row>
    <row r="101" spans="23:23" ht="12.75" hidden="1" customHeight="1">
      <c r="W101" s="558"/>
    </row>
    <row r="102" spans="23:23" ht="12.75" hidden="1" customHeight="1">
      <c r="W102" s="558"/>
    </row>
    <row r="103" spans="23:23" ht="12.75" hidden="1" customHeight="1">
      <c r="W103" s="558"/>
    </row>
    <row r="104" spans="23:23" ht="12.75" hidden="1" customHeight="1">
      <c r="W104" s="558"/>
    </row>
    <row r="105" spans="23:23" ht="12.75" hidden="1" customHeight="1">
      <c r="W105" s="558"/>
    </row>
    <row r="106" spans="23:23" ht="12.75" hidden="1" customHeight="1">
      <c r="W106" s="558"/>
    </row>
    <row r="107" spans="23:23" ht="12.75" hidden="1" customHeight="1">
      <c r="W107" s="558"/>
    </row>
    <row r="108" spans="23:23" ht="12.75" hidden="1" customHeight="1">
      <c r="W108" s="558"/>
    </row>
    <row r="109" spans="23:23" ht="12.75" hidden="1" customHeight="1">
      <c r="W109" s="558"/>
    </row>
    <row r="110" spans="23:23" ht="12.75" hidden="1" customHeight="1">
      <c r="W110" s="558"/>
    </row>
    <row r="111" spans="23:23" ht="12.75" hidden="1" customHeight="1">
      <c r="W111" s="558"/>
    </row>
    <row r="112" spans="23:23" ht="12.75" hidden="1" customHeight="1">
      <c r="W112" s="558"/>
    </row>
    <row r="113" spans="23:23" ht="12.75" hidden="1" customHeight="1">
      <c r="W113" s="558"/>
    </row>
    <row r="114" spans="23:23" ht="12.75" hidden="1" customHeight="1">
      <c r="W114" s="558"/>
    </row>
    <row r="115" spans="23:23" ht="12.75" hidden="1" customHeight="1">
      <c r="W115" s="558"/>
    </row>
    <row r="116" spans="23:23" ht="12.75" hidden="1" customHeight="1">
      <c r="W116" s="558"/>
    </row>
    <row r="117" spans="23:23" ht="12.75" hidden="1" customHeight="1">
      <c r="W117" s="558"/>
    </row>
    <row r="118" spans="23:23" ht="12.75" hidden="1" customHeight="1">
      <c r="W118" s="558"/>
    </row>
    <row r="119" spans="23:23" ht="12.75" hidden="1" customHeight="1">
      <c r="W119" s="558"/>
    </row>
    <row r="120" spans="23:23" ht="12.75" hidden="1" customHeight="1">
      <c r="W120" s="558"/>
    </row>
    <row r="121" spans="23:23" ht="12.75" hidden="1" customHeight="1">
      <c r="W121" s="558"/>
    </row>
    <row r="122" spans="23:23" ht="12.75" hidden="1" customHeight="1">
      <c r="W122" s="558"/>
    </row>
    <row r="123" spans="23:23" ht="12.75" hidden="1" customHeight="1">
      <c r="W123" s="558"/>
    </row>
    <row r="124" spans="23:23" ht="12.75" hidden="1" customHeight="1">
      <c r="W124" s="558"/>
    </row>
  </sheetData>
  <sheetProtection selectLockedCells="1"/>
  <protectedRanges>
    <protectedRange sqref="AC13 AE13:AF13" name="Rango1_2"/>
    <protectedRange sqref="AC14 AE14:AF14 AC9 AE9:AF9" name="Rango1_1_1"/>
  </protectedRanges>
  <sortState ref="B12:R75">
    <sortCondition ref="H12:H75"/>
    <sortCondition ref="J12:J75"/>
  </sortState>
  <dataConsolidate/>
  <mergeCells count="10">
    <mergeCell ref="G7:L7"/>
    <mergeCell ref="G8:L8"/>
    <mergeCell ref="A10:S10"/>
    <mergeCell ref="A1:B1"/>
    <mergeCell ref="F1:J1"/>
    <mergeCell ref="F2:G2"/>
    <mergeCell ref="I2:J2"/>
    <mergeCell ref="G5:L5"/>
    <mergeCell ref="G6:L6"/>
    <mergeCell ref="N1:O2"/>
  </mergeCells>
  <conditionalFormatting sqref="S12">
    <cfRule type="cellIs" dxfId="106" priority="46" operator="equal">
      <formula>"O.C."</formula>
    </cfRule>
  </conditionalFormatting>
  <conditionalFormatting sqref="S13:S75">
    <cfRule type="cellIs" dxfId="105" priority="45" operator="equal">
      <formula>"O.C."</formula>
    </cfRule>
  </conditionalFormatting>
  <conditionalFormatting sqref="W11 W19:W24 W15 W13">
    <cfRule type="cellIs" dxfId="104" priority="43" operator="equal">
      <formula>$D$9</formula>
    </cfRule>
    <cfRule type="cellIs" dxfId="103" priority="44" operator="equal">
      <formula>$D$8</formula>
    </cfRule>
  </conditionalFormatting>
  <conditionalFormatting sqref="W12">
    <cfRule type="cellIs" dxfId="102" priority="41" operator="equal">
      <formula>$D$9</formula>
    </cfRule>
    <cfRule type="cellIs" dxfId="101" priority="42" operator="equal">
      <formula>$D$8</formula>
    </cfRule>
  </conditionalFormatting>
  <conditionalFormatting sqref="W24">
    <cfRule type="cellIs" dxfId="100" priority="39" operator="equal">
      <formula>$D$9</formula>
    </cfRule>
    <cfRule type="cellIs" dxfId="99" priority="40" operator="equal">
      <formula>$D$8</formula>
    </cfRule>
  </conditionalFormatting>
  <conditionalFormatting sqref="W15:W16">
    <cfRule type="cellIs" dxfId="98" priority="37" operator="equal">
      <formula>$D$9</formula>
    </cfRule>
    <cfRule type="cellIs" dxfId="97" priority="38" operator="equal">
      <formula>$D$8</formula>
    </cfRule>
  </conditionalFormatting>
  <conditionalFormatting sqref="W25">
    <cfRule type="cellIs" dxfId="96" priority="35" operator="equal">
      <formula>$D$9</formula>
    </cfRule>
    <cfRule type="cellIs" dxfId="95" priority="36" operator="equal">
      <formula>$D$8</formula>
    </cfRule>
  </conditionalFormatting>
  <conditionalFormatting sqref="Z11 Z13 Z15 Z19:Z26">
    <cfRule type="cellIs" dxfId="94" priority="33" operator="equal">
      <formula>$D$9</formula>
    </cfRule>
    <cfRule type="cellIs" dxfId="93" priority="34" operator="equal">
      <formula>$D$8</formula>
    </cfRule>
  </conditionalFormatting>
  <conditionalFormatting sqref="Z12:Z13">
    <cfRule type="cellIs" dxfId="92" priority="31" operator="equal">
      <formula>$D$9</formula>
    </cfRule>
    <cfRule type="cellIs" dxfId="91" priority="32" operator="equal">
      <formula>$D$8</formula>
    </cfRule>
  </conditionalFormatting>
  <conditionalFormatting sqref="Z24">
    <cfRule type="cellIs" dxfId="90" priority="29" operator="equal">
      <formula>$D$9</formula>
    </cfRule>
    <cfRule type="cellIs" dxfId="89" priority="30" operator="equal">
      <formula>$D$8</formula>
    </cfRule>
  </conditionalFormatting>
  <conditionalFormatting sqref="Z15:Z16">
    <cfRule type="cellIs" dxfId="88" priority="27" operator="equal">
      <formula>$D$9</formula>
    </cfRule>
    <cfRule type="cellIs" dxfId="87" priority="28" operator="equal">
      <formula>$D$8</formula>
    </cfRule>
  </conditionalFormatting>
  <conditionalFormatting sqref="Z14:Z15">
    <cfRule type="cellIs" dxfId="86" priority="25" operator="equal">
      <formula>$D$9</formula>
    </cfRule>
    <cfRule type="cellIs" dxfId="85" priority="26" operator="equal">
      <formula>$D$8</formula>
    </cfRule>
  </conditionalFormatting>
  <conditionalFormatting sqref="Z26">
    <cfRule type="cellIs" dxfId="84" priority="23" operator="equal">
      <formula>$D$9</formula>
    </cfRule>
    <cfRule type="cellIs" dxfId="83" priority="24" operator="equal">
      <formula>$D$8</formula>
    </cfRule>
  </conditionalFormatting>
  <conditionalFormatting sqref="Z17:Z18">
    <cfRule type="cellIs" dxfId="82" priority="21" operator="equal">
      <formula>$D$9</formula>
    </cfRule>
    <cfRule type="cellIs" dxfId="81" priority="22" operator="equal">
      <formula>$D$8</formula>
    </cfRule>
  </conditionalFormatting>
  <conditionalFormatting sqref="W14">
    <cfRule type="cellIs" dxfId="80" priority="19" operator="equal">
      <formula>$D$9</formula>
    </cfRule>
    <cfRule type="cellIs" dxfId="79" priority="20" operator="equal">
      <formula>$D$8</formula>
    </cfRule>
  </conditionalFormatting>
  <conditionalFormatting sqref="W26">
    <cfRule type="cellIs" dxfId="78" priority="17" operator="equal">
      <formula>$D$9</formula>
    </cfRule>
    <cfRule type="cellIs" dxfId="77" priority="18" operator="equal">
      <formula>$D$8</formula>
    </cfRule>
  </conditionalFormatting>
  <conditionalFormatting sqref="W17:W18">
    <cfRule type="cellIs" dxfId="76" priority="15" operator="equal">
      <formula>$D$9</formula>
    </cfRule>
    <cfRule type="cellIs" dxfId="75" priority="16" operator="equal">
      <formula>$D$8</formula>
    </cfRule>
  </conditionalFormatting>
  <conditionalFormatting sqref="W27">
    <cfRule type="cellIs" dxfId="74" priority="13" operator="equal">
      <formula>$D$9</formula>
    </cfRule>
    <cfRule type="cellIs" dxfId="73" priority="14" operator="equal">
      <formula>$D$8</formula>
    </cfRule>
  </conditionalFormatting>
  <conditionalFormatting sqref="Z14:Z15">
    <cfRule type="cellIs" dxfId="72" priority="11" operator="equal">
      <formula>$D$9</formula>
    </cfRule>
    <cfRule type="cellIs" dxfId="71" priority="12" operator="equal">
      <formula>$D$8</formula>
    </cfRule>
  </conditionalFormatting>
  <conditionalFormatting sqref="Z26">
    <cfRule type="cellIs" dxfId="70" priority="9" operator="equal">
      <formula>$D$9</formula>
    </cfRule>
    <cfRule type="cellIs" dxfId="69" priority="10" operator="equal">
      <formula>$D$8</formula>
    </cfRule>
  </conditionalFormatting>
  <conditionalFormatting sqref="Z17:Z18">
    <cfRule type="cellIs" dxfId="68" priority="7" operator="equal">
      <formula>$D$9</formula>
    </cfRule>
    <cfRule type="cellIs" dxfId="67" priority="8" operator="equal">
      <formula>$D$8</formula>
    </cfRule>
  </conditionalFormatting>
  <conditionalFormatting sqref="Z16:Z17">
    <cfRule type="cellIs" dxfId="66" priority="5" operator="equal">
      <formula>$D$9</formula>
    </cfRule>
    <cfRule type="cellIs" dxfId="65" priority="6" operator="equal">
      <formula>$D$8</formula>
    </cfRule>
  </conditionalFormatting>
  <conditionalFormatting sqref="Z28">
    <cfRule type="cellIs" dxfId="64" priority="3" operator="equal">
      <formula>$D$9</formula>
    </cfRule>
    <cfRule type="cellIs" dxfId="63" priority="4" operator="equal">
      <formula>$D$8</formula>
    </cfRule>
  </conditionalFormatting>
  <conditionalFormatting sqref="Z19:Z20">
    <cfRule type="cellIs" dxfId="62" priority="1" operator="equal">
      <formula>$D$9</formula>
    </cfRule>
    <cfRule type="cellIs" dxfId="61" priority="2" operator="equal">
      <formula>$D$8</formula>
    </cfRule>
  </conditionalFormatting>
  <dataValidations count="1">
    <dataValidation type="list" allowBlank="1" showInputMessage="1" showErrorMessage="1" sqref="B6 B9" xr:uid="{00000000-0002-0000-1200-000000000000}">
      <formula1>"ADULTOS,NEO+PED"</formula1>
    </dataValidation>
  </dataValidations>
  <printOptions horizontalCentered="1" verticalCentered="1"/>
  <pageMargins left="0.31496062992125984" right="0.95" top="0.39" bottom="0.55118110236220474" header="0" footer="0"/>
  <pageSetup scale="80" orientation="landscape" r:id="rId1"/>
  <drawing r:id="rId2"/>
  <legacyDrawing r:id="rId3"/>
  <controls>
    <mc:AlternateContent xmlns:mc="http://schemas.openxmlformats.org/markup-compatibility/2006">
      <mc:Choice Requires="x14">
        <control shapeId="23553" r:id="rId4" name="ComboBox1">
          <controlPr defaultSize="0" autoLine="0" linkedCell="B2" listFillRange="CLIENTES_MAG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28575</xdr:colOff>
                <xdr:row>2</xdr:row>
                <xdr:rowOff>9525</xdr:rowOff>
              </to>
            </anchor>
          </controlPr>
        </control>
      </mc:Choice>
      <mc:Fallback>
        <control shapeId="2355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200-000001000000}">
          <x14:formula1>
            <xm:f>LOTES!$I$4:$I$8</xm:f>
          </x14:formula1>
          <xm:sqref>B7</xm:sqref>
        </x14:dataValidation>
        <x14:dataValidation type="list" allowBlank="1" showInputMessage="1" showErrorMessage="1" xr:uid="{00000000-0002-0000-1200-000002000000}">
          <x14:formula1>
            <xm:f>LOTES!$J$4:$J$8</xm:f>
          </x14:formula1>
          <xm:sqref>B8</xm:sqref>
        </x14:dataValidation>
        <x14:dataValidation type="list" allowBlank="1" showInputMessage="1" showErrorMessage="1" xr:uid="{00000000-0002-0000-1200-000003000000}">
          <x14:formula1>
            <xm:f>LOTES!$H$29:$H$31</xm:f>
          </x14:formula1>
          <xm:sqref>C2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2">
    <pageSetUpPr fitToPage="1"/>
  </sheetPr>
  <dimension ref="A1:S90"/>
  <sheetViews>
    <sheetView view="pageBreakPreview" zoomScale="85" zoomScaleSheetLayoutView="85" workbookViewId="0">
      <selection activeCell="G7" sqref="G7:G70"/>
    </sheetView>
  </sheetViews>
  <sheetFormatPr defaultColWidth="11.42578125" defaultRowHeight="15.75" customHeight="1"/>
  <cols>
    <col min="1" max="1" width="23.7109375" style="122" customWidth="1"/>
    <col min="2" max="2" width="24.85546875" style="122" customWidth="1"/>
    <col min="3" max="3" width="15.85546875" style="122" customWidth="1"/>
    <col min="4" max="4" width="6.85546875" style="122" customWidth="1"/>
    <col min="5" max="5" width="11.85546875" style="122" customWidth="1"/>
    <col min="6" max="6" width="16.85546875" style="122" customWidth="1"/>
    <col min="7" max="7" width="13.85546875" style="122" customWidth="1"/>
    <col min="8" max="8" width="31.5703125" style="122" bestFit="1" customWidth="1"/>
    <col min="9" max="9" width="16.28515625" style="122" customWidth="1"/>
    <col min="10" max="11" width="15.7109375" style="122" customWidth="1"/>
    <col min="12" max="12" width="0.140625" style="122" customWidth="1"/>
    <col min="13" max="13" width="0.28515625" style="122" customWidth="1"/>
    <col min="14" max="14" width="9.5703125" style="122" customWidth="1"/>
    <col min="15" max="15" width="3.85546875" style="122" customWidth="1"/>
    <col min="16" max="16" width="3.7109375" style="122" customWidth="1"/>
    <col min="17" max="17" width="11.42578125" style="121" hidden="1" customWidth="1"/>
    <col min="18" max="18" width="12.28515625" style="122" bestFit="1" customWidth="1"/>
    <col min="19" max="19" width="13" style="122" customWidth="1"/>
    <col min="20" max="16384" width="11.42578125" style="122"/>
  </cols>
  <sheetData>
    <row r="1" spans="1:19" ht="15.75" customHeight="1" thickBot="1">
      <c r="R1" s="122" t="e">
        <f>VLOOKUP('FORMATO DIL_MAG'!B2,'FORMATO DIL_MAG'!W:AA,5,FALSE)</f>
        <v>#N/A</v>
      </c>
    </row>
    <row r="2" spans="1:19" ht="60" customHeight="1" thickBot="1">
      <c r="A2" s="519"/>
      <c r="B2" s="519"/>
      <c r="C2" s="875" t="str">
        <f>"ORDEN DE DESPACHO/REMISION No: "&amp;A7&amp;IF(RIGHT(J3,3)=RIGHT('FORMATO DIL_MAG'!J4,3),"","-"&amp;RIGHT('FORMATO DIL_MAG'!J4,3))</f>
        <v>ORDEN DE DESPACHO/REMISION No: 0</v>
      </c>
      <c r="D2" s="875"/>
      <c r="E2" s="875"/>
      <c r="F2" s="875"/>
      <c r="G2" s="875"/>
      <c r="H2" s="875"/>
      <c r="I2" s="876"/>
      <c r="J2" s="877" t="str">
        <f>CONCATENATE("*",J3,"*")</f>
        <v>*0*</v>
      </c>
      <c r="K2" s="878"/>
      <c r="L2" s="520"/>
      <c r="M2" s="520"/>
      <c r="N2" s="879" t="s">
        <v>430</v>
      </c>
      <c r="O2" s="880"/>
      <c r="P2" s="881"/>
      <c r="R2" s="122" t="e">
        <f ca="1">"FR CC 016 "&amp;VLOOKUP('FORMATO DIL_MAG'!B2,'FORMATO DIL_MAG'!W:Z,4,FALSE)&amp;" "&amp;TEXT(C3,"DDMMYY")&amp;"-"&amp;'FORMATO DIL_MAG'!AN7</f>
        <v>#N/A</v>
      </c>
    </row>
    <row r="3" spans="1:19" ht="26.1" customHeight="1" thickBot="1">
      <c r="A3" s="519"/>
      <c r="B3" s="521" t="s">
        <v>454</v>
      </c>
      <c r="C3" s="522">
        <f ca="1">'FORMATO DIL_MAG'!B5</f>
        <v>44777</v>
      </c>
      <c r="D3" s="882" t="s">
        <v>431</v>
      </c>
      <c r="E3" s="883"/>
      <c r="F3" s="523" t="str">
        <f ca="1">'FORMATO DIL_MAG'!B3</f>
        <v>12:03:43</v>
      </c>
      <c r="G3" s="521" t="s">
        <v>457</v>
      </c>
      <c r="H3" s="524" t="s">
        <v>1017</v>
      </c>
      <c r="I3" s="525" t="s">
        <v>432</v>
      </c>
      <c r="J3" s="884" t="str">
        <f>MID(A7,1,5)</f>
        <v>0</v>
      </c>
      <c r="K3" s="885"/>
      <c r="L3" s="526"/>
      <c r="M3" s="526"/>
      <c r="N3" s="886" t="s">
        <v>434</v>
      </c>
      <c r="O3" s="887"/>
      <c r="P3" s="888"/>
    </row>
    <row r="4" spans="1:19" ht="21.95" customHeight="1" thickBot="1">
      <c r="A4" s="527"/>
      <c r="B4" s="528" t="s">
        <v>433</v>
      </c>
      <c r="C4" s="867">
        <f>'FORMATO DIL_MAG'!B2</f>
        <v>0</v>
      </c>
      <c r="D4" s="868"/>
      <c r="E4" s="868"/>
      <c r="F4" s="869"/>
      <c r="G4" s="528" t="s">
        <v>458</v>
      </c>
      <c r="H4" s="529"/>
      <c r="I4" s="530"/>
      <c r="J4" s="530"/>
      <c r="K4" s="531"/>
      <c r="L4" s="530"/>
      <c r="M4" s="530"/>
      <c r="N4" s="760" t="str">
        <f>'FORMATO DIL_MAG'!C2</f>
        <v>NORMAL</v>
      </c>
      <c r="O4" s="761"/>
      <c r="P4" s="762"/>
    </row>
    <row r="6" spans="1:19" ht="37.5" customHeight="1">
      <c r="A6" s="123" t="s">
        <v>2</v>
      </c>
      <c r="B6" s="124" t="s">
        <v>3</v>
      </c>
      <c r="C6" s="125" t="s">
        <v>14</v>
      </c>
      <c r="D6" s="124" t="s">
        <v>194</v>
      </c>
      <c r="E6" s="125" t="s">
        <v>5</v>
      </c>
      <c r="F6" s="125" t="s">
        <v>97</v>
      </c>
      <c r="G6" s="126" t="s">
        <v>4</v>
      </c>
      <c r="H6" s="126" t="s">
        <v>6</v>
      </c>
      <c r="I6" s="126" t="s">
        <v>7</v>
      </c>
      <c r="J6" s="123" t="s">
        <v>8</v>
      </c>
      <c r="K6" s="123" t="s">
        <v>273</v>
      </c>
      <c r="L6" s="126" t="s">
        <v>508</v>
      </c>
      <c r="M6" s="204" t="s">
        <v>261</v>
      </c>
      <c r="N6" s="123" t="s">
        <v>455</v>
      </c>
      <c r="O6" s="126" t="s">
        <v>9</v>
      </c>
      <c r="P6" s="126" t="s">
        <v>10</v>
      </c>
      <c r="R6" s="126"/>
      <c r="S6" s="204"/>
    </row>
    <row r="7" spans="1:19" ht="13.5" customHeight="1">
      <c r="A7" s="127">
        <f>'FORMATO DIL_MAG'!A12</f>
        <v>0</v>
      </c>
      <c r="B7" s="202">
        <f>'FORMATO DIL_MAG'!B12</f>
        <v>0</v>
      </c>
      <c r="C7" s="128" t="str">
        <f>IF('FORMATO DIL_MAG'!C12="","'-'",'FORMATO DIL_MAG'!C12)</f>
        <v>'-'</v>
      </c>
      <c r="D7" s="128" t="str">
        <f>IF('FORMATO DIL_MAG'!D12="","'-'",'FORMATO DIL_MAG'!D12)</f>
        <v>'-'</v>
      </c>
      <c r="E7" s="128" t="str">
        <f>IF('FORMATO DIL_MAG'!E12="","'-'",'FORMATO DIL_MAG'!E12)</f>
        <v>'-'</v>
      </c>
      <c r="F7" s="128" t="str">
        <f>IF('FORMATO DIL_MAG'!F12="","'-'",'FORMATO DIL_MAG'!F12)</f>
        <v>'-'</v>
      </c>
      <c r="G7" s="128" t="str">
        <f>'FORMATO DIL_MAG'!$G$6</f>
        <v>SERVICIO</v>
      </c>
      <c r="H7" s="130">
        <f>'FORMATO DIL_MAG'!H12</f>
        <v>0</v>
      </c>
      <c r="I7" s="131" t="s">
        <v>1018</v>
      </c>
      <c r="J7" s="128">
        <f>'FORMATO DIL_MAG'!Q12</f>
        <v>0</v>
      </c>
      <c r="K7" s="128">
        <f>'FORMATO DIL_MAG'!J12</f>
        <v>0</v>
      </c>
      <c r="L7" s="128" t="e">
        <f>+#REF!</f>
        <v>#REF!</v>
      </c>
      <c r="M7" s="128" t="e">
        <f>+#REF!</f>
        <v>#REF!</v>
      </c>
      <c r="N7" s="128"/>
      <c r="O7" s="132"/>
      <c r="P7" s="131"/>
      <c r="Q7" s="121">
        <f>IFERROR(VALUE(MID(A7,6,5)),0)</f>
        <v>0</v>
      </c>
      <c r="R7" s="128"/>
      <c r="S7" s="128"/>
    </row>
    <row r="8" spans="1:19" ht="13.5" customHeight="1">
      <c r="A8" s="127" t="str">
        <f>'FORMATO DIL_MAG'!A13</f>
        <v/>
      </c>
      <c r="B8" s="202">
        <f>'FORMATO DIL_MAG'!B13</f>
        <v>0</v>
      </c>
      <c r="C8" s="128" t="str">
        <f>IF('FORMATO DIL_MAG'!C13="","'-'",'FORMATO DIL_MAG'!C13)</f>
        <v>'-'</v>
      </c>
      <c r="D8" s="128" t="str">
        <f>IF('FORMATO DIL_MAG'!D13="","'-'",'FORMATO DIL_MAG'!D13)</f>
        <v>'-'</v>
      </c>
      <c r="E8" s="128" t="str">
        <f>IF('FORMATO DIL_MAG'!E13="","'-'",'FORMATO DIL_MAG'!E13)</f>
        <v>'-'</v>
      </c>
      <c r="F8" s="128" t="str">
        <f>IF('FORMATO DIL_MAG'!F13="","'-'",'FORMATO DIL_MAG'!F13)</f>
        <v>'-'</v>
      </c>
      <c r="G8" s="128" t="str">
        <f>'FORMATO DIL_MAG'!$G$6</f>
        <v>SERVICIO</v>
      </c>
      <c r="H8" s="130">
        <f>'FORMATO DIL_MAG'!H13</f>
        <v>0</v>
      </c>
      <c r="I8" s="131" t="s">
        <v>1018</v>
      </c>
      <c r="J8" s="128">
        <f>'FORMATO DIL_MAG'!Q13</f>
        <v>0</v>
      </c>
      <c r="K8" s="128">
        <f>'FORMATO DIL_MAG'!J13</f>
        <v>0</v>
      </c>
      <c r="L8" s="128" t="e">
        <f>+#REF!</f>
        <v>#REF!</v>
      </c>
      <c r="M8" s="128" t="e">
        <f>+#REF!</f>
        <v>#REF!</v>
      </c>
      <c r="N8" s="128"/>
      <c r="O8" s="132"/>
      <c r="P8" s="131"/>
      <c r="Q8" s="121">
        <f t="shared" ref="Q8:Q70" si="0">IFERROR(VALUE(MID(A8,6,5)),0)</f>
        <v>0</v>
      </c>
      <c r="R8" s="128"/>
      <c r="S8" s="128"/>
    </row>
    <row r="9" spans="1:19" ht="13.5" customHeight="1">
      <c r="A9" s="127" t="str">
        <f>'FORMATO DIL_MAG'!A14</f>
        <v/>
      </c>
      <c r="B9" s="202">
        <f>'FORMATO DIL_MAG'!B14</f>
        <v>0</v>
      </c>
      <c r="C9" s="128" t="str">
        <f>IF('FORMATO DIL_MAG'!C14="","'-'",'FORMATO DIL_MAG'!C14)</f>
        <v>'-'</v>
      </c>
      <c r="D9" s="128" t="str">
        <f>IF('FORMATO DIL_MAG'!D14="","'-'",'FORMATO DIL_MAG'!D14)</f>
        <v>'-'</v>
      </c>
      <c r="E9" s="128" t="str">
        <f>IF('FORMATO DIL_MAG'!E14="","'-'",'FORMATO DIL_MAG'!E14)</f>
        <v>'-'</v>
      </c>
      <c r="F9" s="128" t="str">
        <f>IF('FORMATO DIL_MAG'!F14="","'-'",'FORMATO DIL_MAG'!F14)</f>
        <v>'-'</v>
      </c>
      <c r="G9" s="128" t="str">
        <f>'FORMATO DIL_MAG'!$G$6</f>
        <v>SERVICIO</v>
      </c>
      <c r="H9" s="130">
        <f>'FORMATO DIL_MAG'!H14</f>
        <v>0</v>
      </c>
      <c r="I9" s="131" t="s">
        <v>1018</v>
      </c>
      <c r="J9" s="128">
        <f>'FORMATO DIL_MAG'!Q14</f>
        <v>0</v>
      </c>
      <c r="K9" s="128">
        <f>'FORMATO DIL_MAG'!J14</f>
        <v>0</v>
      </c>
      <c r="L9" s="128" t="e">
        <f>+#REF!</f>
        <v>#REF!</v>
      </c>
      <c r="M9" s="128" t="e">
        <f>+#REF!</f>
        <v>#REF!</v>
      </c>
      <c r="N9" s="128"/>
      <c r="O9" s="132"/>
      <c r="P9" s="131"/>
      <c r="Q9" s="121">
        <f t="shared" si="0"/>
        <v>0</v>
      </c>
      <c r="R9" s="128"/>
      <c r="S9" s="128"/>
    </row>
    <row r="10" spans="1:19" ht="13.5" customHeight="1">
      <c r="A10" s="127" t="str">
        <f>'FORMATO DIL_MAG'!A15</f>
        <v/>
      </c>
      <c r="B10" s="202">
        <f>'FORMATO DIL_MAG'!B15</f>
        <v>0</v>
      </c>
      <c r="C10" s="128" t="str">
        <f>IF('FORMATO DIL_MAG'!C15="","'-'",'FORMATO DIL_MAG'!C15)</f>
        <v>'-'</v>
      </c>
      <c r="D10" s="128" t="str">
        <f>IF('FORMATO DIL_MAG'!D15="","'-'",'FORMATO DIL_MAG'!D15)</f>
        <v>'-'</v>
      </c>
      <c r="E10" s="128" t="str">
        <f>IF('FORMATO DIL_MAG'!E15="","'-'",'FORMATO DIL_MAG'!E15)</f>
        <v>'-'</v>
      </c>
      <c r="F10" s="128" t="str">
        <f>IF('FORMATO DIL_MAG'!F15="","'-'",'FORMATO DIL_MAG'!F15)</f>
        <v>'-'</v>
      </c>
      <c r="G10" s="128" t="str">
        <f>'FORMATO DIL_MAG'!$G$6</f>
        <v>SERVICIO</v>
      </c>
      <c r="H10" s="130">
        <f>'FORMATO DIL_MAG'!H15</f>
        <v>0</v>
      </c>
      <c r="I10" s="131" t="s">
        <v>1018</v>
      </c>
      <c r="J10" s="128">
        <f>'FORMATO DIL_MAG'!Q15</f>
        <v>0</v>
      </c>
      <c r="K10" s="128">
        <f>'FORMATO DIL_MAG'!J15</f>
        <v>0</v>
      </c>
      <c r="L10" s="128" t="e">
        <f>+#REF!</f>
        <v>#REF!</v>
      </c>
      <c r="M10" s="128" t="e">
        <f>+#REF!</f>
        <v>#REF!</v>
      </c>
      <c r="N10" s="128"/>
      <c r="O10" s="132"/>
      <c r="P10" s="131"/>
      <c r="Q10" s="121">
        <f t="shared" si="0"/>
        <v>0</v>
      </c>
      <c r="R10" s="128"/>
      <c r="S10" s="128"/>
    </row>
    <row r="11" spans="1:19" ht="13.5" customHeight="1">
      <c r="A11" s="127" t="str">
        <f>'FORMATO DIL_MAG'!A16</f>
        <v/>
      </c>
      <c r="B11" s="202">
        <f>'FORMATO DIL_MAG'!B16</f>
        <v>0</v>
      </c>
      <c r="C11" s="128" t="str">
        <f>IF('FORMATO DIL_MAG'!C16="","'-'",'FORMATO DIL_MAG'!C16)</f>
        <v>'-'</v>
      </c>
      <c r="D11" s="128" t="str">
        <f>IF('FORMATO DIL_MAG'!D16="","'-'",'FORMATO DIL_MAG'!D16)</f>
        <v>'-'</v>
      </c>
      <c r="E11" s="128" t="str">
        <f>IF('FORMATO DIL_MAG'!E16="","'-'",'FORMATO DIL_MAG'!E16)</f>
        <v>'-'</v>
      </c>
      <c r="F11" s="128" t="str">
        <f>IF('FORMATO DIL_MAG'!F16="","'-'",'FORMATO DIL_MAG'!F16)</f>
        <v>'-'</v>
      </c>
      <c r="G11" s="128" t="str">
        <f>'FORMATO DIL_MAG'!$G$6</f>
        <v>SERVICIO</v>
      </c>
      <c r="H11" s="130">
        <f>'FORMATO DIL_MAG'!H16</f>
        <v>0</v>
      </c>
      <c r="I11" s="131" t="s">
        <v>1018</v>
      </c>
      <c r="J11" s="128">
        <f>'FORMATO DIL_MAG'!Q16</f>
        <v>0</v>
      </c>
      <c r="K11" s="128">
        <f>'FORMATO DIL_MAG'!J16</f>
        <v>0</v>
      </c>
      <c r="L11" s="128" t="e">
        <f>+#REF!</f>
        <v>#REF!</v>
      </c>
      <c r="M11" s="128" t="e">
        <f>+#REF!</f>
        <v>#REF!</v>
      </c>
      <c r="N11" s="128"/>
      <c r="O11" s="132"/>
      <c r="P11" s="131"/>
      <c r="Q11" s="121">
        <f t="shared" si="0"/>
        <v>0</v>
      </c>
      <c r="R11" s="128"/>
      <c r="S11" s="128"/>
    </row>
    <row r="12" spans="1:19" ht="13.5" customHeight="1">
      <c r="A12" s="127" t="str">
        <f>'FORMATO DIL_MAG'!A17</f>
        <v/>
      </c>
      <c r="B12" s="202">
        <f>'FORMATO DIL_MAG'!B17</f>
        <v>0</v>
      </c>
      <c r="C12" s="128" t="str">
        <f>IF('FORMATO DIL_MAG'!C17="","'-'",'FORMATO DIL_MAG'!C17)</f>
        <v>'-'</v>
      </c>
      <c r="D12" s="128" t="str">
        <f>IF('FORMATO DIL_MAG'!D17="","'-'",'FORMATO DIL_MAG'!D17)</f>
        <v>'-'</v>
      </c>
      <c r="E12" s="128" t="str">
        <f>IF('FORMATO DIL_MAG'!E17="","'-'",'FORMATO DIL_MAG'!E17)</f>
        <v>'-'</v>
      </c>
      <c r="F12" s="128" t="str">
        <f>IF('FORMATO DIL_MAG'!F17="","'-'",'FORMATO DIL_MAG'!F17)</f>
        <v>'-'</v>
      </c>
      <c r="G12" s="128" t="str">
        <f>'FORMATO DIL_MAG'!$G$6</f>
        <v>SERVICIO</v>
      </c>
      <c r="H12" s="130">
        <f>'FORMATO DIL_MAG'!H17</f>
        <v>0</v>
      </c>
      <c r="I12" s="131" t="s">
        <v>1018</v>
      </c>
      <c r="J12" s="128">
        <f>'FORMATO DIL_MAG'!Q17</f>
        <v>0</v>
      </c>
      <c r="K12" s="128">
        <f>'FORMATO DIL_MAG'!J17</f>
        <v>0</v>
      </c>
      <c r="L12" s="128" t="e">
        <f>+#REF!</f>
        <v>#REF!</v>
      </c>
      <c r="M12" s="128" t="e">
        <f>+#REF!</f>
        <v>#REF!</v>
      </c>
      <c r="N12" s="128"/>
      <c r="O12" s="132"/>
      <c r="P12" s="131"/>
      <c r="Q12" s="121">
        <f t="shared" si="0"/>
        <v>0</v>
      </c>
      <c r="R12" s="128"/>
      <c r="S12" s="128"/>
    </row>
    <row r="13" spans="1:19" ht="13.5" customHeight="1">
      <c r="A13" s="127" t="str">
        <f>'FORMATO DIL_MAG'!A18</f>
        <v/>
      </c>
      <c r="B13" s="202">
        <f>'FORMATO DIL_MAG'!B18</f>
        <v>0</v>
      </c>
      <c r="C13" s="128" t="str">
        <f>IF('FORMATO DIL_MAG'!C18="","'-'",'FORMATO DIL_MAG'!C18)</f>
        <v>'-'</v>
      </c>
      <c r="D13" s="128" t="str">
        <f>IF('FORMATO DIL_MAG'!D18="","'-'",'FORMATO DIL_MAG'!D18)</f>
        <v>'-'</v>
      </c>
      <c r="E13" s="128" t="str">
        <f>IF('FORMATO DIL_MAG'!E18="","'-'",'FORMATO DIL_MAG'!E18)</f>
        <v>'-'</v>
      </c>
      <c r="F13" s="128" t="str">
        <f>IF('FORMATO DIL_MAG'!F18="","'-'",'FORMATO DIL_MAG'!F18)</f>
        <v>'-'</v>
      </c>
      <c r="G13" s="128" t="str">
        <f>'FORMATO DIL_MAG'!$G$6</f>
        <v>SERVICIO</v>
      </c>
      <c r="H13" s="130">
        <f>'FORMATO DIL_MAG'!H18</f>
        <v>0</v>
      </c>
      <c r="I13" s="131" t="s">
        <v>1018</v>
      </c>
      <c r="J13" s="128">
        <f>'FORMATO DIL_MAG'!Q18</f>
        <v>0</v>
      </c>
      <c r="K13" s="128">
        <f>'FORMATO DIL_MAG'!J18</f>
        <v>0</v>
      </c>
      <c r="L13" s="128" t="e">
        <f>+#REF!</f>
        <v>#REF!</v>
      </c>
      <c r="M13" s="128" t="e">
        <f>+#REF!</f>
        <v>#REF!</v>
      </c>
      <c r="N13" s="128"/>
      <c r="O13" s="132"/>
      <c r="P13" s="131"/>
      <c r="Q13" s="121">
        <f t="shared" si="0"/>
        <v>0</v>
      </c>
      <c r="R13" s="128"/>
      <c r="S13" s="128"/>
    </row>
    <row r="14" spans="1:19" ht="13.5" customHeight="1">
      <c r="A14" s="127" t="str">
        <f>'FORMATO DIL_MAG'!A19</f>
        <v/>
      </c>
      <c r="B14" s="202">
        <f>'FORMATO DIL_MAG'!B19</f>
        <v>0</v>
      </c>
      <c r="C14" s="128" t="str">
        <f>IF('FORMATO DIL_MAG'!C19="","'-'",'FORMATO DIL_MAG'!C19)</f>
        <v>'-'</v>
      </c>
      <c r="D14" s="128" t="str">
        <f>IF('FORMATO DIL_MAG'!D19="","'-'",'FORMATO DIL_MAG'!D19)</f>
        <v>'-'</v>
      </c>
      <c r="E14" s="128" t="str">
        <f>IF('FORMATO DIL_MAG'!E19="","'-'",'FORMATO DIL_MAG'!E19)</f>
        <v>'-'</v>
      </c>
      <c r="F14" s="128" t="str">
        <f>IF('FORMATO DIL_MAG'!F19="","'-'",'FORMATO DIL_MAG'!F19)</f>
        <v>'-'</v>
      </c>
      <c r="G14" s="128" t="str">
        <f>'FORMATO DIL_MAG'!$G$6</f>
        <v>SERVICIO</v>
      </c>
      <c r="H14" s="130">
        <f>'FORMATO DIL_MAG'!H19</f>
        <v>0</v>
      </c>
      <c r="I14" s="131" t="s">
        <v>1018</v>
      </c>
      <c r="J14" s="128">
        <f>'FORMATO DIL_MAG'!Q19</f>
        <v>0</v>
      </c>
      <c r="K14" s="128">
        <f>'FORMATO DIL_MAG'!J19</f>
        <v>0</v>
      </c>
      <c r="L14" s="128" t="e">
        <f>+#REF!</f>
        <v>#REF!</v>
      </c>
      <c r="M14" s="128" t="e">
        <f>+#REF!</f>
        <v>#REF!</v>
      </c>
      <c r="N14" s="128"/>
      <c r="O14" s="132"/>
      <c r="P14" s="131"/>
      <c r="Q14" s="121">
        <f t="shared" si="0"/>
        <v>0</v>
      </c>
      <c r="R14" s="128"/>
      <c r="S14" s="128"/>
    </row>
    <row r="15" spans="1:19" ht="13.5" customHeight="1">
      <c r="A15" s="127" t="str">
        <f>'FORMATO DIL_MAG'!A20</f>
        <v/>
      </c>
      <c r="B15" s="202">
        <f>'FORMATO DIL_MAG'!B20</f>
        <v>0</v>
      </c>
      <c r="C15" s="128" t="str">
        <f>IF('FORMATO DIL_MAG'!C20="","'-'",'FORMATO DIL_MAG'!C20)</f>
        <v>'-'</v>
      </c>
      <c r="D15" s="128" t="str">
        <f>IF('FORMATO DIL_MAG'!D20="","'-'",'FORMATO DIL_MAG'!D20)</f>
        <v>'-'</v>
      </c>
      <c r="E15" s="128" t="str">
        <f>IF('FORMATO DIL_MAG'!E20="","'-'",'FORMATO DIL_MAG'!E20)</f>
        <v>'-'</v>
      </c>
      <c r="F15" s="128" t="str">
        <f>IF('FORMATO DIL_MAG'!F20="","'-'",'FORMATO DIL_MAG'!F20)</f>
        <v>'-'</v>
      </c>
      <c r="G15" s="128" t="str">
        <f>'FORMATO DIL_MAG'!$G$6</f>
        <v>SERVICIO</v>
      </c>
      <c r="H15" s="130">
        <f>'FORMATO DIL_MAG'!H20</f>
        <v>0</v>
      </c>
      <c r="I15" s="131" t="s">
        <v>1018</v>
      </c>
      <c r="J15" s="128">
        <f>'FORMATO DIL_MAG'!Q20</f>
        <v>0</v>
      </c>
      <c r="K15" s="128">
        <f>'FORMATO DIL_MAG'!J20</f>
        <v>0</v>
      </c>
      <c r="L15" s="128" t="e">
        <f>+#REF!</f>
        <v>#REF!</v>
      </c>
      <c r="M15" s="128" t="e">
        <f>+#REF!</f>
        <v>#REF!</v>
      </c>
      <c r="N15" s="128"/>
      <c r="O15" s="132"/>
      <c r="P15" s="131"/>
      <c r="Q15" s="121">
        <f t="shared" si="0"/>
        <v>0</v>
      </c>
      <c r="R15" s="128"/>
      <c r="S15" s="128"/>
    </row>
    <row r="16" spans="1:19" ht="13.5" customHeight="1">
      <c r="A16" s="127" t="str">
        <f>'FORMATO DIL_MAG'!A21</f>
        <v/>
      </c>
      <c r="B16" s="202">
        <f>'FORMATO DIL_MAG'!B21</f>
        <v>0</v>
      </c>
      <c r="C16" s="128" t="str">
        <f>IF('FORMATO DIL_MAG'!C21="","'-'",'FORMATO DIL_MAG'!C21)</f>
        <v>'-'</v>
      </c>
      <c r="D16" s="128" t="str">
        <f>IF('FORMATO DIL_MAG'!D21="","'-'",'FORMATO DIL_MAG'!D21)</f>
        <v>'-'</v>
      </c>
      <c r="E16" s="128" t="str">
        <f>IF('FORMATO DIL_MAG'!E21="","'-'",'FORMATO DIL_MAG'!E21)</f>
        <v>'-'</v>
      </c>
      <c r="F16" s="128" t="str">
        <f>IF('FORMATO DIL_MAG'!F21="","'-'",'FORMATO DIL_MAG'!F21)</f>
        <v>'-'</v>
      </c>
      <c r="G16" s="128" t="str">
        <f>'FORMATO DIL_MAG'!$G$6</f>
        <v>SERVICIO</v>
      </c>
      <c r="H16" s="130">
        <f>'FORMATO DIL_MAG'!H21</f>
        <v>0</v>
      </c>
      <c r="I16" s="131" t="s">
        <v>1018</v>
      </c>
      <c r="J16" s="128">
        <f>'FORMATO DIL_MAG'!Q21</f>
        <v>0</v>
      </c>
      <c r="K16" s="128">
        <f>'FORMATO DIL_MAG'!J21</f>
        <v>0</v>
      </c>
      <c r="L16" s="128" t="e">
        <f>+#REF!</f>
        <v>#REF!</v>
      </c>
      <c r="M16" s="128" t="e">
        <f>+#REF!</f>
        <v>#REF!</v>
      </c>
      <c r="N16" s="128"/>
      <c r="O16" s="132"/>
      <c r="P16" s="131"/>
      <c r="Q16" s="121">
        <f t="shared" si="0"/>
        <v>0</v>
      </c>
      <c r="R16" s="128"/>
      <c r="S16" s="128"/>
    </row>
    <row r="17" spans="1:19" ht="13.5" customHeight="1">
      <c r="A17" s="127" t="str">
        <f>'FORMATO DIL_MAG'!A22</f>
        <v/>
      </c>
      <c r="B17" s="202">
        <f>'FORMATO DIL_MAG'!B22</f>
        <v>0</v>
      </c>
      <c r="C17" s="128" t="str">
        <f>IF('FORMATO DIL_MAG'!C22="","'-'",'FORMATO DIL_MAG'!C22)</f>
        <v>'-'</v>
      </c>
      <c r="D17" s="128" t="str">
        <f>IF('FORMATO DIL_MAG'!D22="","'-'",'FORMATO DIL_MAG'!D22)</f>
        <v>'-'</v>
      </c>
      <c r="E17" s="128" t="str">
        <f>IF('FORMATO DIL_MAG'!E22="","'-'",'FORMATO DIL_MAG'!E22)</f>
        <v>'-'</v>
      </c>
      <c r="F17" s="128" t="str">
        <f>IF('FORMATO DIL_MAG'!F22="","'-'",'FORMATO DIL_MAG'!F22)</f>
        <v>'-'</v>
      </c>
      <c r="G17" s="128" t="str">
        <f>'FORMATO DIL_MAG'!$G$6</f>
        <v>SERVICIO</v>
      </c>
      <c r="H17" s="130">
        <f>'FORMATO DIL_MAG'!H22</f>
        <v>0</v>
      </c>
      <c r="I17" s="131" t="s">
        <v>1018</v>
      </c>
      <c r="J17" s="128">
        <f>'FORMATO DIL_MAG'!Q22</f>
        <v>0</v>
      </c>
      <c r="K17" s="128">
        <f>'FORMATO DIL_MAG'!J22</f>
        <v>0</v>
      </c>
      <c r="L17" s="128" t="e">
        <f>+#REF!</f>
        <v>#REF!</v>
      </c>
      <c r="M17" s="128" t="e">
        <f>+#REF!</f>
        <v>#REF!</v>
      </c>
      <c r="N17" s="128"/>
      <c r="O17" s="132"/>
      <c r="P17" s="131"/>
      <c r="Q17" s="121">
        <f t="shared" si="0"/>
        <v>0</v>
      </c>
      <c r="R17" s="128"/>
      <c r="S17" s="128"/>
    </row>
    <row r="18" spans="1:19" ht="13.5" customHeight="1">
      <c r="A18" s="127" t="str">
        <f>'FORMATO DIL_MAG'!A23</f>
        <v/>
      </c>
      <c r="B18" s="202">
        <f>'FORMATO DIL_MAG'!B23</f>
        <v>0</v>
      </c>
      <c r="C18" s="128" t="str">
        <f>IF('FORMATO DIL_MAG'!C23="","'-'",'FORMATO DIL_MAG'!C23)</f>
        <v>'-'</v>
      </c>
      <c r="D18" s="128" t="str">
        <f>IF('FORMATO DIL_MAG'!D23="","'-'",'FORMATO DIL_MAG'!D23)</f>
        <v>'-'</v>
      </c>
      <c r="E18" s="128" t="str">
        <f>IF('FORMATO DIL_MAG'!E23="","'-'",'FORMATO DIL_MAG'!E23)</f>
        <v>'-'</v>
      </c>
      <c r="F18" s="128" t="str">
        <f>IF('FORMATO DIL_MAG'!F23="","'-'",'FORMATO DIL_MAG'!F23)</f>
        <v>'-'</v>
      </c>
      <c r="G18" s="128" t="str">
        <f>'FORMATO DIL_MAG'!$G$6</f>
        <v>SERVICIO</v>
      </c>
      <c r="H18" s="130">
        <f>'FORMATO DIL_MAG'!H23</f>
        <v>0</v>
      </c>
      <c r="I18" s="131" t="s">
        <v>1018</v>
      </c>
      <c r="J18" s="128">
        <f>'FORMATO DIL_MAG'!Q23</f>
        <v>0</v>
      </c>
      <c r="K18" s="128">
        <f>'FORMATO DIL_MAG'!J23</f>
        <v>0</v>
      </c>
      <c r="L18" s="128" t="e">
        <f>+#REF!</f>
        <v>#REF!</v>
      </c>
      <c r="M18" s="128" t="e">
        <f>+#REF!</f>
        <v>#REF!</v>
      </c>
      <c r="N18" s="128"/>
      <c r="O18" s="132"/>
      <c r="P18" s="131"/>
      <c r="Q18" s="121">
        <f t="shared" si="0"/>
        <v>0</v>
      </c>
      <c r="R18" s="128"/>
      <c r="S18" s="128"/>
    </row>
    <row r="19" spans="1:19" ht="13.5" customHeight="1">
      <c r="A19" s="127" t="str">
        <f>'FORMATO DIL_MAG'!A24</f>
        <v/>
      </c>
      <c r="B19" s="202">
        <f>'FORMATO DIL_MAG'!B24</f>
        <v>0</v>
      </c>
      <c r="C19" s="128" t="str">
        <f>IF('FORMATO DIL_MAG'!C24="","'-'",'FORMATO DIL_MAG'!C24)</f>
        <v>'-'</v>
      </c>
      <c r="D19" s="128" t="str">
        <f>IF('FORMATO DIL_MAG'!D24="","'-'",'FORMATO DIL_MAG'!D24)</f>
        <v>'-'</v>
      </c>
      <c r="E19" s="128" t="str">
        <f>IF('FORMATO DIL_MAG'!E24="","'-'",'FORMATO DIL_MAG'!E24)</f>
        <v>'-'</v>
      </c>
      <c r="F19" s="128" t="str">
        <f>IF('FORMATO DIL_MAG'!F24="","'-'",'FORMATO DIL_MAG'!F24)</f>
        <v>'-'</v>
      </c>
      <c r="G19" s="128" t="str">
        <f>'FORMATO DIL_MAG'!$G$6</f>
        <v>SERVICIO</v>
      </c>
      <c r="H19" s="130">
        <f>'FORMATO DIL_MAG'!H24</f>
        <v>0</v>
      </c>
      <c r="I19" s="131" t="s">
        <v>1018</v>
      </c>
      <c r="J19" s="128">
        <f>'FORMATO DIL_MAG'!Q24</f>
        <v>0</v>
      </c>
      <c r="K19" s="128">
        <f>'FORMATO DIL_MAG'!J24</f>
        <v>0</v>
      </c>
      <c r="L19" s="128" t="e">
        <f>+#REF!</f>
        <v>#REF!</v>
      </c>
      <c r="M19" s="128" t="e">
        <f>+#REF!</f>
        <v>#REF!</v>
      </c>
      <c r="N19" s="128"/>
      <c r="O19" s="132"/>
      <c r="P19" s="131"/>
      <c r="Q19" s="121">
        <f t="shared" si="0"/>
        <v>0</v>
      </c>
      <c r="R19" s="128"/>
      <c r="S19" s="128"/>
    </row>
    <row r="20" spans="1:19" ht="13.5" customHeight="1">
      <c r="A20" s="127" t="str">
        <f>'FORMATO DIL_MAG'!A25</f>
        <v/>
      </c>
      <c r="B20" s="202">
        <f>'FORMATO DIL_MAG'!B25</f>
        <v>0</v>
      </c>
      <c r="C20" s="128" t="str">
        <f>IF('FORMATO DIL_MAG'!C25="","'-'",'FORMATO DIL_MAG'!C25)</f>
        <v>'-'</v>
      </c>
      <c r="D20" s="128" t="str">
        <f>IF('FORMATO DIL_MAG'!D25="","'-'",'FORMATO DIL_MAG'!D25)</f>
        <v>'-'</v>
      </c>
      <c r="E20" s="128" t="str">
        <f>IF('FORMATO DIL_MAG'!E25="","'-'",'FORMATO DIL_MAG'!E25)</f>
        <v>'-'</v>
      </c>
      <c r="F20" s="128" t="str">
        <f>IF('FORMATO DIL_MAG'!F25="","'-'",'FORMATO DIL_MAG'!F25)</f>
        <v>'-'</v>
      </c>
      <c r="G20" s="128" t="str">
        <f>'FORMATO DIL_MAG'!$G$6</f>
        <v>SERVICIO</v>
      </c>
      <c r="H20" s="130">
        <f>'FORMATO DIL_MAG'!H25</f>
        <v>0</v>
      </c>
      <c r="I20" s="131" t="s">
        <v>1018</v>
      </c>
      <c r="J20" s="128">
        <f>'FORMATO DIL_MAG'!Q25</f>
        <v>0</v>
      </c>
      <c r="K20" s="128">
        <f>'FORMATO DIL_MAG'!J25</f>
        <v>0</v>
      </c>
      <c r="L20" s="128" t="e">
        <f>+#REF!</f>
        <v>#REF!</v>
      </c>
      <c r="M20" s="128" t="e">
        <f>+#REF!</f>
        <v>#REF!</v>
      </c>
      <c r="N20" s="128"/>
      <c r="O20" s="132"/>
      <c r="P20" s="131"/>
      <c r="Q20" s="121">
        <f t="shared" si="0"/>
        <v>0</v>
      </c>
      <c r="R20" s="128"/>
      <c r="S20" s="128"/>
    </row>
    <row r="21" spans="1:19" ht="13.5" customHeight="1">
      <c r="A21" s="127" t="str">
        <f>'FORMATO DIL_MAG'!A26</f>
        <v/>
      </c>
      <c r="B21" s="202">
        <f>'FORMATO DIL_MAG'!B26</f>
        <v>0</v>
      </c>
      <c r="C21" s="128" t="str">
        <f>IF('FORMATO DIL_MAG'!C26="","'-'",'FORMATO DIL_MAG'!C26)</f>
        <v>'-'</v>
      </c>
      <c r="D21" s="128" t="str">
        <f>IF('FORMATO DIL_MAG'!D26="","'-'",'FORMATO DIL_MAG'!D26)</f>
        <v>'-'</v>
      </c>
      <c r="E21" s="128" t="str">
        <f>IF('FORMATO DIL_MAG'!E26="","'-'",'FORMATO DIL_MAG'!E26)</f>
        <v>'-'</v>
      </c>
      <c r="F21" s="128" t="str">
        <f>IF('FORMATO DIL_MAG'!F26="","'-'",'FORMATO DIL_MAG'!F26)</f>
        <v>'-'</v>
      </c>
      <c r="G21" s="128" t="str">
        <f>'FORMATO DIL_MAG'!$G$6</f>
        <v>SERVICIO</v>
      </c>
      <c r="H21" s="130">
        <f>'FORMATO DIL_MAG'!H26</f>
        <v>0</v>
      </c>
      <c r="I21" s="131" t="s">
        <v>1018</v>
      </c>
      <c r="J21" s="128">
        <f>'FORMATO DIL_MAG'!Q26</f>
        <v>0</v>
      </c>
      <c r="K21" s="128">
        <f>'FORMATO DIL_MAG'!J26</f>
        <v>0</v>
      </c>
      <c r="L21" s="128" t="e">
        <f>+#REF!</f>
        <v>#REF!</v>
      </c>
      <c r="M21" s="128" t="e">
        <f>+#REF!</f>
        <v>#REF!</v>
      </c>
      <c r="N21" s="128"/>
      <c r="O21" s="132"/>
      <c r="P21" s="131"/>
      <c r="Q21" s="121">
        <f t="shared" si="0"/>
        <v>0</v>
      </c>
      <c r="R21" s="128"/>
      <c r="S21" s="128"/>
    </row>
    <row r="22" spans="1:19" ht="13.5" customHeight="1">
      <c r="A22" s="127" t="str">
        <f>'FORMATO DIL_MAG'!A27</f>
        <v/>
      </c>
      <c r="B22" s="202">
        <f>'FORMATO DIL_MAG'!B27</f>
        <v>0</v>
      </c>
      <c r="C22" s="128" t="str">
        <f>IF('FORMATO DIL_MAG'!C27="","'-'",'FORMATO DIL_MAG'!C27)</f>
        <v>'-'</v>
      </c>
      <c r="D22" s="128" t="str">
        <f>IF('FORMATO DIL_MAG'!D27="","'-'",'FORMATO DIL_MAG'!D27)</f>
        <v>'-'</v>
      </c>
      <c r="E22" s="128" t="str">
        <f>IF('FORMATO DIL_MAG'!E27="","'-'",'FORMATO DIL_MAG'!E27)</f>
        <v>'-'</v>
      </c>
      <c r="F22" s="128" t="str">
        <f>IF('FORMATO DIL_MAG'!F27="","'-'",'FORMATO DIL_MAG'!F27)</f>
        <v>'-'</v>
      </c>
      <c r="G22" s="128" t="str">
        <f>'FORMATO DIL_MAG'!$G$6</f>
        <v>SERVICIO</v>
      </c>
      <c r="H22" s="130">
        <f>'FORMATO DIL_MAG'!H27</f>
        <v>0</v>
      </c>
      <c r="I22" s="131" t="s">
        <v>1018</v>
      </c>
      <c r="J22" s="128">
        <f>'FORMATO DIL_MAG'!Q27</f>
        <v>0</v>
      </c>
      <c r="K22" s="128">
        <f>'FORMATO DIL_MAG'!J27</f>
        <v>0</v>
      </c>
      <c r="L22" s="128" t="e">
        <f>+#REF!</f>
        <v>#REF!</v>
      </c>
      <c r="M22" s="128" t="e">
        <f>+#REF!</f>
        <v>#REF!</v>
      </c>
      <c r="N22" s="128"/>
      <c r="O22" s="132"/>
      <c r="P22" s="131"/>
      <c r="Q22" s="121">
        <f t="shared" si="0"/>
        <v>0</v>
      </c>
      <c r="R22" s="128"/>
      <c r="S22" s="128"/>
    </row>
    <row r="23" spans="1:19" ht="13.5" customHeight="1">
      <c r="A23" s="127" t="str">
        <f>'FORMATO DIL_MAG'!A28</f>
        <v/>
      </c>
      <c r="B23" s="202">
        <f>'FORMATO DIL_MAG'!B28</f>
        <v>0</v>
      </c>
      <c r="C23" s="128" t="str">
        <f>IF('FORMATO DIL_MAG'!C28="","'-'",'FORMATO DIL_MAG'!C28)</f>
        <v>'-'</v>
      </c>
      <c r="D23" s="128" t="str">
        <f>IF('FORMATO DIL_MAG'!D28="","'-'",'FORMATO DIL_MAG'!D28)</f>
        <v>'-'</v>
      </c>
      <c r="E23" s="128" t="str">
        <f>IF('FORMATO DIL_MAG'!E28="","'-'",'FORMATO DIL_MAG'!E28)</f>
        <v>'-'</v>
      </c>
      <c r="F23" s="128" t="str">
        <f>IF('FORMATO DIL_MAG'!F28="","'-'",'FORMATO DIL_MAG'!F28)</f>
        <v>'-'</v>
      </c>
      <c r="G23" s="128" t="str">
        <f>'FORMATO DIL_MAG'!$G$6</f>
        <v>SERVICIO</v>
      </c>
      <c r="H23" s="130">
        <f>'FORMATO DIL_MAG'!H28</f>
        <v>0</v>
      </c>
      <c r="I23" s="131" t="s">
        <v>1018</v>
      </c>
      <c r="J23" s="128">
        <f>'FORMATO DIL_MAG'!Q28</f>
        <v>0</v>
      </c>
      <c r="K23" s="128">
        <f>'FORMATO DIL_MAG'!J28</f>
        <v>0</v>
      </c>
      <c r="L23" s="128" t="e">
        <f>+#REF!</f>
        <v>#REF!</v>
      </c>
      <c r="M23" s="128" t="e">
        <f>+#REF!</f>
        <v>#REF!</v>
      </c>
      <c r="N23" s="128"/>
      <c r="O23" s="132"/>
      <c r="P23" s="131"/>
      <c r="Q23" s="121">
        <f t="shared" si="0"/>
        <v>0</v>
      </c>
      <c r="R23" s="128"/>
      <c r="S23" s="128"/>
    </row>
    <row r="24" spans="1:19" ht="13.5" customHeight="1">
      <c r="A24" s="127" t="str">
        <f>'FORMATO DIL_MAG'!A29</f>
        <v/>
      </c>
      <c r="B24" s="202">
        <f>'FORMATO DIL_MAG'!B29</f>
        <v>0</v>
      </c>
      <c r="C24" s="128" t="str">
        <f>IF('FORMATO DIL_MAG'!C29="","'-'",'FORMATO DIL_MAG'!C29)</f>
        <v>'-'</v>
      </c>
      <c r="D24" s="128" t="str">
        <f>IF('FORMATO DIL_MAG'!D29="","'-'",'FORMATO DIL_MAG'!D29)</f>
        <v>'-'</v>
      </c>
      <c r="E24" s="128" t="str">
        <f>IF('FORMATO DIL_MAG'!E29="","'-'",'FORMATO DIL_MAG'!E29)</f>
        <v>'-'</v>
      </c>
      <c r="F24" s="128" t="str">
        <f>IF('FORMATO DIL_MAG'!F29="","'-'",'FORMATO DIL_MAG'!F29)</f>
        <v>'-'</v>
      </c>
      <c r="G24" s="128" t="str">
        <f>'FORMATO DIL_MAG'!$G$6</f>
        <v>SERVICIO</v>
      </c>
      <c r="H24" s="130">
        <f>'FORMATO DIL_MAG'!H29</f>
        <v>0</v>
      </c>
      <c r="I24" s="131" t="s">
        <v>1018</v>
      </c>
      <c r="J24" s="128">
        <f>'FORMATO DIL_MAG'!Q29</f>
        <v>0</v>
      </c>
      <c r="K24" s="128">
        <f>'FORMATO DIL_MAG'!J29</f>
        <v>0</v>
      </c>
      <c r="L24" s="128" t="e">
        <f>+#REF!</f>
        <v>#REF!</v>
      </c>
      <c r="M24" s="128" t="e">
        <f>+#REF!</f>
        <v>#REF!</v>
      </c>
      <c r="N24" s="128"/>
      <c r="O24" s="132"/>
      <c r="P24" s="131"/>
      <c r="Q24" s="121">
        <f t="shared" si="0"/>
        <v>0</v>
      </c>
      <c r="R24" s="128"/>
      <c r="S24" s="128"/>
    </row>
    <row r="25" spans="1:19" ht="13.5" customHeight="1">
      <c r="A25" s="127" t="str">
        <f>'FORMATO DIL_MAG'!A30</f>
        <v/>
      </c>
      <c r="B25" s="202">
        <f>'FORMATO DIL_MAG'!B30</f>
        <v>0</v>
      </c>
      <c r="C25" s="128" t="str">
        <f>IF('FORMATO DIL_MAG'!C30="","'-'",'FORMATO DIL_MAG'!C30)</f>
        <v>'-'</v>
      </c>
      <c r="D25" s="128" t="str">
        <f>IF('FORMATO DIL_MAG'!D30="","'-'",'FORMATO DIL_MAG'!D30)</f>
        <v>'-'</v>
      </c>
      <c r="E25" s="128" t="str">
        <f>IF('FORMATO DIL_MAG'!E30="","'-'",'FORMATO DIL_MAG'!E30)</f>
        <v>'-'</v>
      </c>
      <c r="F25" s="128" t="str">
        <f>IF('FORMATO DIL_MAG'!F30="","'-'",'FORMATO DIL_MAG'!F30)</f>
        <v>'-'</v>
      </c>
      <c r="G25" s="128" t="str">
        <f>'FORMATO DIL_MAG'!$G$6</f>
        <v>SERVICIO</v>
      </c>
      <c r="H25" s="130">
        <f>'FORMATO DIL_MAG'!H30</f>
        <v>0</v>
      </c>
      <c r="I25" s="131" t="s">
        <v>1018</v>
      </c>
      <c r="J25" s="128">
        <f>'FORMATO DIL_MAG'!Q30</f>
        <v>0</v>
      </c>
      <c r="K25" s="128">
        <f>'FORMATO DIL_MAG'!J30</f>
        <v>0</v>
      </c>
      <c r="L25" s="128" t="e">
        <f>+#REF!</f>
        <v>#REF!</v>
      </c>
      <c r="M25" s="128" t="e">
        <f>+#REF!</f>
        <v>#REF!</v>
      </c>
      <c r="N25" s="128"/>
      <c r="O25" s="132"/>
      <c r="P25" s="131"/>
      <c r="Q25" s="121">
        <f t="shared" si="0"/>
        <v>0</v>
      </c>
      <c r="R25" s="128"/>
      <c r="S25" s="128"/>
    </row>
    <row r="26" spans="1:19" ht="13.5" customHeight="1">
      <c r="A26" s="127" t="str">
        <f>'FORMATO DIL_MAG'!A31</f>
        <v/>
      </c>
      <c r="B26" s="202">
        <f>'FORMATO DIL_MAG'!B31</f>
        <v>0</v>
      </c>
      <c r="C26" s="128" t="str">
        <f>IF('FORMATO DIL_MAG'!C31="","'-'",'FORMATO DIL_MAG'!C31)</f>
        <v>'-'</v>
      </c>
      <c r="D26" s="128" t="str">
        <f>IF('FORMATO DIL_MAG'!D31="","'-'",'FORMATO DIL_MAG'!D31)</f>
        <v>'-'</v>
      </c>
      <c r="E26" s="128" t="str">
        <f>IF('FORMATO DIL_MAG'!E31="","'-'",'FORMATO DIL_MAG'!E31)</f>
        <v>'-'</v>
      </c>
      <c r="F26" s="128" t="str">
        <f>IF('FORMATO DIL_MAG'!F31="","'-'",'FORMATO DIL_MAG'!F31)</f>
        <v>'-'</v>
      </c>
      <c r="G26" s="128" t="str">
        <f>'FORMATO DIL_MAG'!$G$6</f>
        <v>SERVICIO</v>
      </c>
      <c r="H26" s="130">
        <f>'FORMATO DIL_MAG'!H31</f>
        <v>0</v>
      </c>
      <c r="I26" s="131" t="s">
        <v>1018</v>
      </c>
      <c r="J26" s="128">
        <f>'FORMATO DIL_MAG'!Q31</f>
        <v>0</v>
      </c>
      <c r="K26" s="128">
        <f>'FORMATO DIL_MAG'!J31</f>
        <v>0</v>
      </c>
      <c r="L26" s="128" t="e">
        <f>+#REF!</f>
        <v>#REF!</v>
      </c>
      <c r="M26" s="128" t="e">
        <f>+#REF!</f>
        <v>#REF!</v>
      </c>
      <c r="N26" s="128"/>
      <c r="O26" s="132"/>
      <c r="P26" s="131"/>
      <c r="Q26" s="121">
        <f t="shared" si="0"/>
        <v>0</v>
      </c>
      <c r="R26" s="128"/>
      <c r="S26" s="128"/>
    </row>
    <row r="27" spans="1:19" ht="13.5" customHeight="1">
      <c r="A27" s="127" t="str">
        <f>'FORMATO DIL_MAG'!A32</f>
        <v/>
      </c>
      <c r="B27" s="202">
        <f>'FORMATO DIL_MAG'!B32</f>
        <v>0</v>
      </c>
      <c r="C27" s="128" t="str">
        <f>IF('FORMATO DIL_MAG'!C32="","'-'",'FORMATO DIL_MAG'!C32)</f>
        <v>'-'</v>
      </c>
      <c r="D27" s="128" t="str">
        <f>IF('FORMATO DIL_MAG'!D32="","'-'",'FORMATO DIL_MAG'!D32)</f>
        <v>'-'</v>
      </c>
      <c r="E27" s="128" t="str">
        <f>IF('FORMATO DIL_MAG'!E32="","'-'",'FORMATO DIL_MAG'!E32)</f>
        <v>'-'</v>
      </c>
      <c r="F27" s="128" t="str">
        <f>IF('FORMATO DIL_MAG'!F32="","'-'",'FORMATO DIL_MAG'!F32)</f>
        <v>'-'</v>
      </c>
      <c r="G27" s="128" t="str">
        <f>'FORMATO DIL_MAG'!$G$6</f>
        <v>SERVICIO</v>
      </c>
      <c r="H27" s="130">
        <f>'FORMATO DIL_MAG'!H32</f>
        <v>0</v>
      </c>
      <c r="I27" s="131" t="s">
        <v>1018</v>
      </c>
      <c r="J27" s="128">
        <f>'FORMATO DIL_MAG'!Q32</f>
        <v>0</v>
      </c>
      <c r="K27" s="128">
        <f>'FORMATO DIL_MAG'!J32</f>
        <v>0</v>
      </c>
      <c r="L27" s="128" t="e">
        <f>+#REF!</f>
        <v>#REF!</v>
      </c>
      <c r="M27" s="128" t="e">
        <f>+#REF!</f>
        <v>#REF!</v>
      </c>
      <c r="N27" s="128"/>
      <c r="O27" s="132"/>
      <c r="P27" s="131"/>
      <c r="Q27" s="121">
        <f t="shared" si="0"/>
        <v>0</v>
      </c>
      <c r="R27" s="128"/>
      <c r="S27" s="128"/>
    </row>
    <row r="28" spans="1:19" ht="13.5" customHeight="1">
      <c r="A28" s="127" t="str">
        <f>'FORMATO DIL_MAG'!A33</f>
        <v/>
      </c>
      <c r="B28" s="202">
        <f>'FORMATO DIL_MAG'!B33</f>
        <v>0</v>
      </c>
      <c r="C28" s="128" t="str">
        <f>IF('FORMATO DIL_MAG'!C33="","'-'",'FORMATO DIL_MAG'!C33)</f>
        <v>'-'</v>
      </c>
      <c r="D28" s="128" t="str">
        <f>IF('FORMATO DIL_MAG'!D33="","'-'",'FORMATO DIL_MAG'!D33)</f>
        <v>'-'</v>
      </c>
      <c r="E28" s="128" t="str">
        <f>IF('FORMATO DIL_MAG'!E33="","'-'",'FORMATO DIL_MAG'!E33)</f>
        <v>'-'</v>
      </c>
      <c r="F28" s="128" t="str">
        <f>IF('FORMATO DIL_MAG'!F33="","'-'",'FORMATO DIL_MAG'!F33)</f>
        <v>'-'</v>
      </c>
      <c r="G28" s="128" t="str">
        <f>'FORMATO DIL_MAG'!$G$6</f>
        <v>SERVICIO</v>
      </c>
      <c r="H28" s="130">
        <f>'FORMATO DIL_MAG'!H33</f>
        <v>0</v>
      </c>
      <c r="I28" s="131" t="s">
        <v>1018</v>
      </c>
      <c r="J28" s="128">
        <f>'FORMATO DIL_MAG'!Q33</f>
        <v>0</v>
      </c>
      <c r="K28" s="128">
        <f>'FORMATO DIL_MAG'!J33</f>
        <v>0</v>
      </c>
      <c r="L28" s="128" t="e">
        <f>+#REF!</f>
        <v>#REF!</v>
      </c>
      <c r="M28" s="128" t="e">
        <f>+#REF!</f>
        <v>#REF!</v>
      </c>
      <c r="N28" s="128"/>
      <c r="O28" s="132"/>
      <c r="P28" s="131"/>
      <c r="Q28" s="121">
        <f t="shared" si="0"/>
        <v>0</v>
      </c>
      <c r="R28" s="128"/>
      <c r="S28" s="128"/>
    </row>
    <row r="29" spans="1:19" ht="13.5" customHeight="1">
      <c r="A29" s="127" t="str">
        <f>'FORMATO DIL_MAG'!A34</f>
        <v/>
      </c>
      <c r="B29" s="202">
        <f>'FORMATO DIL_MAG'!B34</f>
        <v>0</v>
      </c>
      <c r="C29" s="128" t="str">
        <f>IF('FORMATO DIL_MAG'!C34="","'-'",'FORMATO DIL_MAG'!C34)</f>
        <v>'-'</v>
      </c>
      <c r="D29" s="128" t="str">
        <f>IF('FORMATO DIL_MAG'!D34="","'-'",'FORMATO DIL_MAG'!D34)</f>
        <v>'-'</v>
      </c>
      <c r="E29" s="128" t="str">
        <f>IF('FORMATO DIL_MAG'!E34="","'-'",'FORMATO DIL_MAG'!E34)</f>
        <v>'-'</v>
      </c>
      <c r="F29" s="128" t="str">
        <f>IF('FORMATO DIL_MAG'!F34="","'-'",'FORMATO DIL_MAG'!F34)</f>
        <v>'-'</v>
      </c>
      <c r="G29" s="128" t="str">
        <f>'FORMATO DIL_MAG'!$G$6</f>
        <v>SERVICIO</v>
      </c>
      <c r="H29" s="130">
        <f>'FORMATO DIL_MAG'!H34</f>
        <v>0</v>
      </c>
      <c r="I29" s="131" t="s">
        <v>1018</v>
      </c>
      <c r="J29" s="128">
        <f>'FORMATO DIL_MAG'!Q34</f>
        <v>0</v>
      </c>
      <c r="K29" s="128">
        <f>'FORMATO DIL_MAG'!J34</f>
        <v>0</v>
      </c>
      <c r="L29" s="128" t="e">
        <f>+#REF!</f>
        <v>#REF!</v>
      </c>
      <c r="M29" s="128" t="e">
        <f>+#REF!</f>
        <v>#REF!</v>
      </c>
      <c r="N29" s="128"/>
      <c r="O29" s="132"/>
      <c r="P29" s="131"/>
      <c r="Q29" s="121">
        <f t="shared" si="0"/>
        <v>0</v>
      </c>
      <c r="R29" s="128"/>
      <c r="S29" s="128"/>
    </row>
    <row r="30" spans="1:19" ht="13.5" customHeight="1">
      <c r="A30" s="127" t="str">
        <f>'FORMATO DIL_MAG'!A35</f>
        <v/>
      </c>
      <c r="B30" s="202">
        <f>'FORMATO DIL_MAG'!B35</f>
        <v>0</v>
      </c>
      <c r="C30" s="128" t="str">
        <f>IF('FORMATO DIL_MAG'!C35="","'-'",'FORMATO DIL_MAG'!C35)</f>
        <v>'-'</v>
      </c>
      <c r="D30" s="128" t="str">
        <f>IF('FORMATO DIL_MAG'!D35="","'-'",'FORMATO DIL_MAG'!D35)</f>
        <v>'-'</v>
      </c>
      <c r="E30" s="128" t="str">
        <f>IF('FORMATO DIL_MAG'!E35="","'-'",'FORMATO DIL_MAG'!E35)</f>
        <v>'-'</v>
      </c>
      <c r="F30" s="128" t="str">
        <f>IF('FORMATO DIL_MAG'!F35="","'-'",'FORMATO DIL_MAG'!F35)</f>
        <v>'-'</v>
      </c>
      <c r="G30" s="128" t="str">
        <f>'FORMATO DIL_MAG'!$G$6</f>
        <v>SERVICIO</v>
      </c>
      <c r="H30" s="130">
        <f>'FORMATO DIL_MAG'!H35</f>
        <v>0</v>
      </c>
      <c r="I30" s="131" t="s">
        <v>1018</v>
      </c>
      <c r="J30" s="128">
        <f>'FORMATO DIL_MAG'!Q35</f>
        <v>0</v>
      </c>
      <c r="K30" s="128">
        <f>'FORMATO DIL_MAG'!J35</f>
        <v>0</v>
      </c>
      <c r="L30" s="128" t="e">
        <f>+#REF!</f>
        <v>#REF!</v>
      </c>
      <c r="M30" s="128" t="e">
        <f>+#REF!</f>
        <v>#REF!</v>
      </c>
      <c r="N30" s="128"/>
      <c r="O30" s="132"/>
      <c r="P30" s="131"/>
      <c r="Q30" s="121">
        <f t="shared" si="0"/>
        <v>0</v>
      </c>
      <c r="R30" s="128"/>
      <c r="S30" s="128"/>
    </row>
    <row r="31" spans="1:19" ht="13.5" customHeight="1">
      <c r="A31" s="127" t="str">
        <f>'FORMATO DIL_MAG'!A36</f>
        <v/>
      </c>
      <c r="B31" s="202">
        <f>'FORMATO DIL_MAG'!B36</f>
        <v>0</v>
      </c>
      <c r="C31" s="128" t="str">
        <f>IF('FORMATO DIL_MAG'!C36="","'-'",'FORMATO DIL_MAG'!C36)</f>
        <v>'-'</v>
      </c>
      <c r="D31" s="128" t="str">
        <f>IF('FORMATO DIL_MAG'!D36="","'-'",'FORMATO DIL_MAG'!D36)</f>
        <v>'-'</v>
      </c>
      <c r="E31" s="128" t="str">
        <f>IF('FORMATO DIL_MAG'!E36="","'-'",'FORMATO DIL_MAG'!E36)</f>
        <v>'-'</v>
      </c>
      <c r="F31" s="128" t="str">
        <f>IF('FORMATO DIL_MAG'!F36="","'-'",'FORMATO DIL_MAG'!F36)</f>
        <v>'-'</v>
      </c>
      <c r="G31" s="128" t="str">
        <f>'FORMATO DIL_MAG'!$G$6</f>
        <v>SERVICIO</v>
      </c>
      <c r="H31" s="130">
        <f>'FORMATO DIL_MAG'!H36</f>
        <v>0</v>
      </c>
      <c r="I31" s="131" t="s">
        <v>1018</v>
      </c>
      <c r="J31" s="128">
        <f>'FORMATO DIL_MAG'!Q36</f>
        <v>0</v>
      </c>
      <c r="K31" s="128">
        <f>'FORMATO DIL_MAG'!J36</f>
        <v>0</v>
      </c>
      <c r="L31" s="128" t="e">
        <f>+#REF!</f>
        <v>#REF!</v>
      </c>
      <c r="M31" s="128" t="e">
        <f>+#REF!</f>
        <v>#REF!</v>
      </c>
      <c r="N31" s="128"/>
      <c r="O31" s="132"/>
      <c r="P31" s="131"/>
      <c r="Q31" s="121">
        <f t="shared" si="0"/>
        <v>0</v>
      </c>
      <c r="R31" s="128"/>
      <c r="S31" s="128"/>
    </row>
    <row r="32" spans="1:19" ht="13.5" customHeight="1">
      <c r="A32" s="127" t="str">
        <f>'FORMATO DIL_MAG'!A37</f>
        <v/>
      </c>
      <c r="B32" s="202">
        <f>'FORMATO DIL_MAG'!B37</f>
        <v>0</v>
      </c>
      <c r="C32" s="128" t="str">
        <f>IF('FORMATO DIL_MAG'!C37="","'-'",'FORMATO DIL_MAG'!C37)</f>
        <v>'-'</v>
      </c>
      <c r="D32" s="128" t="str">
        <f>IF('FORMATO DIL_MAG'!D37="","'-'",'FORMATO DIL_MAG'!D37)</f>
        <v>'-'</v>
      </c>
      <c r="E32" s="128" t="str">
        <f>IF('FORMATO DIL_MAG'!E37="","'-'",'FORMATO DIL_MAG'!E37)</f>
        <v>'-'</v>
      </c>
      <c r="F32" s="128" t="str">
        <f>IF('FORMATO DIL_MAG'!F37="","'-'",'FORMATO DIL_MAG'!F37)</f>
        <v>'-'</v>
      </c>
      <c r="G32" s="128" t="str">
        <f>'FORMATO DIL_MAG'!$G$6</f>
        <v>SERVICIO</v>
      </c>
      <c r="H32" s="130">
        <f>'FORMATO DIL_MAG'!H37</f>
        <v>0</v>
      </c>
      <c r="I32" s="131" t="s">
        <v>1018</v>
      </c>
      <c r="J32" s="128">
        <f>'FORMATO DIL_MAG'!Q37</f>
        <v>0</v>
      </c>
      <c r="K32" s="128">
        <f>'FORMATO DIL_MAG'!J37</f>
        <v>0</v>
      </c>
      <c r="L32" s="128" t="e">
        <f>+#REF!</f>
        <v>#REF!</v>
      </c>
      <c r="M32" s="128" t="e">
        <f>+#REF!</f>
        <v>#REF!</v>
      </c>
      <c r="N32" s="128"/>
      <c r="O32" s="132"/>
      <c r="P32" s="131"/>
      <c r="Q32" s="121">
        <f t="shared" si="0"/>
        <v>0</v>
      </c>
      <c r="R32" s="128"/>
      <c r="S32" s="128"/>
    </row>
    <row r="33" spans="1:19" ht="13.5" customHeight="1">
      <c r="A33" s="127" t="str">
        <f>'FORMATO DIL_MAG'!A38</f>
        <v/>
      </c>
      <c r="B33" s="202">
        <f>'FORMATO DIL_MAG'!B38</f>
        <v>0</v>
      </c>
      <c r="C33" s="128" t="str">
        <f>IF('FORMATO DIL_MAG'!C38="","'-'",'FORMATO DIL_MAG'!C38)</f>
        <v>'-'</v>
      </c>
      <c r="D33" s="128" t="str">
        <f>IF('FORMATO DIL_MAG'!D38="","'-'",'FORMATO DIL_MAG'!D38)</f>
        <v>'-'</v>
      </c>
      <c r="E33" s="128" t="str">
        <f>IF('FORMATO DIL_MAG'!E38="","'-'",'FORMATO DIL_MAG'!E38)</f>
        <v>'-'</v>
      </c>
      <c r="F33" s="128" t="str">
        <f>IF('FORMATO DIL_MAG'!F38="","'-'",'FORMATO DIL_MAG'!F38)</f>
        <v>'-'</v>
      </c>
      <c r="G33" s="128" t="str">
        <f>'FORMATO DIL_MAG'!$G$6</f>
        <v>SERVICIO</v>
      </c>
      <c r="H33" s="130">
        <f>'FORMATO DIL_MAG'!H38</f>
        <v>0</v>
      </c>
      <c r="I33" s="131" t="s">
        <v>1018</v>
      </c>
      <c r="J33" s="128">
        <f>'FORMATO DIL_MAG'!Q38</f>
        <v>0</v>
      </c>
      <c r="K33" s="128">
        <f>'FORMATO DIL_MAG'!J38</f>
        <v>0</v>
      </c>
      <c r="L33" s="128" t="e">
        <f>+#REF!</f>
        <v>#REF!</v>
      </c>
      <c r="M33" s="128" t="e">
        <f>+#REF!</f>
        <v>#REF!</v>
      </c>
      <c r="N33" s="128"/>
      <c r="O33" s="132"/>
      <c r="P33" s="131"/>
      <c r="Q33" s="121">
        <f t="shared" si="0"/>
        <v>0</v>
      </c>
      <c r="R33" s="128"/>
      <c r="S33" s="128"/>
    </row>
    <row r="34" spans="1:19" ht="13.5" customHeight="1">
      <c r="A34" s="127" t="str">
        <f>'FORMATO DIL_MAG'!A39</f>
        <v/>
      </c>
      <c r="B34" s="202">
        <f>'FORMATO DIL_MAG'!B39</f>
        <v>0</v>
      </c>
      <c r="C34" s="128" t="str">
        <f>IF('FORMATO DIL_MAG'!C39="","'-'",'FORMATO DIL_MAG'!C39)</f>
        <v>'-'</v>
      </c>
      <c r="D34" s="128" t="str">
        <f>IF('FORMATO DIL_MAG'!D39="","'-'",'FORMATO DIL_MAG'!D39)</f>
        <v>'-'</v>
      </c>
      <c r="E34" s="128" t="str">
        <f>IF('FORMATO DIL_MAG'!E39="","'-'",'FORMATO DIL_MAG'!E39)</f>
        <v>'-'</v>
      </c>
      <c r="F34" s="128" t="str">
        <f>IF('FORMATO DIL_MAG'!F39="","'-'",'FORMATO DIL_MAG'!F39)</f>
        <v>'-'</v>
      </c>
      <c r="G34" s="128" t="str">
        <f>'FORMATO DIL_MAG'!$G$6</f>
        <v>SERVICIO</v>
      </c>
      <c r="H34" s="130">
        <f>'FORMATO DIL_MAG'!H39</f>
        <v>0</v>
      </c>
      <c r="I34" s="131" t="s">
        <v>1018</v>
      </c>
      <c r="J34" s="128">
        <f>'FORMATO DIL_MAG'!Q39</f>
        <v>0</v>
      </c>
      <c r="K34" s="128">
        <f>'FORMATO DIL_MAG'!J39</f>
        <v>0</v>
      </c>
      <c r="L34" s="128" t="e">
        <f>+#REF!</f>
        <v>#REF!</v>
      </c>
      <c r="M34" s="128" t="e">
        <f>+#REF!</f>
        <v>#REF!</v>
      </c>
      <c r="N34" s="128"/>
      <c r="O34" s="132"/>
      <c r="P34" s="131"/>
      <c r="Q34" s="121">
        <f t="shared" si="0"/>
        <v>0</v>
      </c>
      <c r="R34" s="128"/>
      <c r="S34" s="128"/>
    </row>
    <row r="35" spans="1:19" ht="13.5" customHeight="1">
      <c r="A35" s="127" t="str">
        <f>'FORMATO DIL_MAG'!A40</f>
        <v/>
      </c>
      <c r="B35" s="202">
        <f>'FORMATO DIL_MAG'!B40</f>
        <v>0</v>
      </c>
      <c r="C35" s="128" t="str">
        <f>IF('FORMATO DIL_MAG'!C40="","'-'",'FORMATO DIL_MAG'!C40)</f>
        <v>'-'</v>
      </c>
      <c r="D35" s="128" t="str">
        <f>IF('FORMATO DIL_MAG'!D40="","'-'",'FORMATO DIL_MAG'!D40)</f>
        <v>'-'</v>
      </c>
      <c r="E35" s="128" t="str">
        <f>IF('FORMATO DIL_MAG'!E40="","'-'",'FORMATO DIL_MAG'!E40)</f>
        <v>'-'</v>
      </c>
      <c r="F35" s="128" t="str">
        <f>IF('FORMATO DIL_MAG'!F40="","'-'",'FORMATO DIL_MAG'!F40)</f>
        <v>'-'</v>
      </c>
      <c r="G35" s="128" t="str">
        <f>'FORMATO DIL_MAG'!$G$6</f>
        <v>SERVICIO</v>
      </c>
      <c r="H35" s="130">
        <f>'FORMATO DIL_MAG'!H40</f>
        <v>0</v>
      </c>
      <c r="I35" s="131" t="s">
        <v>1018</v>
      </c>
      <c r="J35" s="128">
        <f>'FORMATO DIL_MAG'!Q40</f>
        <v>0</v>
      </c>
      <c r="K35" s="128">
        <f>'FORMATO DIL_MAG'!J40</f>
        <v>0</v>
      </c>
      <c r="L35" s="128" t="e">
        <f>+#REF!</f>
        <v>#REF!</v>
      </c>
      <c r="M35" s="128" t="e">
        <f>+#REF!</f>
        <v>#REF!</v>
      </c>
      <c r="N35" s="128"/>
      <c r="O35" s="132"/>
      <c r="P35" s="131"/>
      <c r="Q35" s="121">
        <f t="shared" si="0"/>
        <v>0</v>
      </c>
      <c r="R35" s="128"/>
      <c r="S35" s="128"/>
    </row>
    <row r="36" spans="1:19" ht="13.5" customHeight="1">
      <c r="A36" s="127" t="str">
        <f>'FORMATO DIL_MAG'!A41</f>
        <v/>
      </c>
      <c r="B36" s="202">
        <f>'FORMATO DIL_MAG'!B41</f>
        <v>0</v>
      </c>
      <c r="C36" s="128" t="str">
        <f>IF('FORMATO DIL_MAG'!C41="","'-'",'FORMATO DIL_MAG'!C41)</f>
        <v>'-'</v>
      </c>
      <c r="D36" s="128" t="str">
        <f>IF('FORMATO DIL_MAG'!D41="","'-'",'FORMATO DIL_MAG'!D41)</f>
        <v>'-'</v>
      </c>
      <c r="E36" s="128" t="str">
        <f>IF('FORMATO DIL_MAG'!E41="","'-'",'FORMATO DIL_MAG'!E41)</f>
        <v>'-'</v>
      </c>
      <c r="F36" s="128" t="str">
        <f>IF('FORMATO DIL_MAG'!F41="","'-'",'FORMATO DIL_MAG'!F41)</f>
        <v>'-'</v>
      </c>
      <c r="G36" s="128" t="str">
        <f>'FORMATO DIL_MAG'!$G$6</f>
        <v>SERVICIO</v>
      </c>
      <c r="H36" s="130">
        <f>'FORMATO DIL_MAG'!H41</f>
        <v>0</v>
      </c>
      <c r="I36" s="131" t="s">
        <v>1018</v>
      </c>
      <c r="J36" s="128">
        <f>'FORMATO DIL_MAG'!Q41</f>
        <v>0</v>
      </c>
      <c r="K36" s="128">
        <f>'FORMATO DIL_MAG'!J41</f>
        <v>0</v>
      </c>
      <c r="L36" s="128" t="e">
        <f>+#REF!</f>
        <v>#REF!</v>
      </c>
      <c r="M36" s="128" t="e">
        <f>+#REF!</f>
        <v>#REF!</v>
      </c>
      <c r="N36" s="128"/>
      <c r="O36" s="132"/>
      <c r="P36" s="131"/>
      <c r="Q36" s="121">
        <f t="shared" si="0"/>
        <v>0</v>
      </c>
      <c r="R36" s="128"/>
      <c r="S36" s="128"/>
    </row>
    <row r="37" spans="1:19" ht="13.5" customHeight="1">
      <c r="A37" s="127" t="str">
        <f>'FORMATO DIL_MAG'!A42</f>
        <v/>
      </c>
      <c r="B37" s="202">
        <f>'FORMATO DIL_MAG'!B42</f>
        <v>0</v>
      </c>
      <c r="C37" s="128" t="str">
        <f>IF('FORMATO DIL_MAG'!C42="","'-'",'FORMATO DIL_MAG'!C42)</f>
        <v>'-'</v>
      </c>
      <c r="D37" s="128" t="str">
        <f>IF('FORMATO DIL_MAG'!D42="","'-'",'FORMATO DIL_MAG'!D42)</f>
        <v>'-'</v>
      </c>
      <c r="E37" s="128" t="str">
        <f>IF('FORMATO DIL_MAG'!E42="","'-'",'FORMATO DIL_MAG'!E42)</f>
        <v>'-'</v>
      </c>
      <c r="F37" s="128" t="str">
        <f>IF('FORMATO DIL_MAG'!F42="","'-'",'FORMATO DIL_MAG'!F42)</f>
        <v>'-'</v>
      </c>
      <c r="G37" s="128" t="str">
        <f>'FORMATO DIL_MAG'!$G$6</f>
        <v>SERVICIO</v>
      </c>
      <c r="H37" s="130">
        <f>'FORMATO DIL_MAG'!H42</f>
        <v>0</v>
      </c>
      <c r="I37" s="131" t="s">
        <v>1018</v>
      </c>
      <c r="J37" s="128">
        <f>'FORMATO DIL_MAG'!Q42</f>
        <v>0</v>
      </c>
      <c r="K37" s="128">
        <f>'FORMATO DIL_MAG'!J42</f>
        <v>0</v>
      </c>
      <c r="L37" s="128" t="e">
        <f>+#REF!</f>
        <v>#REF!</v>
      </c>
      <c r="M37" s="128" t="e">
        <f>+#REF!</f>
        <v>#REF!</v>
      </c>
      <c r="N37" s="128"/>
      <c r="O37" s="132"/>
      <c r="P37" s="131"/>
      <c r="Q37" s="121">
        <f t="shared" si="0"/>
        <v>0</v>
      </c>
      <c r="R37" s="128"/>
      <c r="S37" s="128"/>
    </row>
    <row r="38" spans="1:19" ht="13.5" customHeight="1">
      <c r="A38" s="127" t="str">
        <f>'FORMATO DIL_MAG'!A43</f>
        <v/>
      </c>
      <c r="B38" s="202">
        <f>'FORMATO DIL_MAG'!B43</f>
        <v>0</v>
      </c>
      <c r="C38" s="128" t="str">
        <f>IF('FORMATO DIL_MAG'!C43="","'-'",'FORMATO DIL_MAG'!C43)</f>
        <v>'-'</v>
      </c>
      <c r="D38" s="128" t="str">
        <f>IF('FORMATO DIL_MAG'!D43="","'-'",'FORMATO DIL_MAG'!D43)</f>
        <v>'-'</v>
      </c>
      <c r="E38" s="128" t="str">
        <f>IF('FORMATO DIL_MAG'!E43="","'-'",'FORMATO DIL_MAG'!E43)</f>
        <v>'-'</v>
      </c>
      <c r="F38" s="128" t="str">
        <f>IF('FORMATO DIL_MAG'!F43="","'-'",'FORMATO DIL_MAG'!F43)</f>
        <v>'-'</v>
      </c>
      <c r="G38" s="128" t="str">
        <f>'FORMATO DIL_MAG'!$G$6</f>
        <v>SERVICIO</v>
      </c>
      <c r="H38" s="130">
        <f>'FORMATO DIL_MAG'!H43</f>
        <v>0</v>
      </c>
      <c r="I38" s="131" t="s">
        <v>1018</v>
      </c>
      <c r="J38" s="128">
        <f>'FORMATO DIL_MAG'!Q43</f>
        <v>0</v>
      </c>
      <c r="K38" s="128">
        <f>'FORMATO DIL_MAG'!J43</f>
        <v>0</v>
      </c>
      <c r="L38" s="128" t="e">
        <f>+#REF!</f>
        <v>#REF!</v>
      </c>
      <c r="M38" s="128" t="e">
        <f>+#REF!</f>
        <v>#REF!</v>
      </c>
      <c r="N38" s="128"/>
      <c r="O38" s="132"/>
      <c r="P38" s="131"/>
      <c r="Q38" s="121">
        <f t="shared" si="0"/>
        <v>0</v>
      </c>
      <c r="R38" s="128"/>
      <c r="S38" s="128"/>
    </row>
    <row r="39" spans="1:19" ht="13.5" customHeight="1">
      <c r="A39" s="127" t="str">
        <f>'FORMATO DIL_MAG'!A44</f>
        <v/>
      </c>
      <c r="B39" s="202">
        <f>'FORMATO DIL_MAG'!B44</f>
        <v>0</v>
      </c>
      <c r="C39" s="128" t="str">
        <f>IF('FORMATO DIL_MAG'!C44="","'-'",'FORMATO DIL_MAG'!C44)</f>
        <v>'-'</v>
      </c>
      <c r="D39" s="128" t="str">
        <f>IF('FORMATO DIL_MAG'!D44="","'-'",'FORMATO DIL_MAG'!D44)</f>
        <v>'-'</v>
      </c>
      <c r="E39" s="128" t="str">
        <f>IF('FORMATO DIL_MAG'!E44="","'-'",'FORMATO DIL_MAG'!E44)</f>
        <v>'-'</v>
      </c>
      <c r="F39" s="128" t="str">
        <f>IF('FORMATO DIL_MAG'!F44="","'-'",'FORMATO DIL_MAG'!F44)</f>
        <v>'-'</v>
      </c>
      <c r="G39" s="128" t="str">
        <f>'FORMATO DIL_MAG'!$G$6</f>
        <v>SERVICIO</v>
      </c>
      <c r="H39" s="130">
        <f>'FORMATO DIL_MAG'!H44</f>
        <v>0</v>
      </c>
      <c r="I39" s="131" t="s">
        <v>1018</v>
      </c>
      <c r="J39" s="128">
        <f>'FORMATO DIL_MAG'!Q44</f>
        <v>0</v>
      </c>
      <c r="K39" s="128">
        <f>'FORMATO DIL_MAG'!J44</f>
        <v>0</v>
      </c>
      <c r="L39" s="128" t="e">
        <f>+#REF!</f>
        <v>#REF!</v>
      </c>
      <c r="M39" s="128" t="e">
        <f>+#REF!</f>
        <v>#REF!</v>
      </c>
      <c r="N39" s="128"/>
      <c r="O39" s="132"/>
      <c r="P39" s="131"/>
      <c r="Q39" s="121">
        <f t="shared" si="0"/>
        <v>0</v>
      </c>
      <c r="R39" s="128"/>
      <c r="S39" s="128"/>
    </row>
    <row r="40" spans="1:19" ht="13.5" customHeight="1">
      <c r="A40" s="127" t="str">
        <f>'FORMATO DIL_MAG'!A45</f>
        <v/>
      </c>
      <c r="B40" s="202">
        <f>'FORMATO DIL_MAG'!B45</f>
        <v>0</v>
      </c>
      <c r="C40" s="128" t="str">
        <f>IF('FORMATO DIL_MAG'!C45="","'-'",'FORMATO DIL_MAG'!C45)</f>
        <v>'-'</v>
      </c>
      <c r="D40" s="128" t="str">
        <f>IF('FORMATO DIL_MAG'!D45="","'-'",'FORMATO DIL_MAG'!D45)</f>
        <v>'-'</v>
      </c>
      <c r="E40" s="128" t="str">
        <f>IF('FORMATO DIL_MAG'!E45="","'-'",'FORMATO DIL_MAG'!E45)</f>
        <v>'-'</v>
      </c>
      <c r="F40" s="128" t="str">
        <f>IF('FORMATO DIL_MAG'!F45="","'-'",'FORMATO DIL_MAG'!F45)</f>
        <v>'-'</v>
      </c>
      <c r="G40" s="128" t="str">
        <f>'FORMATO DIL_MAG'!$G$6</f>
        <v>SERVICIO</v>
      </c>
      <c r="H40" s="130">
        <f>'FORMATO DIL_MAG'!H45</f>
        <v>0</v>
      </c>
      <c r="I40" s="131" t="s">
        <v>1018</v>
      </c>
      <c r="J40" s="128">
        <f>'FORMATO DIL_MAG'!Q45</f>
        <v>0</v>
      </c>
      <c r="K40" s="128">
        <f>'FORMATO DIL_MAG'!J45</f>
        <v>0</v>
      </c>
      <c r="L40" s="128" t="e">
        <f>+#REF!</f>
        <v>#REF!</v>
      </c>
      <c r="M40" s="128" t="e">
        <f>+#REF!</f>
        <v>#REF!</v>
      </c>
      <c r="N40" s="128"/>
      <c r="O40" s="132"/>
      <c r="P40" s="131"/>
      <c r="Q40" s="121">
        <f t="shared" si="0"/>
        <v>0</v>
      </c>
      <c r="R40" s="128"/>
      <c r="S40" s="128"/>
    </row>
    <row r="41" spans="1:19" ht="13.5" customHeight="1">
      <c r="A41" s="127" t="str">
        <f>'FORMATO DIL_MAG'!A46</f>
        <v/>
      </c>
      <c r="B41" s="202">
        <f>'FORMATO DIL_MAG'!B46</f>
        <v>0</v>
      </c>
      <c r="C41" s="128" t="str">
        <f>IF('FORMATO DIL_MAG'!C46="","'-'",'FORMATO DIL_MAG'!C46)</f>
        <v>'-'</v>
      </c>
      <c r="D41" s="128" t="str">
        <f>IF('FORMATO DIL_MAG'!D46="","'-'",'FORMATO DIL_MAG'!D46)</f>
        <v>'-'</v>
      </c>
      <c r="E41" s="128" t="str">
        <f>IF('FORMATO DIL_MAG'!E46="","'-'",'FORMATO DIL_MAG'!E46)</f>
        <v>'-'</v>
      </c>
      <c r="F41" s="128" t="str">
        <f>IF('FORMATO DIL_MAG'!F46="","'-'",'FORMATO DIL_MAG'!F46)</f>
        <v>'-'</v>
      </c>
      <c r="G41" s="128" t="str">
        <f>'FORMATO DIL_MAG'!$G$6</f>
        <v>SERVICIO</v>
      </c>
      <c r="H41" s="130">
        <f>'FORMATO DIL_MAG'!H46</f>
        <v>0</v>
      </c>
      <c r="I41" s="131" t="s">
        <v>1018</v>
      </c>
      <c r="J41" s="128">
        <f>'FORMATO DIL_MAG'!Q46</f>
        <v>0</v>
      </c>
      <c r="K41" s="128">
        <f>'FORMATO DIL_MAG'!J46</f>
        <v>0</v>
      </c>
      <c r="L41" s="128" t="e">
        <f>+#REF!</f>
        <v>#REF!</v>
      </c>
      <c r="M41" s="128" t="e">
        <f>+#REF!</f>
        <v>#REF!</v>
      </c>
      <c r="N41" s="128"/>
      <c r="O41" s="132"/>
      <c r="P41" s="131"/>
      <c r="Q41" s="121">
        <f t="shared" si="0"/>
        <v>0</v>
      </c>
      <c r="R41" s="128"/>
      <c r="S41" s="128"/>
    </row>
    <row r="42" spans="1:19" ht="13.5" customHeight="1">
      <c r="A42" s="127" t="str">
        <f>'FORMATO DIL_MAG'!A47</f>
        <v/>
      </c>
      <c r="B42" s="202">
        <f>'FORMATO DIL_MAG'!B47</f>
        <v>0</v>
      </c>
      <c r="C42" s="128" t="str">
        <f>IF('FORMATO DIL_MAG'!C47="","'-'",'FORMATO DIL_MAG'!C47)</f>
        <v>'-'</v>
      </c>
      <c r="D42" s="128" t="str">
        <f>IF('FORMATO DIL_MAG'!D47="","'-'",'FORMATO DIL_MAG'!D47)</f>
        <v>'-'</v>
      </c>
      <c r="E42" s="128" t="str">
        <f>IF('FORMATO DIL_MAG'!E47="","'-'",'FORMATO DIL_MAG'!E47)</f>
        <v>'-'</v>
      </c>
      <c r="F42" s="128" t="str">
        <f>IF('FORMATO DIL_MAG'!F47="","'-'",'FORMATO DIL_MAG'!F47)</f>
        <v>'-'</v>
      </c>
      <c r="G42" s="128" t="str">
        <f>'FORMATO DIL_MAG'!$G$6</f>
        <v>SERVICIO</v>
      </c>
      <c r="H42" s="130">
        <f>'FORMATO DIL_MAG'!H47</f>
        <v>0</v>
      </c>
      <c r="I42" s="131" t="s">
        <v>1018</v>
      </c>
      <c r="J42" s="128">
        <f>'FORMATO DIL_MAG'!Q47</f>
        <v>0</v>
      </c>
      <c r="K42" s="128">
        <f>'FORMATO DIL_MAG'!J47</f>
        <v>0</v>
      </c>
      <c r="L42" s="128" t="e">
        <f>+#REF!</f>
        <v>#REF!</v>
      </c>
      <c r="M42" s="128" t="e">
        <f>+#REF!</f>
        <v>#REF!</v>
      </c>
      <c r="N42" s="128"/>
      <c r="O42" s="132"/>
      <c r="P42" s="131"/>
      <c r="Q42" s="121">
        <f t="shared" si="0"/>
        <v>0</v>
      </c>
      <c r="R42" s="128"/>
      <c r="S42" s="128"/>
    </row>
    <row r="43" spans="1:19" ht="13.5" customHeight="1">
      <c r="A43" s="127" t="str">
        <f>'FORMATO DIL_MAG'!A48</f>
        <v/>
      </c>
      <c r="B43" s="202">
        <f>'FORMATO DIL_MAG'!B48</f>
        <v>0</v>
      </c>
      <c r="C43" s="128" t="str">
        <f>IF('FORMATO DIL_MAG'!C48="","'-'",'FORMATO DIL_MAG'!C48)</f>
        <v>'-'</v>
      </c>
      <c r="D43" s="128" t="str">
        <f>IF('FORMATO DIL_MAG'!D48="","'-'",'FORMATO DIL_MAG'!D48)</f>
        <v>'-'</v>
      </c>
      <c r="E43" s="128" t="str">
        <f>IF('FORMATO DIL_MAG'!E48="","'-'",'FORMATO DIL_MAG'!E48)</f>
        <v>'-'</v>
      </c>
      <c r="F43" s="128" t="str">
        <f>IF('FORMATO DIL_MAG'!F48="","'-'",'FORMATO DIL_MAG'!F48)</f>
        <v>'-'</v>
      </c>
      <c r="G43" s="128" t="str">
        <f>'FORMATO DIL_MAG'!$G$6</f>
        <v>SERVICIO</v>
      </c>
      <c r="H43" s="130">
        <f>'FORMATO DIL_MAG'!H48</f>
        <v>0</v>
      </c>
      <c r="I43" s="131" t="s">
        <v>1018</v>
      </c>
      <c r="J43" s="128">
        <f>'FORMATO DIL_MAG'!Q48</f>
        <v>0</v>
      </c>
      <c r="K43" s="128">
        <f>'FORMATO DIL_MAG'!J48</f>
        <v>0</v>
      </c>
      <c r="L43" s="128" t="e">
        <f>+#REF!</f>
        <v>#REF!</v>
      </c>
      <c r="M43" s="128" t="e">
        <f>+#REF!</f>
        <v>#REF!</v>
      </c>
      <c r="N43" s="128"/>
      <c r="O43" s="132"/>
      <c r="P43" s="131"/>
      <c r="Q43" s="121">
        <f t="shared" si="0"/>
        <v>0</v>
      </c>
      <c r="R43" s="128"/>
      <c r="S43" s="128"/>
    </row>
    <row r="44" spans="1:19" ht="13.5" customHeight="1">
      <c r="A44" s="127" t="str">
        <f>'FORMATO DIL_MAG'!A49</f>
        <v/>
      </c>
      <c r="B44" s="202">
        <f>'FORMATO DIL_MAG'!B49</f>
        <v>0</v>
      </c>
      <c r="C44" s="128" t="str">
        <f>IF('FORMATO DIL_MAG'!C49="","'-'",'FORMATO DIL_MAG'!C49)</f>
        <v>'-'</v>
      </c>
      <c r="D44" s="128" t="str">
        <f>IF('FORMATO DIL_MAG'!D49="","'-'",'FORMATO DIL_MAG'!D49)</f>
        <v>'-'</v>
      </c>
      <c r="E44" s="128" t="str">
        <f>IF('FORMATO DIL_MAG'!E49="","'-'",'FORMATO DIL_MAG'!E49)</f>
        <v>'-'</v>
      </c>
      <c r="F44" s="128" t="str">
        <f>IF('FORMATO DIL_MAG'!F49="","'-'",'FORMATO DIL_MAG'!F49)</f>
        <v>'-'</v>
      </c>
      <c r="G44" s="128" t="str">
        <f>'FORMATO DIL_MAG'!$G$6</f>
        <v>SERVICIO</v>
      </c>
      <c r="H44" s="130">
        <f>'FORMATO DIL_MAG'!H49</f>
        <v>0</v>
      </c>
      <c r="I44" s="131" t="s">
        <v>1018</v>
      </c>
      <c r="J44" s="128">
        <f>'FORMATO DIL_MAG'!Q49</f>
        <v>0</v>
      </c>
      <c r="K44" s="128">
        <f>'FORMATO DIL_MAG'!J49</f>
        <v>0</v>
      </c>
      <c r="L44" s="128" t="e">
        <f>+#REF!</f>
        <v>#REF!</v>
      </c>
      <c r="M44" s="128" t="e">
        <f>+#REF!</f>
        <v>#REF!</v>
      </c>
      <c r="N44" s="128"/>
      <c r="O44" s="132"/>
      <c r="P44" s="131"/>
      <c r="Q44" s="121">
        <f t="shared" si="0"/>
        <v>0</v>
      </c>
      <c r="R44" s="128"/>
      <c r="S44" s="128"/>
    </row>
    <row r="45" spans="1:19" ht="13.5" customHeight="1">
      <c r="A45" s="127" t="str">
        <f>'FORMATO DIL_MAG'!A50</f>
        <v/>
      </c>
      <c r="B45" s="202">
        <f>'FORMATO DIL_MAG'!B50</f>
        <v>0</v>
      </c>
      <c r="C45" s="128" t="str">
        <f>IF('FORMATO DIL_MAG'!C50="","'-'",'FORMATO DIL_MAG'!C50)</f>
        <v>'-'</v>
      </c>
      <c r="D45" s="128" t="str">
        <f>IF('FORMATO DIL_MAG'!D50="","'-'",'FORMATO DIL_MAG'!D50)</f>
        <v>'-'</v>
      </c>
      <c r="E45" s="128" t="str">
        <f>IF('FORMATO DIL_MAG'!E50="","'-'",'FORMATO DIL_MAG'!E50)</f>
        <v>'-'</v>
      </c>
      <c r="F45" s="128" t="str">
        <f>IF('FORMATO DIL_MAG'!F50="","'-'",'FORMATO DIL_MAG'!F50)</f>
        <v>'-'</v>
      </c>
      <c r="G45" s="128" t="str">
        <f>'FORMATO DIL_MAG'!$G$6</f>
        <v>SERVICIO</v>
      </c>
      <c r="H45" s="130">
        <f>'FORMATO DIL_MAG'!H50</f>
        <v>0</v>
      </c>
      <c r="I45" s="131" t="s">
        <v>1018</v>
      </c>
      <c r="J45" s="128">
        <f>'FORMATO DIL_MAG'!Q50</f>
        <v>0</v>
      </c>
      <c r="K45" s="128">
        <f>'FORMATO DIL_MAG'!J50</f>
        <v>0</v>
      </c>
      <c r="L45" s="128" t="e">
        <f>+#REF!</f>
        <v>#REF!</v>
      </c>
      <c r="M45" s="128" t="e">
        <f>+#REF!</f>
        <v>#REF!</v>
      </c>
      <c r="N45" s="128"/>
      <c r="O45" s="132"/>
      <c r="P45" s="131"/>
      <c r="Q45" s="121">
        <f t="shared" si="0"/>
        <v>0</v>
      </c>
      <c r="R45" s="128"/>
      <c r="S45" s="128"/>
    </row>
    <row r="46" spans="1:19" ht="13.5" customHeight="1">
      <c r="A46" s="127" t="str">
        <f>'FORMATO DIL_MAG'!A51</f>
        <v/>
      </c>
      <c r="B46" s="202">
        <f>'FORMATO DIL_MAG'!B51</f>
        <v>0</v>
      </c>
      <c r="C46" s="128" t="str">
        <f>IF('FORMATO DIL_MAG'!C51="","'-'",'FORMATO DIL_MAG'!C51)</f>
        <v>'-'</v>
      </c>
      <c r="D46" s="128" t="str">
        <f>IF('FORMATO DIL_MAG'!D51="","'-'",'FORMATO DIL_MAG'!D51)</f>
        <v>'-'</v>
      </c>
      <c r="E46" s="128" t="str">
        <f>IF('FORMATO DIL_MAG'!E51="","'-'",'FORMATO DIL_MAG'!E51)</f>
        <v>'-'</v>
      </c>
      <c r="F46" s="128" t="str">
        <f>IF('FORMATO DIL_MAG'!F51="","'-'",'FORMATO DIL_MAG'!F51)</f>
        <v>'-'</v>
      </c>
      <c r="G46" s="128" t="str">
        <f>'FORMATO DIL_MAG'!$G$6</f>
        <v>SERVICIO</v>
      </c>
      <c r="H46" s="130">
        <f>'FORMATO DIL_MAG'!H51</f>
        <v>0</v>
      </c>
      <c r="I46" s="131" t="s">
        <v>1018</v>
      </c>
      <c r="J46" s="128">
        <f>'FORMATO DIL_MAG'!Q51</f>
        <v>0</v>
      </c>
      <c r="K46" s="128">
        <f>'FORMATO DIL_MAG'!J51</f>
        <v>0</v>
      </c>
      <c r="L46" s="128" t="e">
        <f>+#REF!</f>
        <v>#REF!</v>
      </c>
      <c r="M46" s="128" t="e">
        <f>+#REF!</f>
        <v>#REF!</v>
      </c>
      <c r="N46" s="128"/>
      <c r="O46" s="132"/>
      <c r="P46" s="131"/>
      <c r="Q46" s="121">
        <f t="shared" si="0"/>
        <v>0</v>
      </c>
      <c r="R46" s="128"/>
      <c r="S46" s="128"/>
    </row>
    <row r="47" spans="1:19" ht="13.5" customHeight="1">
      <c r="A47" s="127" t="str">
        <f>'FORMATO DIL_MAG'!A52</f>
        <v/>
      </c>
      <c r="B47" s="202">
        <f>'FORMATO DIL_MAG'!B52</f>
        <v>0</v>
      </c>
      <c r="C47" s="128" t="str">
        <f>IF('FORMATO DIL_MAG'!C52="","'-'",'FORMATO DIL_MAG'!C52)</f>
        <v>'-'</v>
      </c>
      <c r="D47" s="128" t="str">
        <f>IF('FORMATO DIL_MAG'!D52="","'-'",'FORMATO DIL_MAG'!D52)</f>
        <v>'-'</v>
      </c>
      <c r="E47" s="128" t="str">
        <f>IF('FORMATO DIL_MAG'!E52="","'-'",'FORMATO DIL_MAG'!E52)</f>
        <v>'-'</v>
      </c>
      <c r="F47" s="128" t="str">
        <f>IF('FORMATO DIL_MAG'!F52="","'-'",'FORMATO DIL_MAG'!F52)</f>
        <v>'-'</v>
      </c>
      <c r="G47" s="128" t="str">
        <f>'FORMATO DIL_MAG'!$G$6</f>
        <v>SERVICIO</v>
      </c>
      <c r="H47" s="130">
        <f>'FORMATO DIL_MAG'!H52</f>
        <v>0</v>
      </c>
      <c r="I47" s="131" t="s">
        <v>1018</v>
      </c>
      <c r="J47" s="128">
        <f>'FORMATO DIL_MAG'!Q52</f>
        <v>0</v>
      </c>
      <c r="K47" s="128">
        <f>'FORMATO DIL_MAG'!J52</f>
        <v>0</v>
      </c>
      <c r="L47" s="128" t="e">
        <f>+#REF!</f>
        <v>#REF!</v>
      </c>
      <c r="M47" s="128" t="e">
        <f>+#REF!</f>
        <v>#REF!</v>
      </c>
      <c r="N47" s="128"/>
      <c r="O47" s="132"/>
      <c r="P47" s="131"/>
      <c r="Q47" s="121">
        <f t="shared" si="0"/>
        <v>0</v>
      </c>
      <c r="R47" s="128"/>
      <c r="S47" s="128"/>
    </row>
    <row r="48" spans="1:19" ht="13.5" customHeight="1">
      <c r="A48" s="127" t="str">
        <f>'FORMATO DIL_MAG'!A53</f>
        <v/>
      </c>
      <c r="B48" s="202">
        <f>'FORMATO DIL_MAG'!B53</f>
        <v>0</v>
      </c>
      <c r="C48" s="128" t="str">
        <f>IF('FORMATO DIL_MAG'!C53="","'-'",'FORMATO DIL_MAG'!C53)</f>
        <v>'-'</v>
      </c>
      <c r="D48" s="128" t="str">
        <f>IF('FORMATO DIL_MAG'!D53="","'-'",'FORMATO DIL_MAG'!D53)</f>
        <v>'-'</v>
      </c>
      <c r="E48" s="128" t="str">
        <f>IF('FORMATO DIL_MAG'!E53="","'-'",'FORMATO DIL_MAG'!E53)</f>
        <v>'-'</v>
      </c>
      <c r="F48" s="128" t="str">
        <f>IF('FORMATO DIL_MAG'!F53="","'-'",'FORMATO DIL_MAG'!F53)</f>
        <v>'-'</v>
      </c>
      <c r="G48" s="128" t="str">
        <f>'FORMATO DIL_MAG'!$G$6</f>
        <v>SERVICIO</v>
      </c>
      <c r="H48" s="130">
        <f>'FORMATO DIL_MAG'!H53</f>
        <v>0</v>
      </c>
      <c r="I48" s="131" t="s">
        <v>1018</v>
      </c>
      <c r="J48" s="128">
        <f>'FORMATO DIL_MAG'!Q53</f>
        <v>0</v>
      </c>
      <c r="K48" s="128">
        <f>'FORMATO DIL_MAG'!J53</f>
        <v>0</v>
      </c>
      <c r="L48" s="128" t="e">
        <f>+#REF!</f>
        <v>#REF!</v>
      </c>
      <c r="M48" s="128" t="e">
        <f>+#REF!</f>
        <v>#REF!</v>
      </c>
      <c r="N48" s="128"/>
      <c r="O48" s="132"/>
      <c r="P48" s="131"/>
      <c r="Q48" s="121">
        <f t="shared" si="0"/>
        <v>0</v>
      </c>
      <c r="R48" s="128"/>
      <c r="S48" s="128"/>
    </row>
    <row r="49" spans="1:19" ht="13.5" customHeight="1">
      <c r="A49" s="127" t="str">
        <f>'FORMATO DIL_MAG'!A54</f>
        <v/>
      </c>
      <c r="B49" s="202">
        <f>'FORMATO DIL_MAG'!B54</f>
        <v>0</v>
      </c>
      <c r="C49" s="128" t="str">
        <f>IF('FORMATO DIL_MAG'!C54="","'-'",'FORMATO DIL_MAG'!C54)</f>
        <v>'-'</v>
      </c>
      <c r="D49" s="128" t="str">
        <f>IF('FORMATO DIL_MAG'!D54="","'-'",'FORMATO DIL_MAG'!D54)</f>
        <v>'-'</v>
      </c>
      <c r="E49" s="128" t="str">
        <f>IF('FORMATO DIL_MAG'!E54="","'-'",'FORMATO DIL_MAG'!E54)</f>
        <v>'-'</v>
      </c>
      <c r="F49" s="128" t="str">
        <f>IF('FORMATO DIL_MAG'!F54="","'-'",'FORMATO DIL_MAG'!F54)</f>
        <v>'-'</v>
      </c>
      <c r="G49" s="128" t="str">
        <f>'FORMATO DIL_MAG'!$G$6</f>
        <v>SERVICIO</v>
      </c>
      <c r="H49" s="130">
        <f>'FORMATO DIL_MAG'!H54</f>
        <v>0</v>
      </c>
      <c r="I49" s="131" t="s">
        <v>1018</v>
      </c>
      <c r="J49" s="128">
        <f>'FORMATO DIL_MAG'!Q54</f>
        <v>0</v>
      </c>
      <c r="K49" s="128">
        <f>'FORMATO DIL_MAG'!J54</f>
        <v>0</v>
      </c>
      <c r="L49" s="128" t="e">
        <f>+#REF!</f>
        <v>#REF!</v>
      </c>
      <c r="M49" s="128" t="e">
        <f>+#REF!</f>
        <v>#REF!</v>
      </c>
      <c r="N49" s="128"/>
      <c r="O49" s="132"/>
      <c r="P49" s="131"/>
      <c r="Q49" s="121">
        <f t="shared" si="0"/>
        <v>0</v>
      </c>
      <c r="R49" s="128"/>
      <c r="S49" s="128"/>
    </row>
    <row r="50" spans="1:19" ht="13.5" customHeight="1">
      <c r="A50" s="127" t="str">
        <f>'FORMATO DIL_MAG'!A55</f>
        <v/>
      </c>
      <c r="B50" s="202">
        <f>'FORMATO DIL_MAG'!B55</f>
        <v>0</v>
      </c>
      <c r="C50" s="128" t="str">
        <f>IF('FORMATO DIL_MAG'!C55="","'-'",'FORMATO DIL_MAG'!C55)</f>
        <v>'-'</v>
      </c>
      <c r="D50" s="128" t="str">
        <f>IF('FORMATO DIL_MAG'!D55="","'-'",'FORMATO DIL_MAG'!D55)</f>
        <v>'-'</v>
      </c>
      <c r="E50" s="128" t="str">
        <f>IF('FORMATO DIL_MAG'!E55="","'-'",'FORMATO DIL_MAG'!E55)</f>
        <v>'-'</v>
      </c>
      <c r="F50" s="128" t="str">
        <f>IF('FORMATO DIL_MAG'!F55="","'-'",'FORMATO DIL_MAG'!F55)</f>
        <v>'-'</v>
      </c>
      <c r="G50" s="128" t="str">
        <f>'FORMATO DIL_MAG'!$G$6</f>
        <v>SERVICIO</v>
      </c>
      <c r="H50" s="130">
        <f>'FORMATO DIL_MAG'!H55</f>
        <v>0</v>
      </c>
      <c r="I50" s="131" t="s">
        <v>1018</v>
      </c>
      <c r="J50" s="128">
        <f>'FORMATO DIL_MAG'!Q55</f>
        <v>0</v>
      </c>
      <c r="K50" s="128">
        <f>'FORMATO DIL_MAG'!J55</f>
        <v>0</v>
      </c>
      <c r="L50" s="128" t="e">
        <f>+#REF!</f>
        <v>#REF!</v>
      </c>
      <c r="M50" s="128" t="e">
        <f>+#REF!</f>
        <v>#REF!</v>
      </c>
      <c r="N50" s="128"/>
      <c r="O50" s="132"/>
      <c r="P50" s="131"/>
      <c r="Q50" s="121">
        <f t="shared" si="0"/>
        <v>0</v>
      </c>
      <c r="R50" s="128"/>
      <c r="S50" s="128"/>
    </row>
    <row r="51" spans="1:19" ht="13.5" customHeight="1">
      <c r="A51" s="127" t="str">
        <f>'FORMATO DIL_MAG'!A56</f>
        <v/>
      </c>
      <c r="B51" s="202">
        <f>'FORMATO DIL_MAG'!B56</f>
        <v>0</v>
      </c>
      <c r="C51" s="128" t="str">
        <f>IF('FORMATO DIL_MAG'!C56="","'-'",'FORMATO DIL_MAG'!C56)</f>
        <v>'-'</v>
      </c>
      <c r="D51" s="128" t="str">
        <f>IF('FORMATO DIL_MAG'!D56="","'-'",'FORMATO DIL_MAG'!D56)</f>
        <v>'-'</v>
      </c>
      <c r="E51" s="128" t="str">
        <f>IF('FORMATO DIL_MAG'!E56="","'-'",'FORMATO DIL_MAG'!E56)</f>
        <v>'-'</v>
      </c>
      <c r="F51" s="128" t="str">
        <f>IF('FORMATO DIL_MAG'!F56="","'-'",'FORMATO DIL_MAG'!F56)</f>
        <v>'-'</v>
      </c>
      <c r="G51" s="128" t="str">
        <f>'FORMATO DIL_MAG'!$G$6</f>
        <v>SERVICIO</v>
      </c>
      <c r="H51" s="130">
        <f>'FORMATO DIL_MAG'!H56</f>
        <v>0</v>
      </c>
      <c r="I51" s="131" t="s">
        <v>1018</v>
      </c>
      <c r="J51" s="128">
        <f>'FORMATO DIL_MAG'!Q56</f>
        <v>0</v>
      </c>
      <c r="K51" s="128">
        <f>'FORMATO DIL_MAG'!J56</f>
        <v>0</v>
      </c>
      <c r="L51" s="128" t="e">
        <f>+#REF!</f>
        <v>#REF!</v>
      </c>
      <c r="M51" s="128" t="e">
        <f>+#REF!</f>
        <v>#REF!</v>
      </c>
      <c r="N51" s="128"/>
      <c r="O51" s="132"/>
      <c r="P51" s="131"/>
      <c r="Q51" s="121">
        <f t="shared" si="0"/>
        <v>0</v>
      </c>
      <c r="R51" s="128"/>
      <c r="S51" s="128"/>
    </row>
    <row r="52" spans="1:19" ht="13.5" customHeight="1">
      <c r="A52" s="127" t="str">
        <f>'FORMATO DIL_MAG'!A57</f>
        <v/>
      </c>
      <c r="B52" s="202">
        <f>'FORMATO DIL_MAG'!B57</f>
        <v>0</v>
      </c>
      <c r="C52" s="128" t="str">
        <f>IF('FORMATO DIL_MAG'!C57="","'-'",'FORMATO DIL_MAG'!C57)</f>
        <v>'-'</v>
      </c>
      <c r="D52" s="128" t="str">
        <f>IF('FORMATO DIL_MAG'!D57="","'-'",'FORMATO DIL_MAG'!D57)</f>
        <v>'-'</v>
      </c>
      <c r="E52" s="128" t="str">
        <f>IF('FORMATO DIL_MAG'!E57="","'-'",'FORMATO DIL_MAG'!E57)</f>
        <v>'-'</v>
      </c>
      <c r="F52" s="128" t="str">
        <f>IF('FORMATO DIL_MAG'!F57="","'-'",'FORMATO DIL_MAG'!F57)</f>
        <v>'-'</v>
      </c>
      <c r="G52" s="128" t="str">
        <f>'FORMATO DIL_MAG'!$G$6</f>
        <v>SERVICIO</v>
      </c>
      <c r="H52" s="130">
        <f>'FORMATO DIL_MAG'!H57</f>
        <v>0</v>
      </c>
      <c r="I52" s="131" t="s">
        <v>1018</v>
      </c>
      <c r="J52" s="128">
        <f>'FORMATO DIL_MAG'!Q57</f>
        <v>0</v>
      </c>
      <c r="K52" s="128">
        <f>'FORMATO DIL_MAG'!J57</f>
        <v>0</v>
      </c>
      <c r="L52" s="128" t="e">
        <f>+#REF!</f>
        <v>#REF!</v>
      </c>
      <c r="M52" s="128" t="e">
        <f>+#REF!</f>
        <v>#REF!</v>
      </c>
      <c r="N52" s="128"/>
      <c r="O52" s="132"/>
      <c r="P52" s="131"/>
      <c r="Q52" s="121">
        <f t="shared" si="0"/>
        <v>0</v>
      </c>
      <c r="R52" s="128"/>
      <c r="S52" s="128"/>
    </row>
    <row r="53" spans="1:19" ht="13.5" customHeight="1">
      <c r="A53" s="127" t="str">
        <f>'FORMATO DIL_MAG'!A58</f>
        <v/>
      </c>
      <c r="B53" s="202">
        <f>'FORMATO DIL_MAG'!B58</f>
        <v>0</v>
      </c>
      <c r="C53" s="128" t="str">
        <f>IF('FORMATO DIL_MAG'!C58="","'-'",'FORMATO DIL_MAG'!C58)</f>
        <v>'-'</v>
      </c>
      <c r="D53" s="128" t="str">
        <f>IF('FORMATO DIL_MAG'!D58="","'-'",'FORMATO DIL_MAG'!D58)</f>
        <v>'-'</v>
      </c>
      <c r="E53" s="128" t="str">
        <f>IF('FORMATO DIL_MAG'!E58="","'-'",'FORMATO DIL_MAG'!E58)</f>
        <v>'-'</v>
      </c>
      <c r="F53" s="128" t="str">
        <f>IF('FORMATO DIL_MAG'!F58="","'-'",'FORMATO DIL_MAG'!F58)</f>
        <v>'-'</v>
      </c>
      <c r="G53" s="128" t="str">
        <f>'FORMATO DIL_MAG'!$G$6</f>
        <v>SERVICIO</v>
      </c>
      <c r="H53" s="130">
        <f>'FORMATO DIL_MAG'!H58</f>
        <v>0</v>
      </c>
      <c r="I53" s="131" t="s">
        <v>1018</v>
      </c>
      <c r="J53" s="128">
        <f>'FORMATO DIL_MAG'!Q58</f>
        <v>0</v>
      </c>
      <c r="K53" s="128">
        <f>'FORMATO DIL_MAG'!J58</f>
        <v>0</v>
      </c>
      <c r="L53" s="128" t="e">
        <f>+#REF!</f>
        <v>#REF!</v>
      </c>
      <c r="M53" s="128" t="e">
        <f>+#REF!</f>
        <v>#REF!</v>
      </c>
      <c r="N53" s="128"/>
      <c r="O53" s="132"/>
      <c r="P53" s="131"/>
      <c r="Q53" s="121">
        <f t="shared" si="0"/>
        <v>0</v>
      </c>
      <c r="R53" s="128"/>
      <c r="S53" s="128"/>
    </row>
    <row r="54" spans="1:19" ht="13.5" customHeight="1">
      <c r="A54" s="127" t="str">
        <f>'FORMATO DIL_MAG'!A59</f>
        <v/>
      </c>
      <c r="B54" s="202">
        <f>'FORMATO DIL_MAG'!B59</f>
        <v>0</v>
      </c>
      <c r="C54" s="128" t="str">
        <f>IF('FORMATO DIL_MAG'!C59="","'-'",'FORMATO DIL_MAG'!C59)</f>
        <v>'-'</v>
      </c>
      <c r="D54" s="128" t="str">
        <f>IF('FORMATO DIL_MAG'!D59="","'-'",'FORMATO DIL_MAG'!D59)</f>
        <v>'-'</v>
      </c>
      <c r="E54" s="128" t="str">
        <f>IF('FORMATO DIL_MAG'!E59="","'-'",'FORMATO DIL_MAG'!E59)</f>
        <v>'-'</v>
      </c>
      <c r="F54" s="128" t="str">
        <f>IF('FORMATO DIL_MAG'!F59="","'-'",'FORMATO DIL_MAG'!F59)</f>
        <v>'-'</v>
      </c>
      <c r="G54" s="128" t="str">
        <f>'FORMATO DIL_MAG'!$G$6</f>
        <v>SERVICIO</v>
      </c>
      <c r="H54" s="130">
        <f>'FORMATO DIL_MAG'!H59</f>
        <v>0</v>
      </c>
      <c r="I54" s="131" t="s">
        <v>1018</v>
      </c>
      <c r="J54" s="128">
        <f>'FORMATO DIL_MAG'!Q59</f>
        <v>0</v>
      </c>
      <c r="K54" s="128">
        <f>'FORMATO DIL_MAG'!J59</f>
        <v>0</v>
      </c>
      <c r="L54" s="128" t="e">
        <f>+#REF!</f>
        <v>#REF!</v>
      </c>
      <c r="M54" s="128" t="e">
        <f>+#REF!</f>
        <v>#REF!</v>
      </c>
      <c r="N54" s="128"/>
      <c r="O54" s="132"/>
      <c r="P54" s="131"/>
      <c r="Q54" s="121">
        <f t="shared" si="0"/>
        <v>0</v>
      </c>
      <c r="R54" s="128"/>
      <c r="S54" s="128"/>
    </row>
    <row r="55" spans="1:19" ht="13.5" customHeight="1">
      <c r="A55" s="127" t="str">
        <f>'FORMATO DIL_MAG'!A60</f>
        <v/>
      </c>
      <c r="B55" s="202">
        <f>'FORMATO DIL_MAG'!B60</f>
        <v>0</v>
      </c>
      <c r="C55" s="128" t="str">
        <f>IF('FORMATO DIL_MAG'!C60="","'-'",'FORMATO DIL_MAG'!C60)</f>
        <v>'-'</v>
      </c>
      <c r="D55" s="128" t="str">
        <f>IF('FORMATO DIL_MAG'!D60="","'-'",'FORMATO DIL_MAG'!D60)</f>
        <v>'-'</v>
      </c>
      <c r="E55" s="128" t="str">
        <f>IF('FORMATO DIL_MAG'!E60="","'-'",'FORMATO DIL_MAG'!E60)</f>
        <v>'-'</v>
      </c>
      <c r="F55" s="128" t="str">
        <f>IF('FORMATO DIL_MAG'!F60="","'-'",'FORMATO DIL_MAG'!F60)</f>
        <v>'-'</v>
      </c>
      <c r="G55" s="128" t="str">
        <f>'FORMATO DIL_MAG'!$G$6</f>
        <v>SERVICIO</v>
      </c>
      <c r="H55" s="130">
        <f>'FORMATO DIL_MAG'!H60</f>
        <v>0</v>
      </c>
      <c r="I55" s="131" t="s">
        <v>1018</v>
      </c>
      <c r="J55" s="128">
        <f>'FORMATO DIL_MAG'!Q60</f>
        <v>0</v>
      </c>
      <c r="K55" s="128">
        <f>'FORMATO DIL_MAG'!J60</f>
        <v>0</v>
      </c>
      <c r="L55" s="128" t="e">
        <f>+#REF!</f>
        <v>#REF!</v>
      </c>
      <c r="M55" s="128" t="e">
        <f>+#REF!</f>
        <v>#REF!</v>
      </c>
      <c r="N55" s="128"/>
      <c r="O55" s="132"/>
      <c r="P55" s="131"/>
      <c r="Q55" s="121">
        <f t="shared" si="0"/>
        <v>0</v>
      </c>
      <c r="R55" s="128"/>
      <c r="S55" s="128"/>
    </row>
    <row r="56" spans="1:19" ht="13.5" customHeight="1">
      <c r="A56" s="127" t="str">
        <f>'FORMATO DIL_MAG'!A61</f>
        <v/>
      </c>
      <c r="B56" s="202">
        <f>'FORMATO DIL_MAG'!B61</f>
        <v>0</v>
      </c>
      <c r="C56" s="128" t="str">
        <f>IF('FORMATO DIL_MAG'!C61="","'-'",'FORMATO DIL_MAG'!C61)</f>
        <v>'-'</v>
      </c>
      <c r="D56" s="128" t="str">
        <f>IF('FORMATO DIL_MAG'!D61="","'-'",'FORMATO DIL_MAG'!D61)</f>
        <v>'-'</v>
      </c>
      <c r="E56" s="128" t="str">
        <f>IF('FORMATO DIL_MAG'!E61="","'-'",'FORMATO DIL_MAG'!E61)</f>
        <v>'-'</v>
      </c>
      <c r="F56" s="128" t="str">
        <f>IF('FORMATO DIL_MAG'!F61="","'-'",'FORMATO DIL_MAG'!F61)</f>
        <v>'-'</v>
      </c>
      <c r="G56" s="128" t="str">
        <f>'FORMATO DIL_MAG'!$G$6</f>
        <v>SERVICIO</v>
      </c>
      <c r="H56" s="130">
        <f>'FORMATO DIL_MAG'!H61</f>
        <v>0</v>
      </c>
      <c r="I56" s="131" t="s">
        <v>1018</v>
      </c>
      <c r="J56" s="128">
        <f>'FORMATO DIL_MAG'!Q61</f>
        <v>0</v>
      </c>
      <c r="K56" s="128">
        <f>'FORMATO DIL_MAG'!J61</f>
        <v>0</v>
      </c>
      <c r="L56" s="128" t="e">
        <f>+#REF!</f>
        <v>#REF!</v>
      </c>
      <c r="M56" s="128" t="e">
        <f>+#REF!</f>
        <v>#REF!</v>
      </c>
      <c r="N56" s="128"/>
      <c r="O56" s="132"/>
      <c r="P56" s="131"/>
      <c r="Q56" s="121">
        <f t="shared" si="0"/>
        <v>0</v>
      </c>
      <c r="R56" s="128"/>
      <c r="S56" s="128"/>
    </row>
    <row r="57" spans="1:19" ht="13.5" customHeight="1">
      <c r="A57" s="127" t="str">
        <f>'FORMATO DIL_MAG'!A62</f>
        <v/>
      </c>
      <c r="B57" s="202">
        <f>'FORMATO DIL_MAG'!B62</f>
        <v>0</v>
      </c>
      <c r="C57" s="128" t="str">
        <f>IF('FORMATO DIL_MAG'!C62="","'-'",'FORMATO DIL_MAG'!C62)</f>
        <v>'-'</v>
      </c>
      <c r="D57" s="128" t="str">
        <f>IF('FORMATO DIL_MAG'!D62="","'-'",'FORMATO DIL_MAG'!D62)</f>
        <v>'-'</v>
      </c>
      <c r="E57" s="128" t="str">
        <f>IF('FORMATO DIL_MAG'!E62="","'-'",'FORMATO DIL_MAG'!E62)</f>
        <v>'-'</v>
      </c>
      <c r="F57" s="128" t="str">
        <f>IF('FORMATO DIL_MAG'!F62="","'-'",'FORMATO DIL_MAG'!F62)</f>
        <v>'-'</v>
      </c>
      <c r="G57" s="128" t="str">
        <f>'FORMATO DIL_MAG'!$G$6</f>
        <v>SERVICIO</v>
      </c>
      <c r="H57" s="130">
        <f>'FORMATO DIL_MAG'!H62</f>
        <v>0</v>
      </c>
      <c r="I57" s="131" t="s">
        <v>1018</v>
      </c>
      <c r="J57" s="128">
        <f>'FORMATO DIL_MAG'!Q62</f>
        <v>0</v>
      </c>
      <c r="K57" s="128">
        <f>'FORMATO DIL_MAG'!J62</f>
        <v>0</v>
      </c>
      <c r="L57" s="128" t="e">
        <f>+#REF!</f>
        <v>#REF!</v>
      </c>
      <c r="M57" s="128" t="e">
        <f>+#REF!</f>
        <v>#REF!</v>
      </c>
      <c r="N57" s="128"/>
      <c r="O57" s="132"/>
      <c r="P57" s="131"/>
      <c r="Q57" s="121">
        <f t="shared" si="0"/>
        <v>0</v>
      </c>
      <c r="R57" s="128"/>
      <c r="S57" s="128"/>
    </row>
    <row r="58" spans="1:19" ht="13.5" customHeight="1">
      <c r="A58" s="127" t="str">
        <f>'FORMATO DIL_MAG'!A63</f>
        <v/>
      </c>
      <c r="B58" s="202">
        <f>'FORMATO DIL_MAG'!B63</f>
        <v>0</v>
      </c>
      <c r="C58" s="128" t="str">
        <f>IF('FORMATO DIL_MAG'!C63="","'-'",'FORMATO DIL_MAG'!C63)</f>
        <v>'-'</v>
      </c>
      <c r="D58" s="128" t="str">
        <f>IF('FORMATO DIL_MAG'!D63="","'-'",'FORMATO DIL_MAG'!D63)</f>
        <v>'-'</v>
      </c>
      <c r="E58" s="128" t="str">
        <f>IF('FORMATO DIL_MAG'!E63="","'-'",'FORMATO DIL_MAG'!E63)</f>
        <v>'-'</v>
      </c>
      <c r="F58" s="128" t="str">
        <f>IF('FORMATO DIL_MAG'!F63="","'-'",'FORMATO DIL_MAG'!F63)</f>
        <v>'-'</v>
      </c>
      <c r="G58" s="128" t="str">
        <f>'FORMATO DIL_MAG'!$G$6</f>
        <v>SERVICIO</v>
      </c>
      <c r="H58" s="130">
        <f>'FORMATO DIL_MAG'!H63</f>
        <v>0</v>
      </c>
      <c r="I58" s="131" t="s">
        <v>1018</v>
      </c>
      <c r="J58" s="128">
        <f>'FORMATO DIL_MAG'!Q63</f>
        <v>0</v>
      </c>
      <c r="K58" s="128">
        <f>'FORMATO DIL_MAG'!J63</f>
        <v>0</v>
      </c>
      <c r="L58" s="128" t="e">
        <f>+#REF!</f>
        <v>#REF!</v>
      </c>
      <c r="M58" s="128" t="e">
        <f>+#REF!</f>
        <v>#REF!</v>
      </c>
      <c r="N58" s="128"/>
      <c r="O58" s="132"/>
      <c r="P58" s="131"/>
      <c r="Q58" s="121">
        <f t="shared" si="0"/>
        <v>0</v>
      </c>
      <c r="R58" s="128"/>
      <c r="S58" s="128"/>
    </row>
    <row r="59" spans="1:19" ht="13.5" customHeight="1">
      <c r="A59" s="127" t="str">
        <f>'FORMATO DIL_MAG'!A64</f>
        <v/>
      </c>
      <c r="B59" s="202">
        <f>'FORMATO DIL_MAG'!B64</f>
        <v>0</v>
      </c>
      <c r="C59" s="128" t="str">
        <f>IF('FORMATO DIL_MAG'!C64="","'-'",'FORMATO DIL_MAG'!C64)</f>
        <v>'-'</v>
      </c>
      <c r="D59" s="128" t="str">
        <f>IF('FORMATO DIL_MAG'!D64="","'-'",'FORMATO DIL_MAG'!D64)</f>
        <v>'-'</v>
      </c>
      <c r="E59" s="128" t="str">
        <f>IF('FORMATO DIL_MAG'!E64="","'-'",'FORMATO DIL_MAG'!E64)</f>
        <v>'-'</v>
      </c>
      <c r="F59" s="128" t="str">
        <f>IF('FORMATO DIL_MAG'!F64="","'-'",'FORMATO DIL_MAG'!F64)</f>
        <v>'-'</v>
      </c>
      <c r="G59" s="128" t="str">
        <f>'FORMATO DIL_MAG'!$G$6</f>
        <v>SERVICIO</v>
      </c>
      <c r="H59" s="130">
        <f>'FORMATO DIL_MAG'!H64</f>
        <v>0</v>
      </c>
      <c r="I59" s="131" t="s">
        <v>1018</v>
      </c>
      <c r="J59" s="128">
        <f>'FORMATO DIL_MAG'!Q64</f>
        <v>0</v>
      </c>
      <c r="K59" s="128">
        <f>'FORMATO DIL_MAG'!J64</f>
        <v>0</v>
      </c>
      <c r="L59" s="128" t="e">
        <f>+#REF!</f>
        <v>#REF!</v>
      </c>
      <c r="M59" s="128" t="e">
        <f>+#REF!</f>
        <v>#REF!</v>
      </c>
      <c r="N59" s="128"/>
      <c r="O59" s="132"/>
      <c r="P59" s="131"/>
      <c r="Q59" s="121">
        <f t="shared" si="0"/>
        <v>0</v>
      </c>
      <c r="R59" s="128"/>
      <c r="S59" s="128"/>
    </row>
    <row r="60" spans="1:19" ht="13.5" customHeight="1">
      <c r="A60" s="127" t="str">
        <f>'FORMATO DIL_MAG'!A65</f>
        <v/>
      </c>
      <c r="B60" s="202">
        <f>'FORMATO DIL_MAG'!B65</f>
        <v>0</v>
      </c>
      <c r="C60" s="128" t="str">
        <f>IF('FORMATO DIL_MAG'!C65="","'-'",'FORMATO DIL_MAG'!C65)</f>
        <v>'-'</v>
      </c>
      <c r="D60" s="128" t="str">
        <f>IF('FORMATO DIL_MAG'!D65="","'-'",'FORMATO DIL_MAG'!D65)</f>
        <v>'-'</v>
      </c>
      <c r="E60" s="128" t="str">
        <f>IF('FORMATO DIL_MAG'!E65="","'-'",'FORMATO DIL_MAG'!E65)</f>
        <v>'-'</v>
      </c>
      <c r="F60" s="128" t="str">
        <f>IF('FORMATO DIL_MAG'!F65="","'-'",'FORMATO DIL_MAG'!F65)</f>
        <v>'-'</v>
      </c>
      <c r="G60" s="128" t="str">
        <f>'FORMATO DIL_MAG'!$G$6</f>
        <v>SERVICIO</v>
      </c>
      <c r="H60" s="130">
        <f>'FORMATO DIL_MAG'!H65</f>
        <v>0</v>
      </c>
      <c r="I60" s="131" t="s">
        <v>1018</v>
      </c>
      <c r="J60" s="128">
        <f>'FORMATO DIL_MAG'!Q65</f>
        <v>0</v>
      </c>
      <c r="K60" s="128">
        <f>'FORMATO DIL_MAG'!J65</f>
        <v>0</v>
      </c>
      <c r="L60" s="128" t="e">
        <f>+#REF!</f>
        <v>#REF!</v>
      </c>
      <c r="M60" s="128" t="e">
        <f>+#REF!</f>
        <v>#REF!</v>
      </c>
      <c r="N60" s="128"/>
      <c r="O60" s="132"/>
      <c r="P60" s="131"/>
      <c r="Q60" s="121">
        <f t="shared" si="0"/>
        <v>0</v>
      </c>
      <c r="R60" s="128"/>
      <c r="S60" s="128"/>
    </row>
    <row r="61" spans="1:19" ht="13.5" customHeight="1">
      <c r="A61" s="127" t="str">
        <f>'FORMATO DIL_MAG'!A66</f>
        <v/>
      </c>
      <c r="B61" s="202">
        <f>'FORMATO DIL_MAG'!B66</f>
        <v>0</v>
      </c>
      <c r="C61" s="128" t="str">
        <f>IF('FORMATO DIL_MAG'!C66="","'-'",'FORMATO DIL_MAG'!C66)</f>
        <v>'-'</v>
      </c>
      <c r="D61" s="128" t="str">
        <f>IF('FORMATO DIL_MAG'!D66="","'-'",'FORMATO DIL_MAG'!D66)</f>
        <v>'-'</v>
      </c>
      <c r="E61" s="128" t="str">
        <f>IF('FORMATO DIL_MAG'!E66="","'-'",'FORMATO DIL_MAG'!E66)</f>
        <v>'-'</v>
      </c>
      <c r="F61" s="128" t="str">
        <f>IF('FORMATO DIL_MAG'!F66="","'-'",'FORMATO DIL_MAG'!F66)</f>
        <v>'-'</v>
      </c>
      <c r="G61" s="128" t="str">
        <f>'FORMATO DIL_MAG'!$G$6</f>
        <v>SERVICIO</v>
      </c>
      <c r="H61" s="130">
        <f>'FORMATO DIL_MAG'!H66</f>
        <v>0</v>
      </c>
      <c r="I61" s="131" t="s">
        <v>1018</v>
      </c>
      <c r="J61" s="128">
        <f>'FORMATO DIL_MAG'!Q66</f>
        <v>0</v>
      </c>
      <c r="K61" s="128">
        <f>'FORMATO DIL_MAG'!J66</f>
        <v>0</v>
      </c>
      <c r="L61" s="128" t="e">
        <f>+#REF!</f>
        <v>#REF!</v>
      </c>
      <c r="M61" s="128" t="e">
        <f>+#REF!</f>
        <v>#REF!</v>
      </c>
      <c r="N61" s="128"/>
      <c r="O61" s="132"/>
      <c r="P61" s="131"/>
      <c r="Q61" s="121">
        <f t="shared" si="0"/>
        <v>0</v>
      </c>
      <c r="R61" s="128"/>
      <c r="S61" s="128"/>
    </row>
    <row r="62" spans="1:19" ht="13.5" customHeight="1">
      <c r="A62" s="127" t="str">
        <f>'FORMATO DIL_MAG'!A67</f>
        <v/>
      </c>
      <c r="B62" s="202">
        <f>'FORMATO DIL_MAG'!B67</f>
        <v>0</v>
      </c>
      <c r="C62" s="128" t="str">
        <f>IF('FORMATO DIL_MAG'!C67="","'-'",'FORMATO DIL_MAG'!C67)</f>
        <v>'-'</v>
      </c>
      <c r="D62" s="128" t="str">
        <f>IF('FORMATO DIL_MAG'!D67="","'-'",'FORMATO DIL_MAG'!D67)</f>
        <v>'-'</v>
      </c>
      <c r="E62" s="128" t="str">
        <f>IF('FORMATO DIL_MAG'!E67="","'-'",'FORMATO DIL_MAG'!E67)</f>
        <v>'-'</v>
      </c>
      <c r="F62" s="128" t="str">
        <f>IF('FORMATO DIL_MAG'!F67="","'-'",'FORMATO DIL_MAG'!F67)</f>
        <v>'-'</v>
      </c>
      <c r="G62" s="128" t="str">
        <f>'FORMATO DIL_MAG'!$G$6</f>
        <v>SERVICIO</v>
      </c>
      <c r="H62" s="130">
        <f>'FORMATO DIL_MAG'!H67</f>
        <v>0</v>
      </c>
      <c r="I62" s="131" t="s">
        <v>1018</v>
      </c>
      <c r="J62" s="128">
        <f>'FORMATO DIL_MAG'!Q67</f>
        <v>0</v>
      </c>
      <c r="K62" s="128">
        <f>'FORMATO DIL_MAG'!J67</f>
        <v>0</v>
      </c>
      <c r="L62" s="128" t="e">
        <f>+#REF!</f>
        <v>#REF!</v>
      </c>
      <c r="M62" s="128" t="e">
        <f>+#REF!</f>
        <v>#REF!</v>
      </c>
      <c r="N62" s="128"/>
      <c r="O62" s="132"/>
      <c r="P62" s="131"/>
      <c r="Q62" s="121">
        <f t="shared" si="0"/>
        <v>0</v>
      </c>
      <c r="R62" s="128"/>
      <c r="S62" s="128"/>
    </row>
    <row r="63" spans="1:19" ht="13.5" customHeight="1">
      <c r="A63" s="127" t="str">
        <f>'FORMATO DIL_MAG'!A68</f>
        <v/>
      </c>
      <c r="B63" s="202">
        <f>'FORMATO DIL_MAG'!B68</f>
        <v>0</v>
      </c>
      <c r="C63" s="128" t="str">
        <f>IF('FORMATO DIL_MAG'!C68="","'-'",'FORMATO DIL_MAG'!C68)</f>
        <v>'-'</v>
      </c>
      <c r="D63" s="128" t="str">
        <f>IF('FORMATO DIL_MAG'!D68="","'-'",'FORMATO DIL_MAG'!D68)</f>
        <v>'-'</v>
      </c>
      <c r="E63" s="128" t="str">
        <f>IF('FORMATO DIL_MAG'!E68="","'-'",'FORMATO DIL_MAG'!E68)</f>
        <v>'-'</v>
      </c>
      <c r="F63" s="128" t="str">
        <f>IF('FORMATO DIL_MAG'!F68="","'-'",'FORMATO DIL_MAG'!F68)</f>
        <v>'-'</v>
      </c>
      <c r="G63" s="128" t="str">
        <f>'FORMATO DIL_MAG'!$G$6</f>
        <v>SERVICIO</v>
      </c>
      <c r="H63" s="130">
        <f>'FORMATO DIL_MAG'!H68</f>
        <v>0</v>
      </c>
      <c r="I63" s="131" t="s">
        <v>1018</v>
      </c>
      <c r="J63" s="128">
        <f>'FORMATO DIL_MAG'!Q68</f>
        <v>0</v>
      </c>
      <c r="K63" s="128">
        <f>'FORMATO DIL_MAG'!J68</f>
        <v>0</v>
      </c>
      <c r="L63" s="128" t="e">
        <f>+#REF!</f>
        <v>#REF!</v>
      </c>
      <c r="M63" s="128" t="e">
        <f>+#REF!</f>
        <v>#REF!</v>
      </c>
      <c r="N63" s="128"/>
      <c r="O63" s="132"/>
      <c r="P63" s="131"/>
      <c r="Q63" s="121">
        <f t="shared" si="0"/>
        <v>0</v>
      </c>
      <c r="R63" s="128"/>
      <c r="S63" s="128"/>
    </row>
    <row r="64" spans="1:19" ht="13.5" customHeight="1">
      <c r="A64" s="127" t="str">
        <f>'FORMATO DIL_MAG'!A69</f>
        <v/>
      </c>
      <c r="B64" s="202">
        <f>'FORMATO DIL_MAG'!B69</f>
        <v>0</v>
      </c>
      <c r="C64" s="128" t="str">
        <f>IF('FORMATO DIL_MAG'!C69="","'-'",'FORMATO DIL_MAG'!C69)</f>
        <v>'-'</v>
      </c>
      <c r="D64" s="128" t="str">
        <f>IF('FORMATO DIL_MAG'!D69="","'-'",'FORMATO DIL_MAG'!D69)</f>
        <v>'-'</v>
      </c>
      <c r="E64" s="128" t="str">
        <f>IF('FORMATO DIL_MAG'!E69="","'-'",'FORMATO DIL_MAG'!E69)</f>
        <v>'-'</v>
      </c>
      <c r="F64" s="128" t="str">
        <f>IF('FORMATO DIL_MAG'!F69="","'-'",'FORMATO DIL_MAG'!F69)</f>
        <v>'-'</v>
      </c>
      <c r="G64" s="128" t="str">
        <f>'FORMATO DIL_MAG'!$G$6</f>
        <v>SERVICIO</v>
      </c>
      <c r="H64" s="130">
        <f>'FORMATO DIL_MAG'!H69</f>
        <v>0</v>
      </c>
      <c r="I64" s="131" t="s">
        <v>1018</v>
      </c>
      <c r="J64" s="128">
        <f>'FORMATO DIL_MAG'!Q69</f>
        <v>0</v>
      </c>
      <c r="K64" s="128">
        <f>'FORMATO DIL_MAG'!J69</f>
        <v>0</v>
      </c>
      <c r="L64" s="128" t="e">
        <f>+#REF!</f>
        <v>#REF!</v>
      </c>
      <c r="M64" s="128" t="e">
        <f>+#REF!</f>
        <v>#REF!</v>
      </c>
      <c r="N64" s="128"/>
      <c r="O64" s="132"/>
      <c r="P64" s="131"/>
      <c r="Q64" s="121">
        <f t="shared" si="0"/>
        <v>0</v>
      </c>
      <c r="R64" s="128"/>
      <c r="S64" s="128"/>
    </row>
    <row r="65" spans="1:19" ht="13.5" customHeight="1">
      <c r="A65" s="127" t="str">
        <f>'FORMATO DIL_MAG'!A70</f>
        <v/>
      </c>
      <c r="B65" s="202">
        <f>'FORMATO DIL_MAG'!B70</f>
        <v>0</v>
      </c>
      <c r="C65" s="128" t="str">
        <f>IF('FORMATO DIL_MAG'!C70="","'-'",'FORMATO DIL_MAG'!C70)</f>
        <v>'-'</v>
      </c>
      <c r="D65" s="128" t="str">
        <f>IF('FORMATO DIL_MAG'!D70="","'-'",'FORMATO DIL_MAG'!D70)</f>
        <v>'-'</v>
      </c>
      <c r="E65" s="128" t="str">
        <f>IF('FORMATO DIL_MAG'!E70="","'-'",'FORMATO DIL_MAG'!E70)</f>
        <v>'-'</v>
      </c>
      <c r="F65" s="128" t="str">
        <f>IF('FORMATO DIL_MAG'!F70="","'-'",'FORMATO DIL_MAG'!F70)</f>
        <v>'-'</v>
      </c>
      <c r="G65" s="128" t="str">
        <f>'FORMATO DIL_MAG'!$G$6</f>
        <v>SERVICIO</v>
      </c>
      <c r="H65" s="130">
        <f>'FORMATO DIL_MAG'!H70</f>
        <v>0</v>
      </c>
      <c r="I65" s="131" t="s">
        <v>1018</v>
      </c>
      <c r="J65" s="128">
        <f>'FORMATO DIL_MAG'!Q70</f>
        <v>0</v>
      </c>
      <c r="K65" s="128">
        <f>'FORMATO DIL_MAG'!J70</f>
        <v>0</v>
      </c>
      <c r="L65" s="128" t="e">
        <f>+#REF!</f>
        <v>#REF!</v>
      </c>
      <c r="M65" s="128" t="e">
        <f>+#REF!</f>
        <v>#REF!</v>
      </c>
      <c r="N65" s="128"/>
      <c r="O65" s="132"/>
      <c r="P65" s="131"/>
      <c r="Q65" s="121">
        <f t="shared" si="0"/>
        <v>0</v>
      </c>
      <c r="R65" s="128"/>
      <c r="S65" s="128"/>
    </row>
    <row r="66" spans="1:19" ht="13.5" customHeight="1">
      <c r="A66" s="127" t="str">
        <f>'FORMATO DIL_MAG'!A71</f>
        <v/>
      </c>
      <c r="B66" s="202">
        <f>'FORMATO DIL_MAG'!B71</f>
        <v>0</v>
      </c>
      <c r="C66" s="128" t="str">
        <f>IF('FORMATO DIL_MAG'!C71="","'-'",'FORMATO DIL_MAG'!C71)</f>
        <v>'-'</v>
      </c>
      <c r="D66" s="128" t="str">
        <f>IF('FORMATO DIL_MAG'!D71="","'-'",'FORMATO DIL_MAG'!D71)</f>
        <v>'-'</v>
      </c>
      <c r="E66" s="128" t="str">
        <f>IF('FORMATO DIL_MAG'!E71="","'-'",'FORMATO DIL_MAG'!E71)</f>
        <v>'-'</v>
      </c>
      <c r="F66" s="128" t="str">
        <f>IF('FORMATO DIL_MAG'!F71="","'-'",'FORMATO DIL_MAG'!F71)</f>
        <v>'-'</v>
      </c>
      <c r="G66" s="128" t="str">
        <f>'FORMATO DIL_MAG'!$G$6</f>
        <v>SERVICIO</v>
      </c>
      <c r="H66" s="130">
        <f>'FORMATO DIL_MAG'!H71</f>
        <v>0</v>
      </c>
      <c r="I66" s="131" t="s">
        <v>1018</v>
      </c>
      <c r="J66" s="128">
        <f>'FORMATO DIL_MAG'!Q71</f>
        <v>0</v>
      </c>
      <c r="K66" s="128">
        <f>'FORMATO DIL_MAG'!J71</f>
        <v>0</v>
      </c>
      <c r="L66" s="128" t="e">
        <f>+#REF!</f>
        <v>#REF!</v>
      </c>
      <c r="M66" s="128" t="e">
        <f>+#REF!</f>
        <v>#REF!</v>
      </c>
      <c r="N66" s="128"/>
      <c r="O66" s="132"/>
      <c r="P66" s="131"/>
      <c r="Q66" s="121">
        <f t="shared" si="0"/>
        <v>0</v>
      </c>
      <c r="R66" s="128"/>
      <c r="S66" s="128"/>
    </row>
    <row r="67" spans="1:19" ht="13.5" customHeight="1">
      <c r="A67" s="127" t="str">
        <f>'FORMATO DIL_MAG'!A72</f>
        <v/>
      </c>
      <c r="B67" s="202">
        <f>'FORMATO DIL_MAG'!B72</f>
        <v>0</v>
      </c>
      <c r="C67" s="128" t="str">
        <f>IF('FORMATO DIL_MAG'!C72="","'-'",'FORMATO DIL_MAG'!C72)</f>
        <v>'-'</v>
      </c>
      <c r="D67" s="128" t="str">
        <f>IF('FORMATO DIL_MAG'!D72="","'-'",'FORMATO DIL_MAG'!D72)</f>
        <v>'-'</v>
      </c>
      <c r="E67" s="128" t="str">
        <f>IF('FORMATO DIL_MAG'!E72="","'-'",'FORMATO DIL_MAG'!E72)</f>
        <v>'-'</v>
      </c>
      <c r="F67" s="128" t="str">
        <f>IF('FORMATO DIL_MAG'!F72="","'-'",'FORMATO DIL_MAG'!F72)</f>
        <v>'-'</v>
      </c>
      <c r="G67" s="128" t="str">
        <f>'FORMATO DIL_MAG'!$G$6</f>
        <v>SERVICIO</v>
      </c>
      <c r="H67" s="130">
        <f>'FORMATO DIL_MAG'!H72</f>
        <v>0</v>
      </c>
      <c r="I67" s="131" t="s">
        <v>1018</v>
      </c>
      <c r="J67" s="128">
        <f>'FORMATO DIL_MAG'!Q72</f>
        <v>0</v>
      </c>
      <c r="K67" s="128">
        <f>'FORMATO DIL_MAG'!J72</f>
        <v>0</v>
      </c>
      <c r="L67" s="128" t="e">
        <f>+#REF!</f>
        <v>#REF!</v>
      </c>
      <c r="M67" s="128" t="e">
        <f>+#REF!</f>
        <v>#REF!</v>
      </c>
      <c r="N67" s="128"/>
      <c r="O67" s="132"/>
      <c r="P67" s="131"/>
      <c r="Q67" s="121">
        <f t="shared" si="0"/>
        <v>0</v>
      </c>
      <c r="R67" s="128"/>
      <c r="S67" s="128"/>
    </row>
    <row r="68" spans="1:19" ht="13.5" customHeight="1">
      <c r="A68" s="127" t="str">
        <f>'FORMATO DIL_MAG'!A73</f>
        <v/>
      </c>
      <c r="B68" s="202">
        <f>'FORMATO DIL_MAG'!B73</f>
        <v>0</v>
      </c>
      <c r="C68" s="128" t="str">
        <f>IF('FORMATO DIL_MAG'!C73="","'-'",'FORMATO DIL_MAG'!C73)</f>
        <v>'-'</v>
      </c>
      <c r="D68" s="128" t="str">
        <f>IF('FORMATO DIL_MAG'!D73="","'-'",'FORMATO DIL_MAG'!D73)</f>
        <v>'-'</v>
      </c>
      <c r="E68" s="128" t="str">
        <f>IF('FORMATO DIL_MAG'!E73="","'-'",'FORMATO DIL_MAG'!E73)</f>
        <v>'-'</v>
      </c>
      <c r="F68" s="128" t="str">
        <f>IF('FORMATO DIL_MAG'!F73="","'-'",'FORMATO DIL_MAG'!F73)</f>
        <v>'-'</v>
      </c>
      <c r="G68" s="128" t="str">
        <f>'FORMATO DIL_MAG'!$G$6</f>
        <v>SERVICIO</v>
      </c>
      <c r="H68" s="130">
        <f>'FORMATO DIL_MAG'!H73</f>
        <v>0</v>
      </c>
      <c r="I68" s="131" t="s">
        <v>1018</v>
      </c>
      <c r="J68" s="128">
        <f>'FORMATO DIL_MAG'!Q73</f>
        <v>0</v>
      </c>
      <c r="K68" s="128">
        <f>'FORMATO DIL_MAG'!J73</f>
        <v>0</v>
      </c>
      <c r="L68" s="128" t="e">
        <f>+#REF!</f>
        <v>#REF!</v>
      </c>
      <c r="M68" s="128" t="e">
        <f>+#REF!</f>
        <v>#REF!</v>
      </c>
      <c r="N68" s="128"/>
      <c r="O68" s="132"/>
      <c r="P68" s="131"/>
      <c r="Q68" s="121">
        <f t="shared" si="0"/>
        <v>0</v>
      </c>
      <c r="R68" s="128"/>
      <c r="S68" s="128"/>
    </row>
    <row r="69" spans="1:19" ht="13.5" customHeight="1">
      <c r="A69" s="127" t="str">
        <f>'FORMATO DIL_MAG'!A74</f>
        <v/>
      </c>
      <c r="B69" s="202">
        <f>'FORMATO DIL_MAG'!B74</f>
        <v>0</v>
      </c>
      <c r="C69" s="128" t="str">
        <f>IF('FORMATO DIL_MAG'!C74="","'-'",'FORMATO DIL_MAG'!C74)</f>
        <v>'-'</v>
      </c>
      <c r="D69" s="128" t="str">
        <f>IF('FORMATO DIL_MAG'!D74="","'-'",'FORMATO DIL_MAG'!D74)</f>
        <v>'-'</v>
      </c>
      <c r="E69" s="128" t="str">
        <f>IF('FORMATO DIL_MAG'!E74="","'-'",'FORMATO DIL_MAG'!E74)</f>
        <v>'-'</v>
      </c>
      <c r="F69" s="128" t="str">
        <f>IF('FORMATO DIL_MAG'!F74="","'-'",'FORMATO DIL_MAG'!F74)</f>
        <v>'-'</v>
      </c>
      <c r="G69" s="128" t="str">
        <f>'FORMATO DIL_MAG'!$G$6</f>
        <v>SERVICIO</v>
      </c>
      <c r="H69" s="130">
        <f>'FORMATO DIL_MAG'!H74</f>
        <v>0</v>
      </c>
      <c r="I69" s="131" t="s">
        <v>1018</v>
      </c>
      <c r="J69" s="128">
        <f>'FORMATO DIL_MAG'!Q74</f>
        <v>0</v>
      </c>
      <c r="K69" s="128">
        <f>'FORMATO DIL_MAG'!J74</f>
        <v>0</v>
      </c>
      <c r="L69" s="128" t="e">
        <f>+#REF!</f>
        <v>#REF!</v>
      </c>
      <c r="M69" s="128" t="e">
        <f>+#REF!</f>
        <v>#REF!</v>
      </c>
      <c r="N69" s="128"/>
      <c r="O69" s="132"/>
      <c r="P69" s="131"/>
      <c r="Q69" s="121">
        <f t="shared" si="0"/>
        <v>0</v>
      </c>
      <c r="R69" s="128"/>
      <c r="S69" s="128"/>
    </row>
    <row r="70" spans="1:19" ht="13.5" customHeight="1">
      <c r="A70" s="127" t="str">
        <f>'FORMATO DIL_MAG'!A75</f>
        <v/>
      </c>
      <c r="B70" s="202">
        <f>'FORMATO DIL_MAG'!B75</f>
        <v>0</v>
      </c>
      <c r="C70" s="128" t="str">
        <f>IF('FORMATO DIL_MAG'!C75="","'-'",'FORMATO DIL_MAG'!C75)</f>
        <v>'-'</v>
      </c>
      <c r="D70" s="128" t="str">
        <f>IF('FORMATO DIL_MAG'!D75="","'-'",'FORMATO DIL_MAG'!D75)</f>
        <v>'-'</v>
      </c>
      <c r="E70" s="128" t="str">
        <f>IF('FORMATO DIL_MAG'!E75="","'-'",'FORMATO DIL_MAG'!E75)</f>
        <v>'-'</v>
      </c>
      <c r="F70" s="128" t="str">
        <f>IF('FORMATO DIL_MAG'!F75="","'-'",'FORMATO DIL_MAG'!F75)</f>
        <v>'-'</v>
      </c>
      <c r="G70" s="128" t="str">
        <f>'FORMATO DIL_MAG'!$G$6</f>
        <v>SERVICIO</v>
      </c>
      <c r="H70" s="130">
        <f>'FORMATO DIL_MAG'!H75</f>
        <v>0</v>
      </c>
      <c r="I70" s="131" t="s">
        <v>1018</v>
      </c>
      <c r="J70" s="128">
        <f>'FORMATO DIL_MAG'!Q75</f>
        <v>0</v>
      </c>
      <c r="K70" s="128">
        <f>'FORMATO DIL_MAG'!J75</f>
        <v>0</v>
      </c>
      <c r="L70" s="128" t="e">
        <f>+#REF!</f>
        <v>#REF!</v>
      </c>
      <c r="M70" s="128" t="e">
        <f>+#REF!</f>
        <v>#REF!</v>
      </c>
      <c r="N70" s="128"/>
      <c r="O70" s="132"/>
      <c r="P70" s="131"/>
      <c r="Q70" s="121">
        <f t="shared" si="0"/>
        <v>0</v>
      </c>
      <c r="R70" s="128"/>
      <c r="S70" s="128"/>
    </row>
    <row r="71" spans="1:19" ht="15.75" customHeight="1">
      <c r="A71" s="133"/>
      <c r="B71" s="133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</row>
    <row r="72" spans="1:19" ht="15.75" customHeight="1">
      <c r="A72" s="532"/>
      <c r="B72" s="533"/>
      <c r="C72" s="533"/>
      <c r="D72" s="533"/>
      <c r="E72" s="533"/>
      <c r="F72" s="533"/>
      <c r="G72" s="534"/>
      <c r="H72" s="870" t="s">
        <v>437</v>
      </c>
      <c r="I72" s="870"/>
      <c r="J72" s="535">
        <f>+SUM(J7:J70)</f>
        <v>0</v>
      </c>
      <c r="K72" s="871"/>
      <c r="L72" s="871"/>
      <c r="M72" s="871"/>
      <c r="N72" s="871"/>
      <c r="O72" s="871"/>
      <c r="P72" s="871"/>
    </row>
    <row r="73" spans="1:19" ht="15.75" customHeight="1">
      <c r="A73" s="872" t="s">
        <v>438</v>
      </c>
      <c r="B73" s="872"/>
      <c r="C73" s="536"/>
      <c r="D73" s="537"/>
      <c r="E73" s="872" t="s">
        <v>439</v>
      </c>
      <c r="F73" s="872"/>
      <c r="G73" s="873"/>
      <c r="H73" s="874"/>
      <c r="I73" s="536"/>
      <c r="J73" s="536"/>
      <c r="K73" s="536"/>
      <c r="L73" s="536"/>
      <c r="M73" s="536"/>
      <c r="N73" s="536"/>
      <c r="O73" s="536"/>
      <c r="P73" s="536"/>
    </row>
    <row r="74" spans="1:19" ht="15.75" customHeight="1" thickBot="1">
      <c r="A74" s="538" t="s">
        <v>440</v>
      </c>
      <c r="B74" s="539"/>
      <c r="C74" s="539"/>
      <c r="D74" s="539"/>
      <c r="E74" s="539"/>
      <c r="F74" s="539"/>
      <c r="G74" s="539"/>
      <c r="H74" s="539"/>
      <c r="I74" s="539"/>
      <c r="J74" s="539"/>
      <c r="K74" s="539"/>
      <c r="L74" s="539"/>
      <c r="M74" s="539"/>
      <c r="N74" s="539"/>
      <c r="O74" s="539"/>
      <c r="P74" s="539"/>
    </row>
    <row r="75" spans="1:19" ht="15.75" customHeight="1">
      <c r="A75" s="860" t="s">
        <v>439</v>
      </c>
      <c r="B75" s="852"/>
      <c r="C75" s="852" t="s">
        <v>441</v>
      </c>
      <c r="D75" s="852"/>
      <c r="E75" s="852"/>
      <c r="F75" s="852" t="s">
        <v>442</v>
      </c>
      <c r="G75" s="852"/>
      <c r="H75" s="852"/>
      <c r="I75" s="852"/>
      <c r="J75" s="852"/>
      <c r="K75" s="852"/>
      <c r="L75" s="852"/>
      <c r="M75" s="852"/>
      <c r="N75" s="852"/>
      <c r="O75" s="852"/>
      <c r="P75" s="852"/>
    </row>
    <row r="76" spans="1:19" ht="15.75" customHeight="1" thickBot="1">
      <c r="A76" s="865"/>
      <c r="B76" s="864"/>
      <c r="C76" s="864"/>
      <c r="D76" s="864"/>
      <c r="E76" s="864"/>
      <c r="F76" s="864"/>
      <c r="G76" s="864"/>
      <c r="H76" s="864"/>
      <c r="I76" s="864"/>
      <c r="J76" s="864"/>
      <c r="K76" s="864"/>
      <c r="L76" s="864"/>
      <c r="M76" s="864"/>
      <c r="N76" s="864"/>
      <c r="O76" s="864"/>
      <c r="P76" s="864"/>
    </row>
    <row r="77" spans="1:19" ht="15.75" customHeight="1" thickBot="1">
      <c r="A77" s="540" t="s">
        <v>443</v>
      </c>
      <c r="B77" s="541"/>
      <c r="C77" s="541"/>
      <c r="D77" s="541"/>
      <c r="E77" s="541"/>
      <c r="F77" s="541"/>
      <c r="G77" s="541"/>
      <c r="H77" s="541"/>
      <c r="I77" s="541"/>
      <c r="J77" s="541"/>
      <c r="K77" s="541"/>
      <c r="L77" s="541"/>
      <c r="M77" s="541"/>
      <c r="N77" s="541"/>
      <c r="O77" s="541"/>
      <c r="P77" s="541"/>
    </row>
    <row r="78" spans="1:19" ht="15.75" customHeight="1">
      <c r="A78" s="860" t="s">
        <v>439</v>
      </c>
      <c r="B78" s="866"/>
      <c r="C78" s="852" t="s">
        <v>444</v>
      </c>
      <c r="D78" s="852"/>
      <c r="E78" s="852"/>
      <c r="F78" s="852" t="s">
        <v>445</v>
      </c>
      <c r="G78" s="852"/>
      <c r="H78" s="852"/>
      <c r="I78" s="852"/>
      <c r="J78" s="852"/>
      <c r="K78" s="852"/>
      <c r="L78" s="852"/>
      <c r="M78" s="852"/>
      <c r="N78" s="852"/>
      <c r="O78" s="852"/>
      <c r="P78" s="852"/>
    </row>
    <row r="79" spans="1:19" ht="15.75" customHeight="1" thickBot="1">
      <c r="A79" s="865"/>
      <c r="B79" s="864"/>
      <c r="C79" s="864"/>
      <c r="D79" s="864"/>
      <c r="E79" s="864"/>
      <c r="F79" s="864"/>
      <c r="G79" s="864"/>
      <c r="H79" s="864"/>
      <c r="I79" s="864"/>
      <c r="J79" s="864"/>
      <c r="K79" s="864"/>
      <c r="L79" s="864"/>
      <c r="M79" s="864"/>
      <c r="N79" s="864"/>
      <c r="O79" s="864"/>
      <c r="P79" s="864"/>
    </row>
    <row r="80" spans="1:19" ht="15.75" customHeight="1" thickBot="1">
      <c r="A80" s="540" t="s">
        <v>446</v>
      </c>
      <c r="B80" s="541"/>
      <c r="C80" s="541"/>
      <c r="D80" s="541"/>
      <c r="E80" s="541"/>
      <c r="F80" s="541"/>
      <c r="G80" s="541"/>
      <c r="H80" s="541"/>
      <c r="I80" s="541"/>
      <c r="J80" s="541"/>
      <c r="K80" s="541"/>
      <c r="L80" s="541"/>
      <c r="M80" s="541"/>
      <c r="N80" s="541"/>
      <c r="O80" s="541"/>
      <c r="P80" s="541"/>
    </row>
    <row r="81" spans="1:17" ht="15.75" customHeight="1">
      <c r="A81" s="860" t="s">
        <v>447</v>
      </c>
      <c r="B81" s="542"/>
      <c r="C81" s="852" t="s">
        <v>291</v>
      </c>
      <c r="D81" s="852"/>
      <c r="E81" s="852"/>
      <c r="F81" s="852"/>
      <c r="G81" s="862" t="s">
        <v>448</v>
      </c>
      <c r="H81" s="862"/>
      <c r="I81" s="852"/>
      <c r="J81" s="862" t="s">
        <v>449</v>
      </c>
      <c r="K81" s="862"/>
      <c r="L81" s="543"/>
      <c r="M81" s="543"/>
      <c r="N81" s="543"/>
      <c r="O81" s="852"/>
      <c r="P81" s="852"/>
    </row>
    <row r="82" spans="1:17" ht="15.75" customHeight="1">
      <c r="A82" s="861"/>
      <c r="B82" s="544"/>
      <c r="C82" s="853"/>
      <c r="D82" s="853"/>
      <c r="E82" s="853"/>
      <c r="F82" s="853"/>
      <c r="G82" s="863"/>
      <c r="H82" s="863"/>
      <c r="I82" s="853"/>
      <c r="J82" s="863"/>
      <c r="K82" s="863"/>
      <c r="L82" s="545"/>
      <c r="M82" s="545"/>
      <c r="N82" s="545"/>
      <c r="O82" s="853"/>
      <c r="P82" s="853"/>
    </row>
    <row r="83" spans="1:17" ht="15.75" customHeight="1">
      <c r="A83" s="854" t="s">
        <v>450</v>
      </c>
      <c r="B83" s="546"/>
      <c r="C83" s="857" t="s">
        <v>442</v>
      </c>
      <c r="D83" s="857"/>
      <c r="E83" s="547"/>
      <c r="F83" s="547"/>
      <c r="G83" s="547"/>
      <c r="H83" s="547"/>
      <c r="I83" s="547"/>
      <c r="J83" s="547"/>
      <c r="K83" s="547"/>
      <c r="L83" s="547"/>
      <c r="M83" s="547"/>
      <c r="N83" s="547"/>
      <c r="O83" s="547"/>
      <c r="P83" s="547"/>
    </row>
    <row r="84" spans="1:17" ht="15.75" customHeight="1">
      <c r="A84" s="855"/>
      <c r="B84" s="548"/>
      <c r="C84" s="858"/>
      <c r="D84" s="858"/>
      <c r="E84" s="858"/>
      <c r="F84" s="858"/>
      <c r="G84" s="858"/>
      <c r="H84" s="858"/>
      <c r="I84" s="858"/>
      <c r="J84" s="858"/>
      <c r="K84" s="858"/>
      <c r="L84" s="858"/>
      <c r="M84" s="858"/>
      <c r="N84" s="858"/>
      <c r="O84" s="858"/>
      <c r="P84" s="858"/>
    </row>
    <row r="85" spans="1:17" ht="15.75" customHeight="1">
      <c r="A85" s="855"/>
      <c r="B85" s="548"/>
      <c r="C85" s="858"/>
      <c r="D85" s="858"/>
      <c r="E85" s="858"/>
      <c r="F85" s="858"/>
      <c r="G85" s="858"/>
      <c r="H85" s="858"/>
      <c r="I85" s="858"/>
      <c r="J85" s="858"/>
      <c r="K85" s="858"/>
      <c r="L85" s="858"/>
      <c r="M85" s="858"/>
      <c r="N85" s="858"/>
      <c r="O85" s="858"/>
      <c r="P85" s="858"/>
    </row>
    <row r="86" spans="1:17" ht="15.75" customHeight="1" thickBot="1">
      <c r="A86" s="856"/>
      <c r="B86" s="549"/>
      <c r="C86" s="859"/>
      <c r="D86" s="859"/>
      <c r="E86" s="859"/>
      <c r="F86" s="859"/>
      <c r="G86" s="859"/>
      <c r="H86" s="859"/>
      <c r="I86" s="859"/>
      <c r="J86" s="859"/>
      <c r="K86" s="859"/>
      <c r="L86" s="859"/>
      <c r="M86" s="859"/>
      <c r="N86" s="859"/>
      <c r="O86" s="859"/>
      <c r="P86" s="859"/>
    </row>
    <row r="87" spans="1:17" ht="15.75" customHeight="1">
      <c r="A87" s="850" t="s">
        <v>451</v>
      </c>
      <c r="B87" s="850"/>
      <c r="C87" s="850"/>
      <c r="D87" s="850"/>
      <c r="E87" s="850"/>
      <c r="F87" s="850"/>
      <c r="G87" s="850"/>
      <c r="H87" s="850"/>
      <c r="I87" s="850"/>
      <c r="J87" s="850"/>
      <c r="K87" s="850"/>
      <c r="L87" s="850"/>
      <c r="M87" s="850"/>
      <c r="N87" s="850"/>
      <c r="O87" s="850"/>
      <c r="P87" s="850"/>
      <c r="Q87" s="850"/>
    </row>
    <row r="88" spans="1:17" ht="15.75" customHeight="1">
      <c r="A88" s="851" t="s">
        <v>59</v>
      </c>
      <c r="B88" s="851"/>
      <c r="C88" s="851"/>
      <c r="D88" s="851"/>
      <c r="E88" s="851"/>
      <c r="F88" s="851"/>
      <c r="G88" s="851"/>
      <c r="H88" s="851"/>
      <c r="I88" s="851"/>
      <c r="J88" s="851"/>
      <c r="K88" s="851"/>
      <c r="L88" s="851"/>
      <c r="M88" s="851"/>
      <c r="N88" s="851"/>
      <c r="O88" s="851"/>
      <c r="P88" s="851"/>
      <c r="Q88" s="851"/>
    </row>
    <row r="89" spans="1:17" ht="15.75" customHeight="1">
      <c r="A89" s="550"/>
      <c r="B89" s="550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550"/>
      <c r="O89" s="551"/>
      <c r="P89" s="550"/>
      <c r="Q89" s="550"/>
    </row>
    <row r="90" spans="1:17" ht="15.75" customHeight="1">
      <c r="A90" s="552" t="s">
        <v>452</v>
      </c>
      <c r="B90" s="553"/>
      <c r="C90" s="553" t="s">
        <v>123</v>
      </c>
      <c r="D90" s="553"/>
      <c r="E90" s="553"/>
      <c r="F90" s="553" t="s">
        <v>453</v>
      </c>
      <c r="G90" s="553"/>
      <c r="H90" s="553"/>
      <c r="I90" s="553" t="s">
        <v>124</v>
      </c>
      <c r="J90" s="553"/>
      <c r="K90" s="553"/>
      <c r="L90" s="553"/>
      <c r="M90" s="553"/>
      <c r="N90" s="553"/>
      <c r="O90" s="554" t="s">
        <v>125</v>
      </c>
      <c r="P90" s="553"/>
      <c r="Q90" s="553"/>
    </row>
  </sheetData>
  <sheetProtection selectLockedCells="1" selectUnlockedCells="1"/>
  <protectedRanges>
    <protectedRange sqref="A7:A70" name="Rango1_2"/>
    <protectedRange sqref="B7:B70" name="Rango1_3"/>
    <protectedRange sqref="C7:G70" name="Rango1_4"/>
    <protectedRange sqref="R7:S70 J7:N70" name="Rango3_1"/>
  </protectedRanges>
  <autoFilter ref="A6:P6" xr:uid="{00000000-0009-0000-0000-000013000000}"/>
  <mergeCells count="41">
    <mergeCell ref="C2:I2"/>
    <mergeCell ref="J2:K2"/>
    <mergeCell ref="N2:P2"/>
    <mergeCell ref="D3:E3"/>
    <mergeCell ref="J3:K3"/>
    <mergeCell ref="N3:P3"/>
    <mergeCell ref="C4:F4"/>
    <mergeCell ref="N4:P4"/>
    <mergeCell ref="H72:I72"/>
    <mergeCell ref="K72:P72"/>
    <mergeCell ref="A73:B73"/>
    <mergeCell ref="E73:F73"/>
    <mergeCell ref="G73:H73"/>
    <mergeCell ref="G78:P78"/>
    <mergeCell ref="G79:P79"/>
    <mergeCell ref="A75:A76"/>
    <mergeCell ref="B75:B76"/>
    <mergeCell ref="C75:C76"/>
    <mergeCell ref="D75:E76"/>
    <mergeCell ref="F75:F76"/>
    <mergeCell ref="G75:P75"/>
    <mergeCell ref="G76:P76"/>
    <mergeCell ref="A78:A79"/>
    <mergeCell ref="B78:B79"/>
    <mergeCell ref="C78:C79"/>
    <mergeCell ref="D78:E79"/>
    <mergeCell ref="F78:F79"/>
    <mergeCell ref="A87:Q87"/>
    <mergeCell ref="A88:Q88"/>
    <mergeCell ref="O81:P82"/>
    <mergeCell ref="A83:A86"/>
    <mergeCell ref="C83:D83"/>
    <mergeCell ref="C84:P84"/>
    <mergeCell ref="C85:P85"/>
    <mergeCell ref="C86:P86"/>
    <mergeCell ref="A81:A82"/>
    <mergeCell ref="C81:C82"/>
    <mergeCell ref="D81:F82"/>
    <mergeCell ref="G81:H82"/>
    <mergeCell ref="I81:I82"/>
    <mergeCell ref="J81:K82"/>
  </mergeCells>
  <dataValidations count="1">
    <dataValidation type="list" allowBlank="1" showInputMessage="1" showErrorMessage="1" sqref="I7:I70" xr:uid="{00000000-0002-0000-1300-000000000000}">
      <formula1>"ANTIBIOTICO,PALIATIVO,MAGISTRAL VO"</formula1>
    </dataValidation>
  </dataValidations>
  <printOptions horizontalCentered="1" verticalCentered="1"/>
  <pageMargins left="0" right="0" top="0.23" bottom="0.2" header="0.2" footer="0.23"/>
  <pageSetup scale="44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1"/>
  <dimension ref="A1:W125"/>
  <sheetViews>
    <sheetView zoomScaleNormal="100" workbookViewId="0">
      <selection activeCell="L22" sqref="L22"/>
    </sheetView>
  </sheetViews>
  <sheetFormatPr defaultColWidth="11.42578125" defaultRowHeight="12.75"/>
  <cols>
    <col min="1" max="1" width="11.42578125" style="110"/>
    <col min="2" max="2" width="27.28515625" style="375" customWidth="1"/>
    <col min="3" max="3" width="15.42578125" style="375" bestFit="1" customWidth="1"/>
    <col min="4" max="4" width="14.5703125" style="375" bestFit="1" customWidth="1"/>
    <col min="5" max="5" width="11.42578125" style="111"/>
    <col min="6" max="7" width="11.42578125" style="110"/>
    <col min="8" max="8" width="19.7109375" style="110" bestFit="1" customWidth="1"/>
    <col min="9" max="9" width="13.7109375" style="110" customWidth="1"/>
    <col min="10" max="10" width="17.42578125" style="110" bestFit="1" customWidth="1"/>
    <col min="11" max="11" width="18.42578125" style="110" customWidth="1"/>
    <col min="12" max="12" width="14.85546875" style="110" bestFit="1" customWidth="1"/>
    <col min="13" max="13" width="44.140625" style="110" bestFit="1" customWidth="1"/>
    <col min="14" max="14" width="41" style="369" customWidth="1"/>
    <col min="15" max="15" width="28.7109375" style="110" customWidth="1"/>
    <col min="16" max="16" width="22.7109375" style="110" customWidth="1"/>
    <col min="17" max="17" width="31.140625" style="110" customWidth="1"/>
    <col min="18" max="18" width="19.42578125" style="110" customWidth="1"/>
    <col min="19" max="19" width="18.140625" style="110" customWidth="1"/>
    <col min="20" max="20" width="35.42578125" style="417" customWidth="1"/>
    <col min="21" max="21" width="39.28515625" style="110" customWidth="1"/>
    <col min="22" max="22" width="28.42578125" style="110" customWidth="1"/>
    <col min="23" max="23" width="29.140625" style="110" customWidth="1"/>
    <col min="24" max="16384" width="11.42578125" style="110"/>
  </cols>
  <sheetData>
    <row r="1" spans="1:23" ht="13.5" thickBot="1">
      <c r="A1" s="889" t="s">
        <v>371</v>
      </c>
      <c r="B1" s="890"/>
      <c r="C1" s="890"/>
      <c r="D1" s="890"/>
      <c r="E1" s="890"/>
      <c r="F1" s="890"/>
      <c r="G1" s="890"/>
      <c r="H1" s="890"/>
      <c r="I1" s="890"/>
      <c r="J1" s="890"/>
      <c r="K1" s="890"/>
      <c r="L1" s="891"/>
      <c r="T1" s="454" t="s">
        <v>1134</v>
      </c>
    </row>
    <row r="2" spans="1:23" ht="15" customHeight="1">
      <c r="A2" s="370" t="s">
        <v>272</v>
      </c>
      <c r="B2" s="370" t="s">
        <v>6</v>
      </c>
      <c r="C2" s="370" t="s">
        <v>0</v>
      </c>
      <c r="D2" s="370" t="s">
        <v>245</v>
      </c>
      <c r="E2" s="371" t="s">
        <v>246</v>
      </c>
      <c r="F2" s="370" t="s">
        <v>285</v>
      </c>
      <c r="H2" s="892" t="s">
        <v>341</v>
      </c>
      <c r="I2" s="893"/>
      <c r="J2" s="893"/>
      <c r="K2" s="894"/>
      <c r="L2" s="370" t="s">
        <v>347</v>
      </c>
      <c r="M2" s="113" t="s">
        <v>909</v>
      </c>
      <c r="N2" s="372" t="s">
        <v>462</v>
      </c>
      <c r="O2" s="372" t="s">
        <v>361</v>
      </c>
      <c r="P2" s="372" t="s">
        <v>4</v>
      </c>
      <c r="Q2" s="372" t="s">
        <v>576</v>
      </c>
      <c r="R2" s="372" t="s">
        <v>615</v>
      </c>
      <c r="S2" s="418" t="s">
        <v>841</v>
      </c>
      <c r="T2" s="416" t="s">
        <v>839</v>
      </c>
      <c r="U2" s="372" t="s">
        <v>865</v>
      </c>
      <c r="V2" s="372" t="s">
        <v>866</v>
      </c>
      <c r="W2" s="372" t="s">
        <v>884</v>
      </c>
    </row>
    <row r="3" spans="1:23">
      <c r="A3" s="568" t="s">
        <v>278</v>
      </c>
      <c r="B3" s="568" t="s">
        <v>35</v>
      </c>
      <c r="C3" s="569">
        <v>50</v>
      </c>
      <c r="D3" s="570" t="s">
        <v>1381</v>
      </c>
      <c r="E3" s="571">
        <v>42320</v>
      </c>
      <c r="F3" s="572">
        <v>50</v>
      </c>
      <c r="H3" s="113" t="s">
        <v>342</v>
      </c>
      <c r="I3" s="113" t="s">
        <v>344</v>
      </c>
      <c r="J3" s="113" t="s">
        <v>345</v>
      </c>
      <c r="K3" s="113" t="s">
        <v>507</v>
      </c>
      <c r="L3" s="119">
        <v>0</v>
      </c>
      <c r="M3" s="100" t="s">
        <v>894</v>
      </c>
      <c r="N3" s="100" t="s">
        <v>711</v>
      </c>
      <c r="O3" s="374" t="s">
        <v>465</v>
      </c>
      <c r="P3" s="374" t="s">
        <v>478</v>
      </c>
      <c r="Q3" s="100" t="s">
        <v>560</v>
      </c>
      <c r="R3" s="100" t="s">
        <v>632</v>
      </c>
      <c r="S3" s="377" t="s">
        <v>842</v>
      </c>
      <c r="T3" s="417" t="str">
        <f>$T$1&amp;":\PRODUCCION ESTERILES\IV SCOOP JPC-MATERNO-VERAGUAS-CPOLICARPA SCOOP\"</f>
        <v>Z:\PRODUCCION ESTERILES\IV SCOOP JPC-MATERNO-VERAGUAS-CPOLICARPA SCOOP\</v>
      </c>
      <c r="U3" s="110" t="str">
        <f ca="1">T3&amp;YEAR('FORMATO DIL'!$C$6)&amp;"\"&amp;TEXT('FORMATO DIL'!$C$6,"MM")&amp;" "&amp;UPPER(TEXT('FORMATO DIL'!$C$6,"MMMM"))&amp;"\"&amp;TEXT('FORMATO DIL'!$C$6,"DDMMYY")&amp;IF($S3&lt;&gt;"",S3,"\")</f>
        <v>Z:\PRODUCCION ESTERILES\IV SCOOP JPC-MATERNO-VERAGUAS-CPOLICARPA SCOOP\2022\08 AGOSTO\040822\JPC\PEDIATRIA\</v>
      </c>
      <c r="V3" s="110" t="s">
        <v>867</v>
      </c>
      <c r="W3" s="110" t="str">
        <f ca="1">V3&amp;YEAR('FORMATO DIL'!$C$6)&amp;"\"&amp;TEXT('FORMATO DIL'!$C$6,"MM")&amp;" "&amp;UPPER(TEXT('FORMATO DIL'!$C$6,"MMMM"))&amp;"\"&amp;TEXT('FORMATO DIL'!$C$6,"DDMMYY")&amp;IF($S3&lt;&gt;"",S3,"\")</f>
        <v>S:\ESTERILES\IV SCOOP JPC-MATERNO-VERAGUAS-CPOLICARPA\2022\08 AGOSTO\040822\JPC\PEDIATRIA\</v>
      </c>
    </row>
    <row r="4" spans="1:23">
      <c r="A4" s="119" t="s">
        <v>279</v>
      </c>
      <c r="B4" s="119" t="s">
        <v>36</v>
      </c>
      <c r="C4" s="373">
        <v>10</v>
      </c>
      <c r="D4" s="203" t="s">
        <v>1382</v>
      </c>
      <c r="E4" s="139">
        <v>42320</v>
      </c>
      <c r="F4" s="100">
        <v>10</v>
      </c>
      <c r="G4" s="110">
        <v>1</v>
      </c>
      <c r="H4" s="119" t="s">
        <v>801</v>
      </c>
      <c r="I4" s="119" t="s">
        <v>343</v>
      </c>
      <c r="J4" s="119" t="s">
        <v>346</v>
      </c>
      <c r="K4" s="119" t="s">
        <v>506</v>
      </c>
      <c r="L4" s="119" t="s">
        <v>27</v>
      </c>
      <c r="M4" s="100" t="s">
        <v>910</v>
      </c>
      <c r="N4" s="100" t="s">
        <v>712</v>
      </c>
      <c r="O4" s="374" t="s">
        <v>465</v>
      </c>
      <c r="P4" s="374" t="s">
        <v>480</v>
      </c>
      <c r="Q4" s="100" t="s">
        <v>561</v>
      </c>
      <c r="R4" s="100" t="s">
        <v>633</v>
      </c>
      <c r="S4" s="377" t="s">
        <v>842</v>
      </c>
      <c r="T4" s="417" t="str">
        <f>$T$1&amp;":\PRODUCCION ESTERILES\IV SCOOP JPC-MATERNO-VERAGUAS-CPOLICARPA SCOOP\"</f>
        <v>Z:\PRODUCCION ESTERILES\IV SCOOP JPC-MATERNO-VERAGUAS-CPOLICARPA SCOOP\</v>
      </c>
      <c r="U4" s="110" t="str">
        <f ca="1">T4&amp;YEAR('FORMATO DIL'!$C$6)&amp;"\"&amp;TEXT('FORMATO DIL'!$C$6,"MM")&amp;" "&amp;UPPER(TEXT('FORMATO DIL'!$C$6,"MMMM"))&amp;"\"&amp;TEXT('FORMATO DIL'!$C$6,"DDMMYY")&amp;IF($S4&lt;&gt;"",S4,"\")</f>
        <v>Z:\PRODUCCION ESTERILES\IV SCOOP JPC-MATERNO-VERAGUAS-CPOLICARPA SCOOP\2022\08 AGOSTO\040822\JPC\PEDIATRIA\</v>
      </c>
      <c r="V4" s="110" t="s">
        <v>867</v>
      </c>
      <c r="W4" s="110" t="str">
        <f ca="1">V4&amp;YEAR('FORMATO DIL'!$C$6)&amp;"\"&amp;TEXT('FORMATO DIL'!$C$6,"MM")&amp;" "&amp;UPPER(TEXT('FORMATO DIL'!$C$6,"MMMM"))&amp;"\"&amp;TEXT('FORMATO DIL'!$C$6,"DDMMYY")&amp;IF($S4&lt;&gt;"",S4,"\")</f>
        <v>S:\ESTERILES\IV SCOOP JPC-MATERNO-VERAGUAS-CPOLICARPA\2022\08 AGOSTO\040822\JPC\PEDIATRIA\</v>
      </c>
    </row>
    <row r="5" spans="1:23">
      <c r="A5" s="568">
        <v>4</v>
      </c>
      <c r="B5" s="568" t="s">
        <v>40</v>
      </c>
      <c r="C5" s="569">
        <v>25</v>
      </c>
      <c r="D5" s="570" t="s">
        <v>1383</v>
      </c>
      <c r="E5" s="571">
        <v>42343</v>
      </c>
      <c r="F5" s="572">
        <v>8</v>
      </c>
      <c r="G5" s="110">
        <v>2</v>
      </c>
      <c r="H5" s="119" t="s">
        <v>807</v>
      </c>
      <c r="I5" s="119"/>
      <c r="J5" s="119" t="s">
        <v>992</v>
      </c>
      <c r="K5" s="119"/>
      <c r="L5" s="119" t="s">
        <v>145</v>
      </c>
      <c r="M5" s="100" t="s">
        <v>911</v>
      </c>
      <c r="N5" s="100" t="s">
        <v>713</v>
      </c>
      <c r="O5" s="374" t="s">
        <v>465</v>
      </c>
      <c r="P5" s="374" t="s">
        <v>479</v>
      </c>
      <c r="Q5" s="100" t="s">
        <v>562</v>
      </c>
      <c r="R5" s="100" t="s">
        <v>634</v>
      </c>
      <c r="S5" s="377" t="s">
        <v>842</v>
      </c>
      <c r="T5" s="417" t="str">
        <f>$T$1&amp;":\PRODUCCION ESTERILES\IV SCOOP JPC-MATERNO-VERAGUAS-CPOLICARPA SCOOP\"</f>
        <v>Z:\PRODUCCION ESTERILES\IV SCOOP JPC-MATERNO-VERAGUAS-CPOLICARPA SCOOP\</v>
      </c>
      <c r="U5" s="110" t="str">
        <f ca="1">T5&amp;YEAR('FORMATO DIL'!$C$6)&amp;"\"&amp;TEXT('FORMATO DIL'!$C$6,"MM")&amp;" "&amp;UPPER(TEXT('FORMATO DIL'!$C$6,"MMMM"))&amp;"\"&amp;TEXT('FORMATO DIL'!$C$6,"DDMMYY")&amp;IF($S5&lt;&gt;"",S5,"\")</f>
        <v>Z:\PRODUCCION ESTERILES\IV SCOOP JPC-MATERNO-VERAGUAS-CPOLICARPA SCOOP\2022\08 AGOSTO\040822\JPC\PEDIATRIA\</v>
      </c>
      <c r="V5" s="110" t="s">
        <v>867</v>
      </c>
      <c r="W5" s="110" t="str">
        <f ca="1">V5&amp;YEAR('FORMATO DIL'!$C$6)&amp;"\"&amp;TEXT('FORMATO DIL'!$C$6,"MM")&amp;" "&amp;UPPER(TEXT('FORMATO DIL'!$C$6,"MMMM"))&amp;"\"&amp;TEXT('FORMATO DIL'!$C$6,"DDMMYY")&amp;IF($S5&lt;&gt;"",S5,"\")</f>
        <v>S:\ESTERILES\IV SCOOP JPC-MATERNO-VERAGUAS-CPOLICARPA\2022\08 AGOSTO\040822\JPC\PEDIATRIA\</v>
      </c>
    </row>
    <row r="6" spans="1:23">
      <c r="A6" s="119">
        <v>5</v>
      </c>
      <c r="B6" s="119" t="s">
        <v>369</v>
      </c>
      <c r="C6" s="373">
        <v>5</v>
      </c>
      <c r="D6" s="203" t="s">
        <v>1379</v>
      </c>
      <c r="E6" s="139">
        <v>42342</v>
      </c>
      <c r="F6" s="100">
        <v>4</v>
      </c>
      <c r="G6" s="110">
        <v>3</v>
      </c>
      <c r="H6" s="119" t="s">
        <v>834</v>
      </c>
      <c r="I6" s="119"/>
      <c r="J6" s="119"/>
      <c r="K6" s="119"/>
      <c r="L6" s="119" t="s">
        <v>348</v>
      </c>
      <c r="M6" s="100"/>
      <c r="N6" s="100" t="s">
        <v>514</v>
      </c>
      <c r="O6" s="374"/>
      <c r="P6" s="374"/>
      <c r="Q6" s="100"/>
      <c r="R6" s="100"/>
      <c r="S6" s="377"/>
    </row>
    <row r="7" spans="1:23">
      <c r="A7" s="119" t="s">
        <v>277</v>
      </c>
      <c r="B7" s="119" t="s">
        <v>42</v>
      </c>
      <c r="C7" s="373" t="s">
        <v>364</v>
      </c>
      <c r="D7" s="203"/>
      <c r="E7" s="139"/>
      <c r="F7" s="100">
        <v>20</v>
      </c>
      <c r="G7" s="110">
        <v>4</v>
      </c>
      <c r="H7" s="119" t="s">
        <v>835</v>
      </c>
      <c r="I7" s="119"/>
      <c r="J7" s="119"/>
      <c r="K7" s="119"/>
      <c r="L7" s="119" t="s">
        <v>349</v>
      </c>
      <c r="M7" s="100" t="s">
        <v>912</v>
      </c>
      <c r="N7" s="100" t="s">
        <v>714</v>
      </c>
      <c r="O7" s="374" t="s">
        <v>465</v>
      </c>
      <c r="P7" s="374" t="s">
        <v>600</v>
      </c>
      <c r="Q7" s="100" t="s">
        <v>601</v>
      </c>
      <c r="R7" s="100" t="s">
        <v>631</v>
      </c>
      <c r="S7" s="377" t="s">
        <v>843</v>
      </c>
      <c r="T7" s="417" t="str">
        <f>$T$1&amp;":\PRODUCCION ESTERILES\IV SCOOP JPC-MATERNO-VERAGUAS-CPOLICARPA SCOOP\"</f>
        <v>Z:\PRODUCCION ESTERILES\IV SCOOP JPC-MATERNO-VERAGUAS-CPOLICARPA SCOOP\</v>
      </c>
      <c r="U7" s="110" t="str">
        <f ca="1">T7&amp;YEAR('FORMATO DIL'!$C$6)&amp;"\"&amp;TEXT('FORMATO DIL'!$C$6,"MM")&amp;" "&amp;UPPER(TEXT('FORMATO DIL'!$C$6,"MMMM"))&amp;"\"&amp;TEXT('FORMATO DIL'!$C$6,"DDMMYY")&amp;IF($S7&lt;&gt;"",S7,"\")</f>
        <v>Z:\PRODUCCION ESTERILES\IV SCOOP JPC-MATERNO-VERAGUAS-CPOLICARPA SCOOP\2022\08 AGOSTO\040822\JPC\ADULTO\</v>
      </c>
      <c r="V7" s="110" t="s">
        <v>867</v>
      </c>
      <c r="W7" s="110" t="str">
        <f ca="1">V7&amp;YEAR('FORMATO DIL'!$C$6)&amp;"\"&amp;TEXT('FORMATO DIL'!$C$6,"MM")&amp;" "&amp;UPPER(TEXT('FORMATO DIL'!$C$6,"MMMM"))&amp;"\"&amp;TEXT('FORMATO DIL'!$C$6,"DDMMYY")&amp;IF($S7&lt;&gt;"",S7,"\")</f>
        <v>S:\ESTERILES\IV SCOOP JPC-MATERNO-VERAGUAS-CPOLICARPA\2022\08 AGOSTO\040822\JPC\ADULTO\</v>
      </c>
    </row>
    <row r="8" spans="1:23">
      <c r="A8" s="119" t="s">
        <v>372</v>
      </c>
      <c r="B8" s="119" t="s">
        <v>43</v>
      </c>
      <c r="C8" s="373" t="s">
        <v>362</v>
      </c>
      <c r="D8" s="203"/>
      <c r="E8" s="139"/>
      <c r="F8" s="100">
        <v>25</v>
      </c>
      <c r="H8" s="119"/>
      <c r="I8" s="119"/>
      <c r="J8" s="119"/>
      <c r="K8" s="119"/>
      <c r="L8" s="119" t="s">
        <v>350</v>
      </c>
      <c r="M8" s="100" t="s">
        <v>913</v>
      </c>
      <c r="N8" s="100" t="s">
        <v>715</v>
      </c>
      <c r="O8" s="374" t="s">
        <v>465</v>
      </c>
      <c r="P8" s="374" t="s">
        <v>673</v>
      </c>
      <c r="Q8" s="100" t="s">
        <v>674</v>
      </c>
      <c r="R8" s="100" t="s">
        <v>675</v>
      </c>
      <c r="S8" s="377" t="s">
        <v>843</v>
      </c>
      <c r="T8" s="417" t="str">
        <f>$T$1&amp;":\PRODUCCION ESTERILES\IV SCOOP JPC-MATERNO-VERAGUAS-CPOLICARPA SCOOP\"</f>
        <v>Z:\PRODUCCION ESTERILES\IV SCOOP JPC-MATERNO-VERAGUAS-CPOLICARPA SCOOP\</v>
      </c>
      <c r="U8" s="110" t="str">
        <f ca="1">T8&amp;YEAR('FORMATO DIL'!$C$6)&amp;"\"&amp;TEXT('FORMATO DIL'!$C$6,"MM")&amp;" "&amp;UPPER(TEXT('FORMATO DIL'!$C$6,"MMMM"))&amp;"\"&amp;TEXT('FORMATO DIL'!$C$6,"DDMMYY")&amp;IF($S8&lt;&gt;"",S8,"\")</f>
        <v>Z:\PRODUCCION ESTERILES\IV SCOOP JPC-MATERNO-VERAGUAS-CPOLICARPA SCOOP\2022\08 AGOSTO\040822\JPC\ADULTO\</v>
      </c>
      <c r="V8" s="110" t="s">
        <v>867</v>
      </c>
      <c r="W8" s="110" t="str">
        <f ca="1">V8&amp;YEAR('FORMATO DIL'!$C$6)&amp;"\"&amp;TEXT('FORMATO DIL'!$C$6,"MM")&amp;" "&amp;UPPER(TEXT('FORMATO DIL'!$C$6,"MMMM"))&amp;"\"&amp;TEXT('FORMATO DIL'!$C$6,"DDMMYY")&amp;IF($S8&lt;&gt;"",S8,"\")</f>
        <v>S:\ESTERILES\IV SCOOP JPC-MATERNO-VERAGUAS-CPOLICARPA\2022\08 AGOSTO\040822\JPC\ADULTO\</v>
      </c>
    </row>
    <row r="9" spans="1:23">
      <c r="A9" s="119" t="s">
        <v>492</v>
      </c>
      <c r="B9" s="119" t="s">
        <v>42</v>
      </c>
      <c r="C9" s="373" t="s">
        <v>493</v>
      </c>
      <c r="D9" s="203"/>
      <c r="E9" s="139"/>
      <c r="F9" s="100">
        <v>5</v>
      </c>
      <c r="H9" s="119"/>
      <c r="I9" s="119"/>
      <c r="J9" s="119"/>
      <c r="K9" s="119"/>
      <c r="L9" s="119" t="s">
        <v>351</v>
      </c>
      <c r="M9" s="100" t="s">
        <v>914</v>
      </c>
      <c r="N9" s="100" t="s">
        <v>716</v>
      </c>
      <c r="O9" s="374" t="s">
        <v>465</v>
      </c>
      <c r="P9" s="374" t="s">
        <v>676</v>
      </c>
      <c r="Q9" s="100" t="s">
        <v>677</v>
      </c>
      <c r="R9" s="100" t="s">
        <v>678</v>
      </c>
      <c r="S9" s="377" t="s">
        <v>843</v>
      </c>
      <c r="T9" s="417" t="str">
        <f>$T$1&amp;":\PRODUCCION ESTERILES\IV SCOOP JPC-MATERNO-VERAGUAS-CPOLICARPA SCOOP\"</f>
        <v>Z:\PRODUCCION ESTERILES\IV SCOOP JPC-MATERNO-VERAGUAS-CPOLICARPA SCOOP\</v>
      </c>
      <c r="U9" s="110" t="str">
        <f ca="1">T9&amp;YEAR('FORMATO DIL'!$C$6)&amp;"\"&amp;TEXT('FORMATO DIL'!$C$6,"MM")&amp;" "&amp;UPPER(TEXT('FORMATO DIL'!$C$6,"MMMM"))&amp;"\"&amp;TEXT('FORMATO DIL'!$C$6,"DDMMYY")&amp;IF($S9&lt;&gt;"",S9,"\")</f>
        <v>Z:\PRODUCCION ESTERILES\IV SCOOP JPC-MATERNO-VERAGUAS-CPOLICARPA SCOOP\2022\08 AGOSTO\040822\JPC\ADULTO\</v>
      </c>
      <c r="V9" s="110" t="s">
        <v>867</v>
      </c>
      <c r="W9" s="110" t="str">
        <f ca="1">V9&amp;YEAR('FORMATO DIL'!$C$6)&amp;"\"&amp;TEXT('FORMATO DIL'!$C$6,"MM")&amp;" "&amp;UPPER(TEXT('FORMATO DIL'!$C$6,"MMMM"))&amp;"\"&amp;TEXT('FORMATO DIL'!$C$6,"DDMMYY")&amp;IF($S9&lt;&gt;"",S9,"\")</f>
        <v>S:\ESTERILES\IV SCOOP JPC-MATERNO-VERAGUAS-CPOLICARPA\2022\08 AGOSTO\040822\JPC\ADULTO\</v>
      </c>
    </row>
    <row r="10" spans="1:23">
      <c r="A10" s="114"/>
      <c r="B10" s="119"/>
      <c r="C10" s="373"/>
      <c r="D10" s="203"/>
      <c r="E10" s="139"/>
      <c r="F10" s="100">
        <v>10</v>
      </c>
      <c r="H10" s="119"/>
      <c r="I10" s="119"/>
      <c r="J10" s="119"/>
      <c r="K10" s="119"/>
      <c r="L10" s="119" t="s">
        <v>352</v>
      </c>
      <c r="M10" s="100" t="s">
        <v>915</v>
      </c>
      <c r="N10" s="100" t="s">
        <v>717</v>
      </c>
      <c r="O10" s="374" t="s">
        <v>465</v>
      </c>
      <c r="P10" s="374" t="s">
        <v>679</v>
      </c>
      <c r="Q10" s="100" t="s">
        <v>680</v>
      </c>
      <c r="R10" s="100" t="s">
        <v>681</v>
      </c>
      <c r="S10" s="377" t="s">
        <v>843</v>
      </c>
      <c r="T10" s="417" t="str">
        <f>$T$1&amp;":\PRODUCCION ESTERILES\IV SCOOP JPC-MATERNO-VERAGUAS-CPOLICARPA SCOOP\"</f>
        <v>Z:\PRODUCCION ESTERILES\IV SCOOP JPC-MATERNO-VERAGUAS-CPOLICARPA SCOOP\</v>
      </c>
      <c r="U10" s="110" t="str">
        <f ca="1">T10&amp;YEAR('FORMATO DIL'!$C$6)&amp;"\"&amp;TEXT('FORMATO DIL'!$C$6,"MM")&amp;" "&amp;UPPER(TEXT('FORMATO DIL'!$C$6,"MMMM"))&amp;"\"&amp;TEXT('FORMATO DIL'!$C$6,"DDMMYY")&amp;IF($S10&lt;&gt;"",S10,"\")</f>
        <v>Z:\PRODUCCION ESTERILES\IV SCOOP JPC-MATERNO-VERAGUAS-CPOLICARPA SCOOP\2022\08 AGOSTO\040822\JPC\ADULTO\</v>
      </c>
      <c r="V10" s="110" t="s">
        <v>867</v>
      </c>
      <c r="W10" s="110" t="str">
        <f ca="1">V10&amp;YEAR('FORMATO DIL'!$C$6)&amp;"\"&amp;TEXT('FORMATO DIL'!$C$6,"MM")&amp;" "&amp;UPPER(TEXT('FORMATO DIL'!$C$6,"MMMM"))&amp;"\"&amp;TEXT('FORMATO DIL'!$C$6,"DDMMYY")&amp;IF($S10&lt;&gt;"",S10,"\")</f>
        <v>S:\ESTERILES\IV SCOOP JPC-MATERNO-VERAGUAS-CPOLICARPA\2022\08 AGOSTO\040822\JPC\ADULTO\</v>
      </c>
    </row>
    <row r="11" spans="1:23">
      <c r="A11" s="114"/>
      <c r="B11" s="119" t="e">
        <f>VLOOKUP(A11,ESTANDAR!A:N,2,0)</f>
        <v>#N/A</v>
      </c>
      <c r="C11" s="119"/>
      <c r="D11" s="378"/>
      <c r="E11" s="139"/>
      <c r="F11" s="114"/>
      <c r="H11" s="119"/>
      <c r="I11" s="119"/>
      <c r="J11" s="119"/>
      <c r="K11" s="119"/>
      <c r="L11" s="119" t="s">
        <v>353</v>
      </c>
      <c r="M11" s="100" t="s">
        <v>916</v>
      </c>
      <c r="N11" s="100" t="s">
        <v>718</v>
      </c>
      <c r="O11" s="374" t="s">
        <v>465</v>
      </c>
      <c r="P11" s="374" t="s">
        <v>682</v>
      </c>
      <c r="Q11" s="100" t="s">
        <v>683</v>
      </c>
      <c r="R11" s="100" t="s">
        <v>684</v>
      </c>
      <c r="S11" s="377" t="s">
        <v>843</v>
      </c>
      <c r="T11" s="417" t="str">
        <f>$T$1&amp;":\PRODUCCION ESTERILES\IV SCOOP JPC-MATERNO-VERAGUAS-CPOLICARPA SCOOP\"</f>
        <v>Z:\PRODUCCION ESTERILES\IV SCOOP JPC-MATERNO-VERAGUAS-CPOLICARPA SCOOP\</v>
      </c>
      <c r="U11" s="110" t="str">
        <f ca="1">T11&amp;YEAR('FORMATO DIL'!$C$6)&amp;"\"&amp;TEXT('FORMATO DIL'!$C$6,"MM")&amp;" "&amp;UPPER(TEXT('FORMATO DIL'!$C$6,"MMMM"))&amp;"\"&amp;TEXT('FORMATO DIL'!$C$6,"DDMMYY")&amp;IF($S11&lt;&gt;"",S11,"\")</f>
        <v>Z:\PRODUCCION ESTERILES\IV SCOOP JPC-MATERNO-VERAGUAS-CPOLICARPA SCOOP\2022\08 AGOSTO\040822\JPC\ADULTO\</v>
      </c>
      <c r="V11" s="110" t="s">
        <v>867</v>
      </c>
      <c r="W11" s="110" t="str">
        <f ca="1">V11&amp;YEAR('FORMATO DIL'!$C$6)&amp;"\"&amp;TEXT('FORMATO DIL'!$C$6,"MM")&amp;" "&amp;UPPER(TEXT('FORMATO DIL'!$C$6,"MMMM"))&amp;"\"&amp;TEXT('FORMATO DIL'!$C$6,"DDMMYY")&amp;IF($S11&lt;&gt;"",S11,"\")</f>
        <v>S:\ESTERILES\IV SCOOP JPC-MATERNO-VERAGUAS-CPOLICARPA\2022\08 AGOSTO\040822\JPC\ADULTO\</v>
      </c>
    </row>
    <row r="12" spans="1:23">
      <c r="A12" s="114"/>
      <c r="B12" s="119" t="e">
        <f>VLOOKUP(A12,ESTANDAR!A:N,2,0)</f>
        <v>#N/A</v>
      </c>
      <c r="C12" s="119"/>
      <c r="D12" s="378"/>
      <c r="E12" s="139"/>
      <c r="F12" s="114"/>
      <c r="H12" s="119"/>
      <c r="I12" s="119"/>
      <c r="J12" s="119"/>
      <c r="K12" s="119"/>
      <c r="L12" s="119" t="s">
        <v>354</v>
      </c>
      <c r="M12" s="100"/>
      <c r="N12" s="100" t="s">
        <v>514</v>
      </c>
      <c r="O12" s="374"/>
      <c r="P12" s="374"/>
      <c r="Q12" s="100" t="s">
        <v>514</v>
      </c>
      <c r="R12" s="100"/>
      <c r="S12" s="377"/>
    </row>
    <row r="13" spans="1:23">
      <c r="A13" s="114"/>
      <c r="B13" s="119" t="e">
        <f>VLOOKUP(A13,ESTANDAR!A:N,2,0)</f>
        <v>#N/A</v>
      </c>
      <c r="C13" s="119"/>
      <c r="D13" s="378"/>
      <c r="E13" s="139"/>
      <c r="F13" s="114"/>
      <c r="H13" s="119"/>
      <c r="I13" s="119"/>
      <c r="J13" s="119"/>
      <c r="K13" s="119"/>
      <c r="L13" s="119" t="s">
        <v>355</v>
      </c>
      <c r="M13" s="100" t="s">
        <v>917</v>
      </c>
      <c r="N13" s="100" t="s">
        <v>747</v>
      </c>
      <c r="O13" s="374" t="s">
        <v>465</v>
      </c>
      <c r="P13" s="374" t="s">
        <v>663</v>
      </c>
      <c r="Q13" s="100" t="s">
        <v>665</v>
      </c>
      <c r="R13" s="100" t="s">
        <v>667</v>
      </c>
      <c r="S13" s="377" t="s">
        <v>843</v>
      </c>
      <c r="T13" s="417" t="str">
        <f>$T$1&amp;":\PRODUCCION ESTERILES\IV SCOOP JPC-MATERNO-VERAGUAS-CPOLICARPA SCOOP\"</f>
        <v>Z:\PRODUCCION ESTERILES\IV SCOOP JPC-MATERNO-VERAGUAS-CPOLICARPA SCOOP\</v>
      </c>
      <c r="U13" s="110" t="str">
        <f ca="1">T13&amp;YEAR('FORMATO DIL'!$C$6)&amp;"\"&amp;TEXT('FORMATO DIL'!$C$6,"MM")&amp;" "&amp;UPPER(TEXT('FORMATO DIL'!$C$6,"MMMM"))&amp;"\"&amp;TEXT('FORMATO DIL'!$C$6,"DDMMYY")&amp;IF($S13&lt;&gt;"",S13,"\")</f>
        <v>Z:\PRODUCCION ESTERILES\IV SCOOP JPC-MATERNO-VERAGUAS-CPOLICARPA SCOOP\2022\08 AGOSTO\040822\JPC\ADULTO\</v>
      </c>
      <c r="V13" s="110" t="s">
        <v>867</v>
      </c>
      <c r="W13" s="110" t="str">
        <f ca="1">V13&amp;YEAR('FORMATO DIL'!$C$6)&amp;"\"&amp;TEXT('FORMATO DIL'!$C$6,"MM")&amp;" "&amp;UPPER(TEXT('FORMATO DIL'!$C$6,"MMMM"))&amp;"\"&amp;TEXT('FORMATO DIL'!$C$6,"DDMMYY")&amp;IF($S13&lt;&gt;"",S13,"\")</f>
        <v>S:\ESTERILES\IV SCOOP JPC-MATERNO-VERAGUAS-CPOLICARPA\2022\08 AGOSTO\040822\JPC\ADULTO\</v>
      </c>
    </row>
    <row r="14" spans="1:23">
      <c r="A14" s="114"/>
      <c r="B14" s="119" t="e">
        <f>VLOOKUP(A14,ESTANDAR!A:N,2,0)</f>
        <v>#N/A</v>
      </c>
      <c r="C14" s="119"/>
      <c r="D14" s="378"/>
      <c r="E14" s="139"/>
      <c r="F14" s="114"/>
      <c r="H14" s="119"/>
      <c r="I14" s="119"/>
      <c r="J14" s="119"/>
      <c r="K14" s="119"/>
      <c r="L14" s="119" t="s">
        <v>258</v>
      </c>
      <c r="M14" s="100" t="s">
        <v>918</v>
      </c>
      <c r="N14" s="100" t="s">
        <v>748</v>
      </c>
      <c r="O14" s="374" t="s">
        <v>465</v>
      </c>
      <c r="P14" s="374" t="s">
        <v>664</v>
      </c>
      <c r="Q14" s="100" t="s">
        <v>666</v>
      </c>
      <c r="R14" s="100" t="s">
        <v>668</v>
      </c>
      <c r="S14" s="377" t="s">
        <v>843</v>
      </c>
      <c r="T14" s="417" t="str">
        <f>$T$1&amp;":\PRODUCCION ESTERILES\IV SCOOP JPC-MATERNO-VERAGUAS-CPOLICARPA SCOOP\"</f>
        <v>Z:\PRODUCCION ESTERILES\IV SCOOP JPC-MATERNO-VERAGUAS-CPOLICARPA SCOOP\</v>
      </c>
      <c r="U14" s="110" t="str">
        <f ca="1">T14&amp;YEAR('FORMATO DIL'!$C$6)&amp;"\"&amp;TEXT('FORMATO DIL'!$C$6,"MM")&amp;" "&amp;UPPER(TEXT('FORMATO DIL'!$C$6,"MMMM"))&amp;"\"&amp;TEXT('FORMATO DIL'!$C$6,"DDMMYY")&amp;IF($S14&lt;&gt;"",S14,"\")</f>
        <v>Z:\PRODUCCION ESTERILES\IV SCOOP JPC-MATERNO-VERAGUAS-CPOLICARPA SCOOP\2022\08 AGOSTO\040822\JPC\ADULTO\</v>
      </c>
      <c r="V14" s="110" t="s">
        <v>867</v>
      </c>
      <c r="W14" s="110" t="str">
        <f ca="1">V14&amp;YEAR('FORMATO DIL'!$C$6)&amp;"\"&amp;TEXT('FORMATO DIL'!$C$6,"MM")&amp;" "&amp;UPPER(TEXT('FORMATO DIL'!$C$6,"MMMM"))&amp;"\"&amp;TEXT('FORMATO DIL'!$C$6,"DDMMYY")&amp;IF($S14&lt;&gt;"",S14,"\")</f>
        <v>S:\ESTERILES\IV SCOOP JPC-MATERNO-VERAGUAS-CPOLICARPA\2022\08 AGOSTO\040822\JPC\ADULTO\</v>
      </c>
    </row>
    <row r="15" spans="1:23">
      <c r="A15" s="114"/>
      <c r="B15" s="119" t="e">
        <f>VLOOKUP(A15,ESTANDAR!A:N,2,0)</f>
        <v>#N/A</v>
      </c>
      <c r="C15" s="119"/>
      <c r="D15" s="378"/>
      <c r="E15" s="139"/>
      <c r="F15" s="114"/>
      <c r="H15" s="119"/>
      <c r="I15" s="119"/>
      <c r="J15" s="119"/>
      <c r="K15" s="119"/>
      <c r="L15" s="119" t="s">
        <v>356</v>
      </c>
      <c r="M15" s="100" t="s">
        <v>993</v>
      </c>
      <c r="N15" s="100" t="s">
        <v>719</v>
      </c>
      <c r="O15" s="374" t="s">
        <v>465</v>
      </c>
      <c r="P15" s="374" t="s">
        <v>671</v>
      </c>
      <c r="Q15" s="100" t="s">
        <v>672</v>
      </c>
      <c r="R15" s="100" t="s">
        <v>671</v>
      </c>
      <c r="S15" s="377" t="s">
        <v>843</v>
      </c>
      <c r="T15" s="417" t="str">
        <f>$T$1&amp;":\PRODUCCION ESTERILES\IV SCOOP JPC-MATERNO-VERAGUAS-CPOLICARPA SCOOP\"</f>
        <v>Z:\PRODUCCION ESTERILES\IV SCOOP JPC-MATERNO-VERAGUAS-CPOLICARPA SCOOP\</v>
      </c>
      <c r="U15" s="110" t="str">
        <f ca="1">T15&amp;YEAR('FORMATO DIL'!$C$6)&amp;"\"&amp;TEXT('FORMATO DIL'!$C$6,"MM")&amp;" "&amp;UPPER(TEXT('FORMATO DIL'!$C$6,"MMMM"))&amp;"\"&amp;TEXT('FORMATO DIL'!$C$6,"DDMMYY")&amp;IF($S15&lt;&gt;"",S15,"\")</f>
        <v>Z:\PRODUCCION ESTERILES\IV SCOOP JPC-MATERNO-VERAGUAS-CPOLICARPA SCOOP\2022\08 AGOSTO\040822\JPC\ADULTO\</v>
      </c>
      <c r="V15" s="110" t="s">
        <v>867</v>
      </c>
      <c r="W15" s="110" t="str">
        <f ca="1">V15&amp;YEAR('FORMATO DIL'!$C$6)&amp;"\"&amp;TEXT('FORMATO DIL'!$C$6,"MM")&amp;" "&amp;UPPER(TEXT('FORMATO DIL'!$C$6,"MMMM"))&amp;"\"&amp;TEXT('FORMATO DIL'!$C$6,"DDMMYY")&amp;IF($S15&lt;&gt;"",S15,"\")</f>
        <v>S:\ESTERILES\IV SCOOP JPC-MATERNO-VERAGUAS-CPOLICARPA\2022\08 AGOSTO\040822\JPC\ADULTO\</v>
      </c>
    </row>
    <row r="16" spans="1:23">
      <c r="A16" s="114"/>
      <c r="B16" s="119" t="e">
        <f>VLOOKUP(A16,ESTANDAR!A:N,2,0)</f>
        <v>#N/A</v>
      </c>
      <c r="C16" s="119"/>
      <c r="D16" s="378"/>
      <c r="E16" s="139"/>
      <c r="F16" s="114"/>
      <c r="H16" s="119"/>
      <c r="I16" s="119"/>
      <c r="J16" s="119"/>
      <c r="K16" s="119"/>
      <c r="L16" s="119" t="s">
        <v>357</v>
      </c>
      <c r="M16" s="100"/>
      <c r="N16" s="100" t="s">
        <v>514</v>
      </c>
      <c r="O16" s="374"/>
      <c r="P16" s="374"/>
      <c r="Q16" s="100" t="s">
        <v>514</v>
      </c>
      <c r="R16" s="100"/>
      <c r="S16" s="377"/>
    </row>
    <row r="17" spans="1:23">
      <c r="A17" s="114"/>
      <c r="B17" s="119" t="e">
        <f>VLOOKUP(A17,ESTANDAR!A:N,2,0)</f>
        <v>#N/A</v>
      </c>
      <c r="C17" s="119"/>
      <c r="D17" s="378"/>
      <c r="E17" s="139"/>
      <c r="F17" s="114"/>
      <c r="H17" s="119"/>
      <c r="I17" s="119"/>
      <c r="J17" s="119"/>
      <c r="K17" s="119"/>
      <c r="L17" s="119" t="s">
        <v>260</v>
      </c>
      <c r="M17" s="100" t="s">
        <v>919</v>
      </c>
      <c r="N17" s="100" t="s">
        <v>746</v>
      </c>
      <c r="O17" s="374" t="s">
        <v>466</v>
      </c>
      <c r="P17" s="374" t="s">
        <v>483</v>
      </c>
      <c r="Q17" s="100" t="s">
        <v>563</v>
      </c>
      <c r="R17" s="100" t="s">
        <v>635</v>
      </c>
      <c r="S17" s="377" t="s">
        <v>844</v>
      </c>
      <c r="T17" s="417" t="str">
        <f>$T$1&amp;":\PRODUCCION ESTERILES\IV SCOOP JPC-MATERNO-VERAGUAS-CPOLICARPA SCOOP\"</f>
        <v>Z:\PRODUCCION ESTERILES\IV SCOOP JPC-MATERNO-VERAGUAS-CPOLICARPA SCOOP\</v>
      </c>
      <c r="U17" s="110" t="str">
        <f ca="1">T17&amp;YEAR('FORMATO DIL'!$C$6)&amp;"\"&amp;TEXT('FORMATO DIL'!$C$6,"MM")&amp;" "&amp;UPPER(TEXT('FORMATO DIL'!$C$6,"MMMM"))&amp;"\"&amp;TEXT('FORMATO DIL'!$C$6,"DDMMYY")&amp;IF($S17&lt;&gt;"",S17,"\")</f>
        <v>Z:\PRODUCCION ESTERILES\IV SCOOP JPC-MATERNO-VERAGUAS-CPOLICARPA SCOOP\2022\08 AGOSTO\040822\MATERNO\</v>
      </c>
      <c r="V17" s="110" t="s">
        <v>867</v>
      </c>
      <c r="W17" s="110" t="str">
        <f ca="1">V17&amp;YEAR('FORMATO DIL'!$C$6)&amp;"\"&amp;TEXT('FORMATO DIL'!$C$6,"MM")&amp;" "&amp;UPPER(TEXT('FORMATO DIL'!$C$6,"MMMM"))&amp;"\"&amp;TEXT('FORMATO DIL'!$C$6,"DDMMYY")&amp;IF($S17&lt;&gt;"",S17,"\")</f>
        <v>S:\ESTERILES\IV SCOOP JPC-MATERNO-VERAGUAS-CPOLICARPA\2022\08 AGOSTO\040822\MATERNO\</v>
      </c>
    </row>
    <row r="18" spans="1:23">
      <c r="A18" s="114"/>
      <c r="B18" s="119" t="e">
        <f>VLOOKUP(A18,ESTANDAR!A:N,2,0)</f>
        <v>#N/A</v>
      </c>
      <c r="C18" s="119"/>
      <c r="D18" s="378"/>
      <c r="E18" s="139"/>
      <c r="F18" s="114"/>
      <c r="H18" s="119"/>
      <c r="I18" s="119"/>
      <c r="J18" s="119"/>
      <c r="K18" s="119"/>
      <c r="L18" s="119" t="s">
        <v>259</v>
      </c>
      <c r="M18" s="100" t="s">
        <v>920</v>
      </c>
      <c r="N18" s="100" t="s">
        <v>803</v>
      </c>
      <c r="O18" s="374" t="s">
        <v>466</v>
      </c>
      <c r="P18" s="374" t="s">
        <v>804</v>
      </c>
      <c r="Q18" s="100" t="s">
        <v>805</v>
      </c>
      <c r="R18" s="100" t="s">
        <v>804</v>
      </c>
      <c r="S18" s="377" t="s">
        <v>844</v>
      </c>
      <c r="T18" s="417" t="str">
        <f>$T$1&amp;":\PRODUCCION ESTERILES\IV SCOOP JPC-MATERNO-VERAGUAS-CPOLICARPA SCOOP\"</f>
        <v>Z:\PRODUCCION ESTERILES\IV SCOOP JPC-MATERNO-VERAGUAS-CPOLICARPA SCOOP\</v>
      </c>
      <c r="U18" s="110" t="str">
        <f ca="1">T18&amp;YEAR('FORMATO DIL'!$C$6)&amp;"\"&amp;TEXT('FORMATO DIL'!$C$6,"MM")&amp;" "&amp;UPPER(TEXT('FORMATO DIL'!$C$6,"MMMM"))&amp;"\"&amp;TEXT('FORMATO DIL'!$C$6,"DDMMYY")&amp;IF($S18&lt;&gt;"",S18,"\")</f>
        <v>Z:\PRODUCCION ESTERILES\IV SCOOP JPC-MATERNO-VERAGUAS-CPOLICARPA SCOOP\2022\08 AGOSTO\040822\MATERNO\</v>
      </c>
      <c r="V18" s="110" t="s">
        <v>867</v>
      </c>
      <c r="W18" s="110" t="str">
        <f ca="1">V18&amp;YEAR('FORMATO DIL'!$C$6)&amp;"\"&amp;TEXT('FORMATO DIL'!$C$6,"MM")&amp;" "&amp;UPPER(TEXT('FORMATO DIL'!$C$6,"MMMM"))&amp;"\"&amp;TEXT('FORMATO DIL'!$C$6,"DDMMYY")&amp;IF($S18&lt;&gt;"",S18,"\")</f>
        <v>S:\ESTERILES\IV SCOOP JPC-MATERNO-VERAGUAS-CPOLICARPA\2022\08 AGOSTO\040822\MATERNO\</v>
      </c>
    </row>
    <row r="19" spans="1:23">
      <c r="A19" s="114"/>
      <c r="B19" s="119" t="e">
        <f>VLOOKUP(A19,ESTANDAR!A:N,2,0)</f>
        <v>#N/A</v>
      </c>
      <c r="C19" s="119"/>
      <c r="D19" s="378"/>
      <c r="E19" s="139"/>
      <c r="F19" s="114"/>
      <c r="H19" s="119"/>
      <c r="I19" s="119"/>
      <c r="J19" s="119"/>
      <c r="K19" s="119"/>
      <c r="L19" s="119" t="s">
        <v>459</v>
      </c>
      <c r="M19" s="100" t="s">
        <v>921</v>
      </c>
      <c r="N19" s="100" t="s">
        <v>895</v>
      </c>
      <c r="O19" s="374" t="s">
        <v>466</v>
      </c>
      <c r="P19" s="374" t="s">
        <v>896</v>
      </c>
      <c r="Q19" s="100" t="s">
        <v>897</v>
      </c>
      <c r="R19" s="100" t="s">
        <v>896</v>
      </c>
      <c r="S19" s="377" t="s">
        <v>844</v>
      </c>
      <c r="T19" s="417" t="str">
        <f>$T$1&amp;":\PRODUCCION ESTERILES\IV SCOOP JPC-MATERNO-VERAGUAS-CPOLICARPA SCOOP\"</f>
        <v>Z:\PRODUCCION ESTERILES\IV SCOOP JPC-MATERNO-VERAGUAS-CPOLICARPA SCOOP\</v>
      </c>
      <c r="U19" s="110" t="str">
        <f ca="1">T19&amp;YEAR('FORMATO DIL'!$C$6)&amp;"\"&amp;TEXT('FORMATO DIL'!$C$6,"MM")&amp;" "&amp;UPPER(TEXT('FORMATO DIL'!$C$6,"MMMM"))&amp;"\"&amp;TEXT('FORMATO DIL'!$C$6,"DDMMYY")&amp;IF($S19&lt;&gt;"",S19,"\")</f>
        <v>Z:\PRODUCCION ESTERILES\IV SCOOP JPC-MATERNO-VERAGUAS-CPOLICARPA SCOOP\2022\08 AGOSTO\040822\MATERNO\</v>
      </c>
      <c r="V19" s="110" t="s">
        <v>867</v>
      </c>
      <c r="W19" s="110" t="str">
        <f ca="1">V19&amp;YEAR('FORMATO DIL'!$C$6)&amp;"\"&amp;TEXT('FORMATO DIL'!$C$6,"MM")&amp;" "&amp;UPPER(TEXT('FORMATO DIL'!$C$6,"MMMM"))&amp;"\"&amp;TEXT('FORMATO DIL'!$C$6,"DDMMYY")&amp;IF($S19&lt;&gt;"",S19,"\")</f>
        <v>S:\ESTERILES\IV SCOOP JPC-MATERNO-VERAGUAS-CPOLICARPA\2022\08 AGOSTO\040822\MATERNO\</v>
      </c>
    </row>
    <row r="20" spans="1:23">
      <c r="L20" s="119" t="s">
        <v>370</v>
      </c>
      <c r="M20" s="100" t="s">
        <v>922</v>
      </c>
      <c r="N20" s="100" t="s">
        <v>720</v>
      </c>
      <c r="O20" s="374" t="s">
        <v>467</v>
      </c>
      <c r="P20" s="374" t="s">
        <v>483</v>
      </c>
      <c r="Q20" s="100" t="s">
        <v>564</v>
      </c>
      <c r="R20" s="100" t="s">
        <v>630</v>
      </c>
      <c r="S20" s="377" t="s">
        <v>845</v>
      </c>
      <c r="T20" s="417" t="str">
        <f>$T$1&amp;":\PRODUCCION ESTERILES\IV SCOOP JPC-MATERNO-VERAGUAS-CPOLICARPA SCOOP\"</f>
        <v>Z:\PRODUCCION ESTERILES\IV SCOOP JPC-MATERNO-VERAGUAS-CPOLICARPA SCOOP\</v>
      </c>
      <c r="U20" s="110" t="str">
        <f ca="1">T20&amp;YEAR('FORMATO DIL'!$C$6)&amp;"\"&amp;TEXT('FORMATO DIL'!$C$6,"MM")&amp;" "&amp;UPPER(TEXT('FORMATO DIL'!$C$6,"MMMM"))&amp;"\"&amp;TEXT('FORMATO DIL'!$C$6,"DDMMYY")&amp;IF($S20&lt;&gt;"",S20,"\")</f>
        <v>Z:\PRODUCCION ESTERILES\IV SCOOP JPC-MATERNO-VERAGUAS-CPOLICARPA SCOOP\2022\08 AGOSTO\040822\VERAGUAS\</v>
      </c>
      <c r="V20" s="110" t="s">
        <v>867</v>
      </c>
      <c r="W20" s="110" t="str">
        <f ca="1">V20&amp;YEAR('FORMATO DIL'!$C$6)&amp;"\"&amp;TEXT('FORMATO DIL'!$C$6,"MM")&amp;" "&amp;UPPER(TEXT('FORMATO DIL'!$C$6,"MMMM"))&amp;"\"&amp;TEXT('FORMATO DIL'!$C$6,"DDMMYY")&amp;IF($S20&lt;&gt;"",S20,"\")</f>
        <v>S:\ESTERILES\IV SCOOP JPC-MATERNO-VERAGUAS-CPOLICARPA\2022\08 AGOSTO\040822\VERAGUAS\</v>
      </c>
    </row>
    <row r="21" spans="1:23">
      <c r="A21" s="113" t="s">
        <v>964</v>
      </c>
      <c r="L21" s="119" t="s">
        <v>460</v>
      </c>
      <c r="M21" s="100"/>
      <c r="N21" s="100" t="s">
        <v>514</v>
      </c>
      <c r="O21" s="374"/>
      <c r="P21" s="374"/>
      <c r="Q21" s="100" t="s">
        <v>514</v>
      </c>
      <c r="R21" s="100"/>
      <c r="S21" s="377"/>
    </row>
    <row r="22" spans="1:23" ht="15">
      <c r="A22" s="114" t="s">
        <v>965</v>
      </c>
      <c r="D22" s="64"/>
      <c r="E22" s="64"/>
      <c r="F22" s="64"/>
      <c r="G22" s="64"/>
      <c r="H22" s="64"/>
      <c r="I22" s="64"/>
      <c r="J22" s="64"/>
      <c r="K22" s="64"/>
      <c r="L22" s="119" t="s">
        <v>1389</v>
      </c>
      <c r="M22" s="100" t="s">
        <v>923</v>
      </c>
      <c r="N22" s="100" t="s">
        <v>721</v>
      </c>
      <c r="O22" s="374" t="s">
        <v>468</v>
      </c>
      <c r="P22" s="374" t="s">
        <v>486</v>
      </c>
      <c r="Q22" s="100" t="s">
        <v>565</v>
      </c>
      <c r="R22" s="100" t="s">
        <v>636</v>
      </c>
      <c r="S22" s="377"/>
      <c r="T22" s="417" t="str">
        <f>$T$1&amp;":\PRODUCCION ESTERILES\IV SCOOP CLINICA SANTA BIBIANA\"</f>
        <v>Z:\PRODUCCION ESTERILES\IV SCOOP CLINICA SANTA BIBIANA\</v>
      </c>
      <c r="U22" s="110" t="str">
        <f ca="1">T22&amp;YEAR('FORMATO DIL'!$C$6)&amp;"\"&amp;TEXT('FORMATO DIL'!$C$6,"MM")&amp;" "&amp;UPPER(TEXT('FORMATO DIL'!$C$6,"MMMM"))&amp;"\"&amp;TEXT('FORMATO DIL'!$C$6,"DDMMYY")&amp;IF($S22&lt;&gt;"",S22,"\")</f>
        <v>Z:\PRODUCCION ESTERILES\IV SCOOP CLINICA SANTA BIBIANA\2022\08 AGOSTO\040822\</v>
      </c>
      <c r="V22" s="110" t="s">
        <v>868</v>
      </c>
      <c r="W22" s="110" t="str">
        <f ca="1">V22&amp;YEAR('FORMATO DIL'!$C$6)&amp;"\"&amp;TEXT('FORMATO DIL'!$C$6,"MM")&amp;" "&amp;UPPER(TEXT('FORMATO DIL'!$C$6,"MMMM"))&amp;"\"&amp;TEXT('FORMATO DIL'!$C$6,"DDMMYY")&amp;IF($S22&lt;&gt;"",S22,"\")</f>
        <v>S:\ESTERILES\IV SCOOP CLINICA SANTA BIBIANA\2022\08 AGOSTO\040822\</v>
      </c>
    </row>
    <row r="23" spans="1:23" ht="15">
      <c r="A23" s="114" t="s">
        <v>966</v>
      </c>
      <c r="D23" s="64"/>
      <c r="E23" s="64"/>
      <c r="F23" s="64"/>
      <c r="G23" s="64"/>
      <c r="H23" s="64"/>
      <c r="I23" s="64"/>
      <c r="J23" s="64"/>
      <c r="K23" s="64"/>
      <c r="L23" s="119"/>
      <c r="M23" s="100" t="s">
        <v>924</v>
      </c>
      <c r="N23" s="100" t="s">
        <v>722</v>
      </c>
      <c r="O23" s="374" t="s">
        <v>468</v>
      </c>
      <c r="P23" s="374" t="s">
        <v>485</v>
      </c>
      <c r="Q23" s="100" t="s">
        <v>566</v>
      </c>
      <c r="R23" s="100" t="s">
        <v>637</v>
      </c>
      <c r="S23" s="377"/>
      <c r="T23" s="417" t="str">
        <f>$T$1&amp;":\PRODUCCION ESTERILES\IV SCOOP CLINICA SANTA BIBIANA\"</f>
        <v>Z:\PRODUCCION ESTERILES\IV SCOOP CLINICA SANTA BIBIANA\</v>
      </c>
      <c r="U23" s="110" t="str">
        <f ca="1">T23&amp;YEAR('FORMATO DIL'!$C$6)&amp;"\"&amp;TEXT('FORMATO DIL'!$C$6,"MM")&amp;" "&amp;UPPER(TEXT('FORMATO DIL'!$C$6,"MMMM"))&amp;"\"&amp;TEXT('FORMATO DIL'!$C$6,"DDMMYY")&amp;IF($S23&lt;&gt;"",S23,"\")</f>
        <v>Z:\PRODUCCION ESTERILES\IV SCOOP CLINICA SANTA BIBIANA\2022\08 AGOSTO\040822\</v>
      </c>
      <c r="V23" s="110" t="s">
        <v>868</v>
      </c>
      <c r="W23" s="110" t="str">
        <f ca="1">V23&amp;YEAR('FORMATO DIL'!$C$6)&amp;"\"&amp;TEXT('FORMATO DIL'!$C$6,"MM")&amp;" "&amp;UPPER(TEXT('FORMATO DIL'!$C$6,"MMMM"))&amp;"\"&amp;TEXT('FORMATO DIL'!$C$6,"DDMMYY")&amp;IF($S23&lt;&gt;"",S23,"\")</f>
        <v>S:\ESTERILES\IV SCOOP CLINICA SANTA BIBIANA\2022\08 AGOSTO\040822\</v>
      </c>
    </row>
    <row r="24" spans="1:23" ht="15">
      <c r="A24" s="114" t="s">
        <v>967</v>
      </c>
      <c r="D24" s="64"/>
      <c r="E24" s="64"/>
      <c r="F24" s="64"/>
      <c r="G24" s="64"/>
      <c r="H24" s="64"/>
      <c r="I24" s="64"/>
      <c r="J24" s="64"/>
      <c r="K24" s="64"/>
      <c r="M24" s="100" t="s">
        <v>925</v>
      </c>
      <c r="N24" s="100" t="s">
        <v>723</v>
      </c>
      <c r="O24" s="374" t="s">
        <v>468</v>
      </c>
      <c r="P24" s="374" t="s">
        <v>484</v>
      </c>
      <c r="Q24" s="100" t="s">
        <v>567</v>
      </c>
      <c r="R24" s="100" t="s">
        <v>638</v>
      </c>
      <c r="S24" s="377"/>
      <c r="T24" s="417" t="str">
        <f>$T$1&amp;":\PRODUCCION ESTERILES\IV SCOOP CLINICA SANTA BIBIANA\"</f>
        <v>Z:\PRODUCCION ESTERILES\IV SCOOP CLINICA SANTA BIBIANA\</v>
      </c>
      <c r="U24" s="110" t="str">
        <f ca="1">T24&amp;YEAR('FORMATO DIL'!$C$6)&amp;"\"&amp;TEXT('FORMATO DIL'!$C$6,"MM")&amp;" "&amp;UPPER(TEXT('FORMATO DIL'!$C$6,"MMMM"))&amp;"\"&amp;TEXT('FORMATO DIL'!$C$6,"DDMMYY")&amp;IF($S24&lt;&gt;"",S24,"\")</f>
        <v>Z:\PRODUCCION ESTERILES\IV SCOOP CLINICA SANTA BIBIANA\2022\08 AGOSTO\040822\</v>
      </c>
      <c r="V24" s="110" t="s">
        <v>868</v>
      </c>
      <c r="W24" s="110" t="str">
        <f ca="1">V24&amp;YEAR('FORMATO DIL'!$C$6)&amp;"\"&amp;TEXT('FORMATO DIL'!$C$6,"MM")&amp;" "&amp;UPPER(TEXT('FORMATO DIL'!$C$6,"MMMM"))&amp;"\"&amp;TEXT('FORMATO DIL'!$C$6,"DDMMYY")&amp;IF($S24&lt;&gt;"",S24,"\")</f>
        <v>S:\ESTERILES\IV SCOOP CLINICA SANTA BIBIANA\2022\08 AGOSTO\040822\</v>
      </c>
    </row>
    <row r="25" spans="1:23" ht="15">
      <c r="A25" s="114" t="s">
        <v>616</v>
      </c>
      <c r="D25" s="64"/>
      <c r="E25" s="64"/>
      <c r="F25" s="64"/>
      <c r="G25" s="64"/>
      <c r="H25" s="64"/>
      <c r="I25" s="64"/>
      <c r="J25" s="64"/>
      <c r="K25" s="64"/>
      <c r="M25" s="100" t="s">
        <v>948</v>
      </c>
      <c r="N25" s="100" t="s">
        <v>724</v>
      </c>
      <c r="O25" s="374" t="s">
        <v>468</v>
      </c>
      <c r="P25" s="374" t="s">
        <v>483</v>
      </c>
      <c r="Q25" s="100" t="s">
        <v>568</v>
      </c>
      <c r="R25" s="100" t="s">
        <v>639</v>
      </c>
      <c r="S25" s="377"/>
      <c r="T25" s="417" t="str">
        <f>$T$1&amp;":\PRODUCCION ESTERILES\IV SCOOP CLINICA SANTA BIBIANA\"</f>
        <v>Z:\PRODUCCION ESTERILES\IV SCOOP CLINICA SANTA BIBIANA\</v>
      </c>
      <c r="U25" s="110" t="str">
        <f ca="1">T25&amp;YEAR('FORMATO DIL'!$C$6)&amp;"\"&amp;TEXT('FORMATO DIL'!$C$6,"MM")&amp;" "&amp;UPPER(TEXT('FORMATO DIL'!$C$6,"MMMM"))&amp;"\"&amp;TEXT('FORMATO DIL'!$C$6,"DDMMYY")&amp;IF($S25&lt;&gt;"",S25,"\")</f>
        <v>Z:\PRODUCCION ESTERILES\IV SCOOP CLINICA SANTA BIBIANA\2022\08 AGOSTO\040822\</v>
      </c>
      <c r="V25" s="110" t="s">
        <v>868</v>
      </c>
      <c r="W25" s="110" t="str">
        <f ca="1">V25&amp;YEAR('FORMATO DIL'!$C$6)&amp;"\"&amp;TEXT('FORMATO DIL'!$C$6,"MM")&amp;" "&amp;UPPER(TEXT('FORMATO DIL'!$C$6,"MMMM"))&amp;"\"&amp;TEXT('FORMATO DIL'!$C$6,"DDMMYY")&amp;IF($S25&lt;&gt;"",S25,"\")</f>
        <v>S:\ESTERILES\IV SCOOP CLINICA SANTA BIBIANA\2022\08 AGOSTO\040822\</v>
      </c>
    </row>
    <row r="26" spans="1:23" ht="15">
      <c r="A26" s="114" t="s">
        <v>968</v>
      </c>
      <c r="D26" s="64"/>
      <c r="E26" s="64"/>
      <c r="F26" s="64"/>
      <c r="G26" s="64"/>
      <c r="H26" s="64"/>
      <c r="I26" s="64"/>
      <c r="J26" s="64"/>
      <c r="K26" s="64"/>
      <c r="M26" s="100"/>
      <c r="N26" s="100" t="s">
        <v>514</v>
      </c>
      <c r="O26" s="374"/>
      <c r="P26" s="374"/>
      <c r="Q26" s="100" t="s">
        <v>514</v>
      </c>
      <c r="R26" s="100"/>
      <c r="S26" s="377"/>
    </row>
    <row r="27" spans="1:23" ht="15">
      <c r="A27" s="114" t="s">
        <v>969</v>
      </c>
      <c r="D27" s="64"/>
      <c r="E27" s="64"/>
      <c r="F27" s="64"/>
      <c r="G27" s="64"/>
      <c r="H27" s="64"/>
      <c r="I27" s="64"/>
      <c r="J27" s="64"/>
      <c r="K27" s="64"/>
      <c r="M27" s="100" t="s">
        <v>944</v>
      </c>
      <c r="N27" s="100" t="s">
        <v>725</v>
      </c>
      <c r="O27" s="374" t="s">
        <v>469</v>
      </c>
      <c r="P27" s="374" t="s">
        <v>481</v>
      </c>
      <c r="Q27" s="100" t="s">
        <v>569</v>
      </c>
      <c r="R27" s="100" t="s">
        <v>613</v>
      </c>
      <c r="S27" s="377"/>
      <c r="T27" s="417" t="str">
        <f>$T$1&amp;":\PRODUCCION ESTERILES\IV SCOOP CLINICA CENTRO MATERNIDAD\"</f>
        <v>Z:\PRODUCCION ESTERILES\IV SCOOP CLINICA CENTRO MATERNIDAD\</v>
      </c>
      <c r="U27" s="110" t="str">
        <f ca="1">T27&amp;YEAR('FORMATO DIL'!$C$6)&amp;"\"&amp;TEXT('FORMATO DIL'!$C$6,"MM")&amp;" "&amp;UPPER(TEXT('FORMATO DIL'!$C$6,"MMMM"))&amp;"\"&amp;TEXT('FORMATO DIL'!$C$6,"DDMMYY")&amp;IF($S27&lt;&gt;"",S27,"\")</f>
        <v>Z:\PRODUCCION ESTERILES\IV SCOOP CLINICA CENTRO MATERNIDAD\2022\08 AGOSTO\040822\</v>
      </c>
      <c r="V27" s="110" t="s">
        <v>869</v>
      </c>
      <c r="W27" s="110" t="str">
        <f ca="1">V27&amp;YEAR('FORMATO DIL'!$C$6)&amp;"\"&amp;TEXT('FORMATO DIL'!$C$6,"MM")&amp;" "&amp;UPPER(TEXT('FORMATO DIL'!$C$6,"MMMM"))&amp;"\"&amp;TEXT('FORMATO DIL'!$C$6,"DDMMYY")&amp;IF($S27&lt;&gt;"",S27,"\")</f>
        <v>S:\ESTERILES\IV SCOOP CLINICA CENTRO MATERNIDAD\2022\08 AGOSTO\040822\</v>
      </c>
    </row>
    <row r="28" spans="1:23" ht="15">
      <c r="A28" s="114" t="s">
        <v>970</v>
      </c>
      <c r="D28" s="64"/>
      <c r="E28" s="64"/>
      <c r="F28" s="64"/>
      <c r="G28" s="64"/>
      <c r="H28" s="64"/>
      <c r="I28" s="64"/>
      <c r="J28" s="64"/>
      <c r="K28" s="64"/>
      <c r="M28" s="100" t="s">
        <v>947</v>
      </c>
      <c r="N28" s="100" t="s">
        <v>726</v>
      </c>
      <c r="O28" s="374" t="s">
        <v>470</v>
      </c>
      <c r="P28" s="374" t="s">
        <v>481</v>
      </c>
      <c r="Q28" s="100" t="s">
        <v>570</v>
      </c>
      <c r="R28" s="100" t="s">
        <v>614</v>
      </c>
      <c r="S28" s="377"/>
      <c r="T28" s="417" t="str">
        <f>$T$1&amp;":\PRODUCCION ESTERILES\IV SCOOP CLINICA SANTA ROSA\"</f>
        <v>Z:\PRODUCCION ESTERILES\IV SCOOP CLINICA SANTA ROSA\</v>
      </c>
      <c r="U28" s="110" t="str">
        <f ca="1">T28&amp;YEAR('FORMATO DIL'!$C$6)&amp;"\"&amp;TEXT('FORMATO DIL'!$C$6,"MM")&amp;" "&amp;UPPER(TEXT('FORMATO DIL'!$C$6,"MMMM"))&amp;"\"&amp;TEXT('FORMATO DIL'!$C$6,"DDMMYY")&amp;IF($S28&lt;&gt;"",S28,"\")</f>
        <v>Z:\PRODUCCION ESTERILES\IV SCOOP CLINICA SANTA ROSA\2022\08 AGOSTO\040822\</v>
      </c>
      <c r="V28" s="110" t="s">
        <v>870</v>
      </c>
      <c r="W28" s="110" t="str">
        <f ca="1">V28&amp;YEAR('FORMATO DIL'!$C$6)&amp;"\"&amp;TEXT('FORMATO DIL'!$C$6,"MM")&amp;" "&amp;UPPER(TEXT('FORMATO DIL'!$C$6,"MMMM"))&amp;"\"&amp;TEXT('FORMATO DIL'!$C$6,"DDMMYY")&amp;IF($S28&lt;&gt;"",S28,"\")</f>
        <v>S:\ESTERILES\IV SCOOP CLINICA SANTA ROSA\2022\08 AGOSTO\040822\</v>
      </c>
    </row>
    <row r="29" spans="1:23" ht="15">
      <c r="A29" s="114" t="s">
        <v>971</v>
      </c>
      <c r="D29" s="64"/>
      <c r="E29" s="64"/>
      <c r="F29" s="64"/>
      <c r="G29" s="64"/>
      <c r="H29" s="64" t="s">
        <v>435</v>
      </c>
      <c r="I29" s="64"/>
      <c r="J29" s="64"/>
      <c r="K29" s="64"/>
      <c r="M29" s="100" t="s">
        <v>949</v>
      </c>
      <c r="N29" s="100" t="s">
        <v>707</v>
      </c>
      <c r="O29" s="374" t="s">
        <v>660</v>
      </c>
      <c r="P29" s="374" t="s">
        <v>481</v>
      </c>
      <c r="Q29" s="100" t="s">
        <v>659</v>
      </c>
      <c r="R29" s="100" t="s">
        <v>658</v>
      </c>
      <c r="S29" s="377"/>
      <c r="T29" s="417" t="str">
        <f>$T$1&amp;":\PRODUCCION ESTERILES\IV SCOOP CLINICA NORTE\"</f>
        <v>Z:\PRODUCCION ESTERILES\IV SCOOP CLINICA NORTE\</v>
      </c>
      <c r="U29" s="110" t="str">
        <f ca="1">T29&amp;YEAR('FORMATO DIL'!$C$6)&amp;"\"&amp;TEXT('FORMATO DIL'!$C$6,"MM")&amp;" "&amp;UPPER(TEXT('FORMATO DIL'!$C$6,"MMMM"))&amp;"\"&amp;TEXT('FORMATO DIL'!$C$6,"DDMMYY")&amp;IF($S29&lt;&gt;"",S29,"\")</f>
        <v>Z:\PRODUCCION ESTERILES\IV SCOOP CLINICA NORTE\2022\08 AGOSTO\040822\</v>
      </c>
      <c r="V29" s="110" t="s">
        <v>871</v>
      </c>
      <c r="W29" s="110" t="str">
        <f ca="1">V29&amp;YEAR('FORMATO DIL'!$C$6)&amp;"\"&amp;TEXT('FORMATO DIL'!$C$6,"MM")&amp;" "&amp;UPPER(TEXT('FORMATO DIL'!$C$6,"MMMM"))&amp;"\"&amp;TEXT('FORMATO DIL'!$C$6,"DDMMYY")&amp;IF($S29&lt;&gt;"",S29,"\")</f>
        <v>S:\ESTERILES\IV SCOOP CLINICA NORTE\2022\08 AGOSTO\040822\</v>
      </c>
    </row>
    <row r="30" spans="1:23" ht="15">
      <c r="A30" s="114" t="s">
        <v>972</v>
      </c>
      <c r="D30" s="64"/>
      <c r="E30" s="64"/>
      <c r="F30" s="64"/>
      <c r="G30" s="64"/>
      <c r="H30" s="64" t="s">
        <v>588</v>
      </c>
      <c r="I30" s="64"/>
      <c r="J30" s="64"/>
      <c r="K30" s="64"/>
      <c r="M30" s="100"/>
      <c r="N30" s="100" t="s">
        <v>514</v>
      </c>
      <c r="O30" s="374"/>
      <c r="P30" s="374"/>
      <c r="Q30" s="100" t="s">
        <v>514</v>
      </c>
      <c r="R30" s="100"/>
      <c r="S30" s="377"/>
    </row>
    <row r="31" spans="1:23" ht="15">
      <c r="A31" s="114" t="s">
        <v>662</v>
      </c>
      <c r="D31" s="64"/>
      <c r="E31" s="64"/>
      <c r="F31" s="64"/>
      <c r="G31" s="64"/>
      <c r="H31" s="64" t="s">
        <v>589</v>
      </c>
      <c r="I31" s="64"/>
      <c r="J31" s="64"/>
      <c r="K31" s="64"/>
      <c r="M31" s="100" t="s">
        <v>945</v>
      </c>
      <c r="N31" s="100" t="s">
        <v>729</v>
      </c>
      <c r="O31" s="374" t="s">
        <v>542</v>
      </c>
      <c r="P31" s="374" t="s">
        <v>481</v>
      </c>
      <c r="Q31" s="100" t="s">
        <v>599</v>
      </c>
      <c r="R31" s="100" t="s">
        <v>640</v>
      </c>
      <c r="S31" s="377"/>
      <c r="T31" s="417" t="str">
        <f>$T$1&amp;":\PRODUCCION ESTERILES\IV SCOOP IBAGUE\"</f>
        <v>Z:\PRODUCCION ESTERILES\IV SCOOP IBAGUE\</v>
      </c>
      <c r="U31" s="110" t="str">
        <f ca="1">T31&amp;YEAR('FORMATO DIL'!$C$6)&amp;"\"&amp;TEXT('FORMATO DIL'!$C$6,"MM")&amp;" "&amp;UPPER(TEXT('FORMATO DIL'!$C$6,"MMMM"))&amp;"\"&amp;TEXT('FORMATO DIL'!$C$6,"DDMMYY")&amp;IF($S31&lt;&gt;"",S31,"\")</f>
        <v>Z:\PRODUCCION ESTERILES\IV SCOOP IBAGUE\2022\08 AGOSTO\040822\</v>
      </c>
      <c r="V31" s="110" t="s">
        <v>872</v>
      </c>
      <c r="W31" s="110" t="str">
        <f ca="1">V31&amp;YEAR('FORMATO DIL'!$C$6)&amp;"\"&amp;TEXT('FORMATO DIL'!$C$6,"MM")&amp;" "&amp;UPPER(TEXT('FORMATO DIL'!$C$6,"MMMM"))&amp;"\"&amp;TEXT('FORMATO DIL'!$C$6,"DDMMYY")&amp;IF($S31&lt;&gt;"",S31,"\")</f>
        <v>S:\ESTERILES\IV SCOOP IBAGUE\2022\08 AGOSTO\040822\</v>
      </c>
    </row>
    <row r="32" spans="1:23" ht="15">
      <c r="A32" s="114" t="s">
        <v>973</v>
      </c>
      <c r="D32" s="64"/>
      <c r="E32" s="64"/>
      <c r="F32" s="64"/>
      <c r="G32" s="64"/>
      <c r="H32" s="64"/>
      <c r="I32" s="64"/>
      <c r="J32" s="64"/>
      <c r="K32" s="64"/>
      <c r="M32" s="100" t="s">
        <v>946</v>
      </c>
      <c r="N32" s="100" t="s">
        <v>727</v>
      </c>
      <c r="O32" s="374" t="s">
        <v>542</v>
      </c>
      <c r="P32" s="374" t="s">
        <v>489</v>
      </c>
      <c r="Q32" s="100" t="s">
        <v>594</v>
      </c>
      <c r="R32" s="100" t="s">
        <v>641</v>
      </c>
      <c r="S32" s="377"/>
      <c r="T32" s="417" t="str">
        <f>$T$1&amp;":\PRODUCCION ESTERILES\IV SCOOP IBAGUE\"</f>
        <v>Z:\PRODUCCION ESTERILES\IV SCOOP IBAGUE\</v>
      </c>
      <c r="U32" s="110" t="str">
        <f ca="1">T32&amp;YEAR('FORMATO DIL'!$C$6)&amp;"\"&amp;TEXT('FORMATO DIL'!$C$6,"MM")&amp;" "&amp;UPPER(TEXT('FORMATO DIL'!$C$6,"MMMM"))&amp;"\"&amp;TEXT('FORMATO DIL'!$C$6,"DDMMYY")&amp;IF($S32&lt;&gt;"",S32,"\")</f>
        <v>Z:\PRODUCCION ESTERILES\IV SCOOP IBAGUE\2022\08 AGOSTO\040822\</v>
      </c>
      <c r="V32" s="110" t="s">
        <v>872</v>
      </c>
      <c r="W32" s="110" t="str">
        <f ca="1">V32&amp;YEAR('FORMATO DIL'!$C$6)&amp;"\"&amp;TEXT('FORMATO DIL'!$C$6,"MM")&amp;" "&amp;UPPER(TEXT('FORMATO DIL'!$C$6,"MMMM"))&amp;"\"&amp;TEXT('FORMATO DIL'!$C$6,"DDMMYY")&amp;IF($S32&lt;&gt;"",S32,"\")</f>
        <v>S:\ESTERILES\IV SCOOP IBAGUE\2022\08 AGOSTO\040822\</v>
      </c>
    </row>
    <row r="33" spans="1:23" ht="15">
      <c r="A33" s="114" t="s">
        <v>974</v>
      </c>
      <c r="D33" s="64"/>
      <c r="E33" s="64"/>
      <c r="F33" s="64"/>
      <c r="G33" s="64"/>
      <c r="H33" s="64"/>
      <c r="I33" s="64"/>
      <c r="J33" s="64"/>
      <c r="K33" s="64"/>
      <c r="M33" s="100" t="s">
        <v>926</v>
      </c>
      <c r="N33" s="100" t="s">
        <v>728</v>
      </c>
      <c r="O33" s="374" t="s">
        <v>541</v>
      </c>
      <c r="P33" s="374" t="s">
        <v>481</v>
      </c>
      <c r="Q33" s="100" t="s">
        <v>547</v>
      </c>
      <c r="R33" s="100" t="s">
        <v>616</v>
      </c>
      <c r="S33" s="377"/>
      <c r="T33" s="417" t="str">
        <f>$T$1&amp;":\PRODUCCION ESTERILES\IV SCOOP CLINICA GIRARDOT\"</f>
        <v>Z:\PRODUCCION ESTERILES\IV SCOOP CLINICA GIRARDOT\</v>
      </c>
      <c r="U33" s="110" t="str">
        <f ca="1">T33&amp;YEAR('FORMATO DIL'!$C$6)&amp;"\"&amp;TEXT('FORMATO DIL'!$C$6,"MM")&amp;" "&amp;UPPER(TEXT('FORMATO DIL'!$C$6,"MMMM"))&amp;"\"&amp;TEXT('FORMATO DIL'!$C$6,"DDMMYY")&amp;IF($S33&lt;&gt;"",S33,"\")</f>
        <v>Z:\PRODUCCION ESTERILES\IV SCOOP CLINICA GIRARDOT\2022\08 AGOSTO\040822\</v>
      </c>
      <c r="V33" s="110" t="s">
        <v>873</v>
      </c>
      <c r="W33" s="110" t="str">
        <f ca="1">V33&amp;YEAR('FORMATO DIL'!$C$6)&amp;"\"&amp;TEXT('FORMATO DIL'!$C$6,"MM")&amp;" "&amp;UPPER(TEXT('FORMATO DIL'!$C$6,"MMMM"))&amp;"\"&amp;TEXT('FORMATO DIL'!$C$6,"DDMMYY")&amp;IF($S33&lt;&gt;"",S33,"\")</f>
        <v>S:\ESTERILES\IV SCOOP CLINICA GIRARDOT\2022\08 AGOSTO\040822\</v>
      </c>
    </row>
    <row r="34" spans="1:23" ht="15">
      <c r="A34" s="114" t="s">
        <v>630</v>
      </c>
      <c r="D34" s="64"/>
      <c r="E34" s="64"/>
      <c r="F34" s="64"/>
      <c r="G34" s="64"/>
      <c r="H34" s="64"/>
      <c r="I34" s="64"/>
      <c r="J34" s="64"/>
      <c r="K34" s="64"/>
      <c r="M34" s="100" t="s">
        <v>927</v>
      </c>
      <c r="N34" s="100" t="s">
        <v>828</v>
      </c>
      <c r="O34" s="374" t="s">
        <v>574</v>
      </c>
      <c r="P34" s="374" t="s">
        <v>495</v>
      </c>
      <c r="Q34" s="100" t="s">
        <v>830</v>
      </c>
      <c r="R34" s="100" t="s">
        <v>574</v>
      </c>
      <c r="S34" s="377"/>
      <c r="T34" s="417" t="str">
        <f>$T$1&amp;":\PRODUCCION ESTERILES\IV SCOOP  NEIVA\"</f>
        <v>Z:\PRODUCCION ESTERILES\IV SCOOP  NEIVA\</v>
      </c>
      <c r="U34" s="110" t="str">
        <f ca="1">T34&amp;YEAR('FORMATO DIL'!$C$6)&amp;"\"&amp;TEXT('FORMATO DIL'!$C$6,"MM")&amp;" "&amp;UPPER(TEXT('FORMATO DIL'!$C$6,"MMMM"))&amp;"\"&amp;TEXT('FORMATO DIL'!$C$6,"DDMMYY")&amp;IF($S34&lt;&gt;"",S34,"\")</f>
        <v>Z:\PRODUCCION ESTERILES\IV SCOOP  NEIVA\2022\08 AGOSTO\040822\</v>
      </c>
      <c r="V34" s="110" t="s">
        <v>874</v>
      </c>
      <c r="W34" s="110" t="str">
        <f ca="1">V34&amp;YEAR('FORMATO DIL'!$C$6)&amp;"\"&amp;TEXT('FORMATO DIL'!$C$6,"MM")&amp;" "&amp;UPPER(TEXT('FORMATO DIL'!$C$6,"MMMM"))&amp;"\"&amp;TEXT('FORMATO DIL'!$C$6,"DDMMYY")&amp;IF($S34&lt;&gt;"",S34,"\")</f>
        <v>S:\ESTERILES\IV SCOOP NEIVA\2022\08 AGOSTO\040822\</v>
      </c>
    </row>
    <row r="35" spans="1:23" ht="15">
      <c r="A35" s="114" t="s">
        <v>574</v>
      </c>
      <c r="D35" s="64"/>
      <c r="E35" s="64"/>
      <c r="F35" s="64"/>
      <c r="G35" s="64"/>
      <c r="H35" s="64"/>
      <c r="I35" s="64"/>
      <c r="J35" s="64"/>
      <c r="K35" s="64"/>
      <c r="M35" s="100" t="s">
        <v>928</v>
      </c>
      <c r="N35" s="100" t="s">
        <v>829</v>
      </c>
      <c r="O35" s="374" t="s">
        <v>574</v>
      </c>
      <c r="P35" s="374" t="s">
        <v>481</v>
      </c>
      <c r="Q35" s="100" t="s">
        <v>831</v>
      </c>
      <c r="R35" s="100" t="s">
        <v>887</v>
      </c>
      <c r="S35" s="377"/>
      <c r="T35" s="417" t="str">
        <f>$T$1&amp;":\PRODUCCION ESTERILES\IV SCOOP  NEIVA\"</f>
        <v>Z:\PRODUCCION ESTERILES\IV SCOOP  NEIVA\</v>
      </c>
      <c r="U35" s="110" t="str">
        <f ca="1">T35&amp;YEAR('FORMATO DIL'!$C$6)&amp;"\"&amp;TEXT('FORMATO DIL'!$C$6,"MM")&amp;" "&amp;UPPER(TEXT('FORMATO DIL'!$C$6,"MMMM"))&amp;"\"&amp;TEXT('FORMATO DIL'!$C$6,"DDMMYY")&amp;IF($S35&lt;&gt;"",S35,"\")</f>
        <v>Z:\PRODUCCION ESTERILES\IV SCOOP  NEIVA\2022\08 AGOSTO\040822\</v>
      </c>
      <c r="V35" s="110" t="s">
        <v>874</v>
      </c>
      <c r="W35" s="110" t="str">
        <f ca="1">V35&amp;YEAR('FORMATO DIL'!$C$6)&amp;"\"&amp;TEXT('FORMATO DIL'!$C$6,"MM")&amp;" "&amp;UPPER(TEXT('FORMATO DIL'!$C$6,"MMMM"))&amp;"\"&amp;TEXT('FORMATO DIL'!$C$6,"DDMMYY")&amp;IF($S35&lt;&gt;"",S35,"\")</f>
        <v>S:\ESTERILES\IV SCOOP NEIVA\2022\08 AGOSTO\040822\</v>
      </c>
    </row>
    <row r="36" spans="1:23" ht="15">
      <c r="D36" s="64"/>
      <c r="E36" s="64"/>
      <c r="F36" s="64"/>
      <c r="G36" s="64"/>
      <c r="H36" s="64"/>
      <c r="I36" s="64"/>
      <c r="J36" s="64"/>
      <c r="K36" s="64"/>
      <c r="M36" s="100"/>
      <c r="N36" s="100" t="s">
        <v>514</v>
      </c>
      <c r="O36" s="376"/>
      <c r="P36" s="374" t="s">
        <v>361</v>
      </c>
      <c r="Q36" s="100" t="s">
        <v>514</v>
      </c>
      <c r="R36" s="100"/>
      <c r="S36" s="377"/>
    </row>
    <row r="37" spans="1:23" ht="15">
      <c r="D37" s="64"/>
      <c r="E37" s="64"/>
      <c r="F37" s="64"/>
      <c r="G37" s="64"/>
      <c r="H37" s="64"/>
      <c r="I37" s="64"/>
      <c r="J37" s="64"/>
      <c r="K37" s="64"/>
      <c r="M37" s="100" t="s">
        <v>708</v>
      </c>
      <c r="N37" s="100" t="s">
        <v>708</v>
      </c>
      <c r="O37" s="376" t="s">
        <v>474</v>
      </c>
      <c r="P37" s="374" t="s">
        <v>474</v>
      </c>
      <c r="Q37" s="100" t="s">
        <v>571</v>
      </c>
      <c r="R37" s="100" t="s">
        <v>617</v>
      </c>
      <c r="S37" s="377" t="s">
        <v>846</v>
      </c>
      <c r="T37" s="417" t="str">
        <f>$T$1&amp;":\PRODUCCION ESTERILES\IV SCOOP SHEC\"</f>
        <v>Z:\PRODUCCION ESTERILES\IV SCOOP SHEC\</v>
      </c>
      <c r="U37" s="110" t="str">
        <f ca="1">T37&amp;YEAR('FORMATO DIL'!$C$6)&amp;"\"&amp;TEXT('FORMATO DIL'!$C$6,"MM")&amp;" "&amp;UPPER(TEXT('FORMATO DIL'!$C$6,"MMMM"))&amp;"\"&amp;TEXT('FORMATO DIL'!$C$6,"DDMMYY")&amp;IF($S37&lt;&gt;"",S37,"\")</f>
        <v>Z:\PRODUCCION ESTERILES\IV SCOOP SHEC\2022\08 AGOSTO\040822\SHEC NORTE\</v>
      </c>
      <c r="V37" s="110" t="s">
        <v>875</v>
      </c>
      <c r="W37" s="110" t="str">
        <f ca="1">V37&amp;YEAR('FORMATO DIL'!$C$6)&amp;"\"&amp;TEXT('FORMATO DIL'!$C$6,"MM")&amp;" "&amp;UPPER(TEXT('FORMATO DIL'!$C$6,"MMMM"))&amp;"\"&amp;TEXT('FORMATO DIL'!$C$6,"DDMMYY")&amp;IF($S37&lt;&gt;"",S37,"\")</f>
        <v>S:\ESTERILES\IV SCOOP SHEC\2022\08 AGOSTO\040822\SHEC NORTE\</v>
      </c>
    </row>
    <row r="38" spans="1:23" ht="15">
      <c r="D38" s="64"/>
      <c r="E38" s="64"/>
      <c r="F38" s="64"/>
      <c r="G38" s="64"/>
      <c r="H38" s="64"/>
      <c r="I38" s="64"/>
      <c r="J38" s="64"/>
      <c r="K38" s="64"/>
      <c r="M38" s="100" t="s">
        <v>709</v>
      </c>
      <c r="N38" s="100" t="s">
        <v>709</v>
      </c>
      <c r="O38" s="376" t="s">
        <v>475</v>
      </c>
      <c r="P38" s="374" t="s">
        <v>475</v>
      </c>
      <c r="Q38" s="100" t="s">
        <v>572</v>
      </c>
      <c r="R38" s="100" t="s">
        <v>618</v>
      </c>
      <c r="S38" s="377" t="s">
        <v>847</v>
      </c>
      <c r="T38" s="417" t="str">
        <f>$T$1&amp;":\PRODUCCION ESTERILES\IV SCOOP SHEC\"</f>
        <v>Z:\PRODUCCION ESTERILES\IV SCOOP SHEC\</v>
      </c>
      <c r="U38" s="110" t="str">
        <f ca="1">T38&amp;YEAR('FORMATO DIL'!$C$6)&amp;"\"&amp;TEXT('FORMATO DIL'!$C$6,"MM")&amp;" "&amp;UPPER(TEXT('FORMATO DIL'!$C$6,"MMMM"))&amp;"\"&amp;TEXT('FORMATO DIL'!$C$6,"DDMMYY")&amp;IF($S38&lt;&gt;"",S38,"\")</f>
        <v>Z:\PRODUCCION ESTERILES\IV SCOOP SHEC\2022\08 AGOSTO\040822\SHEC SUR\</v>
      </c>
      <c r="V38" s="110" t="s">
        <v>875</v>
      </c>
      <c r="W38" s="110" t="str">
        <f ca="1">V38&amp;YEAR('FORMATO DIL'!$C$6)&amp;"\"&amp;TEXT('FORMATO DIL'!$C$6,"MM")&amp;" "&amp;UPPER(TEXT('FORMATO DIL'!$C$6,"MMMM"))&amp;"\"&amp;TEXT('FORMATO DIL'!$C$6,"DDMMYY")&amp;IF($S38&lt;&gt;"",S38,"\")</f>
        <v>S:\ESTERILES\IV SCOOP SHEC\2022\08 AGOSTO\040822\SHEC SUR\</v>
      </c>
    </row>
    <row r="39" spans="1:23" ht="15">
      <c r="D39" s="64"/>
      <c r="E39" s="64"/>
      <c r="F39" s="64"/>
      <c r="G39" s="64"/>
      <c r="H39" s="64"/>
      <c r="I39" s="64"/>
      <c r="J39" s="64"/>
      <c r="K39" s="64"/>
      <c r="M39" s="100" t="s">
        <v>898</v>
      </c>
      <c r="N39" s="100" t="s">
        <v>710</v>
      </c>
      <c r="O39" s="376" t="s">
        <v>465</v>
      </c>
      <c r="P39" s="374" t="s">
        <v>481</v>
      </c>
      <c r="Q39" s="100" t="s">
        <v>661</v>
      </c>
      <c r="R39" s="100" t="s">
        <v>662</v>
      </c>
      <c r="S39" s="377"/>
    </row>
    <row r="40" spans="1:23" ht="15">
      <c r="D40" s="64"/>
      <c r="E40" s="64"/>
      <c r="F40" s="64"/>
      <c r="G40" s="64"/>
      <c r="H40" s="64"/>
      <c r="I40" s="64"/>
      <c r="J40" s="64"/>
      <c r="K40" s="64"/>
      <c r="M40" s="100" t="s">
        <v>929</v>
      </c>
      <c r="N40" s="100" t="s">
        <v>730</v>
      </c>
      <c r="O40" s="376" t="s">
        <v>654</v>
      </c>
      <c r="P40" s="374" t="s">
        <v>481</v>
      </c>
      <c r="Q40" s="100" t="s">
        <v>669</v>
      </c>
      <c r="R40" s="100" t="s">
        <v>486</v>
      </c>
      <c r="S40" s="377" t="s">
        <v>848</v>
      </c>
      <c r="T40" s="417" t="str">
        <f>$T$1&amp;":\PRODUCCION ESTERILES\IV SCOOP JPC-MATERNO-VERAGUAS-CPOLICARPA SCOOP\\"</f>
        <v>Z:\PRODUCCION ESTERILES\IV SCOOP JPC-MATERNO-VERAGUAS-CPOLICARPA SCOOP\\</v>
      </c>
      <c r="U40" s="110" t="str">
        <f ca="1">T40&amp;YEAR('FORMATO DIL'!$C$6)&amp;"\"&amp;TEXT('FORMATO DIL'!$C$6,"MM")&amp;" "&amp;UPPER(TEXT('FORMATO DIL'!$C$6,"MMMM"))&amp;"\"&amp;TEXT('FORMATO DIL'!$C$6,"DDMMYY")&amp;IF($S40&lt;&gt;"",S40,"\")</f>
        <v>Z:\PRODUCCION ESTERILES\IV SCOOP JPC-MATERNO-VERAGUAS-CPOLICARPA SCOOP\\2022\08 AGOSTO\040822\POLICARPA\</v>
      </c>
      <c r="V40" s="110" t="s">
        <v>867</v>
      </c>
      <c r="W40" s="110" t="str">
        <f ca="1">V40&amp;YEAR('FORMATO DIL'!$C$6)&amp;"\"&amp;TEXT('FORMATO DIL'!$C$6,"MM")&amp;" "&amp;UPPER(TEXT('FORMATO DIL'!$C$6,"MMMM"))&amp;"\"&amp;TEXT('FORMATO DIL'!$C$6,"DDMMYY")&amp;IF($S40&lt;&gt;"",S40,"\")</f>
        <v>S:\ESTERILES\IV SCOOP JPC-MATERNO-VERAGUAS-CPOLICARPA\2022\08 AGOSTO\040822\POLICARPA\</v>
      </c>
    </row>
    <row r="41" spans="1:23" ht="15">
      <c r="D41" s="64"/>
      <c r="E41" s="64"/>
      <c r="F41" s="64"/>
      <c r="G41" s="64"/>
      <c r="H41" s="64"/>
      <c r="I41" s="64"/>
      <c r="J41" s="64"/>
      <c r="K41" s="64"/>
      <c r="M41" s="100" t="s">
        <v>930</v>
      </c>
      <c r="N41" s="100" t="s">
        <v>731</v>
      </c>
      <c r="O41" s="376" t="s">
        <v>654</v>
      </c>
      <c r="P41" s="374" t="s">
        <v>481</v>
      </c>
      <c r="Q41" s="100" t="s">
        <v>670</v>
      </c>
      <c r="R41" s="100" t="s">
        <v>653</v>
      </c>
      <c r="S41" s="377" t="s">
        <v>848</v>
      </c>
      <c r="T41" s="417" t="str">
        <f>$T$1&amp;":\PRODUCCION ESTERILES\IV SCOOP JPC-MATERNO-VERAGUAS-CPOLICARPA SCOOP\\"</f>
        <v>Z:\PRODUCCION ESTERILES\IV SCOOP JPC-MATERNO-VERAGUAS-CPOLICARPA SCOOP\\</v>
      </c>
      <c r="U41" s="110" t="str">
        <f ca="1">T41&amp;YEAR('FORMATO DIL'!$C$6)&amp;"\"&amp;TEXT('FORMATO DIL'!$C$6,"MM")&amp;" "&amp;UPPER(TEXT('FORMATO DIL'!$C$6,"MMMM"))&amp;"\"&amp;TEXT('FORMATO DIL'!$C$6,"DDMMYY")&amp;IF($S41&lt;&gt;"",S41,"\")</f>
        <v>Z:\PRODUCCION ESTERILES\IV SCOOP JPC-MATERNO-VERAGUAS-CPOLICARPA SCOOP\\2022\08 AGOSTO\040822\POLICARPA\</v>
      </c>
      <c r="V41" s="110" t="s">
        <v>867</v>
      </c>
      <c r="W41" s="110" t="str">
        <f ca="1">V41&amp;YEAR('FORMATO DIL'!$C$6)&amp;"\"&amp;TEXT('FORMATO DIL'!$C$6,"MM")&amp;" "&amp;UPPER(TEXT('FORMATO DIL'!$C$6,"MMMM"))&amp;"\"&amp;TEXT('FORMATO DIL'!$C$6,"DDMMYY")&amp;IF($S41&lt;&gt;"",S41,"\")</f>
        <v>S:\ESTERILES\IV SCOOP JPC-MATERNO-VERAGUAS-CPOLICARPA\2022\08 AGOSTO\040822\POLICARPA\</v>
      </c>
    </row>
    <row r="42" spans="1:23" ht="15">
      <c r="D42" s="64"/>
      <c r="E42" s="64"/>
      <c r="F42" s="64"/>
      <c r="G42" s="64"/>
      <c r="H42" s="64"/>
      <c r="I42" s="64"/>
      <c r="J42" s="64"/>
      <c r="K42" s="64"/>
      <c r="M42" s="100" t="s">
        <v>802</v>
      </c>
      <c r="N42" s="100" t="s">
        <v>802</v>
      </c>
      <c r="O42" s="376" t="s">
        <v>476</v>
      </c>
      <c r="P42" s="374" t="s">
        <v>476</v>
      </c>
      <c r="Q42" s="100" t="s">
        <v>151</v>
      </c>
      <c r="R42" s="100" t="s">
        <v>174</v>
      </c>
      <c r="S42" s="377"/>
      <c r="T42" s="417" t="str">
        <f>$T$1&amp;":\LOTES ESTERILES\"</f>
        <v>Z:\LOTES ESTERILES\</v>
      </c>
      <c r="U42" s="110" t="str">
        <f ca="1">T42&amp;YEAR('FORMATO DIL'!$C$6)&amp;"\"&amp;TEXT('FORMATO DIL'!$C$6,"MM")&amp;" "&amp;UPPER(TEXT('FORMATO DIL'!$C$6,"MMMM"))&amp;"\"&amp;TEXT('FORMATO DIL'!$C$6,"DDMMYY")&amp;IF($S42&lt;&gt;"",S42,"\")</f>
        <v>Z:\LOTES ESTERILES\2022\08 AGOSTO\040822\</v>
      </c>
      <c r="V42" s="110" t="s">
        <v>885</v>
      </c>
      <c r="W42" s="110" t="s">
        <v>885</v>
      </c>
    </row>
    <row r="43" spans="1:23" ht="15">
      <c r="D43" s="64"/>
      <c r="E43" s="64"/>
      <c r="F43" s="64"/>
      <c r="G43" s="64"/>
      <c r="H43" s="64"/>
      <c r="I43" s="64"/>
      <c r="J43" s="64"/>
      <c r="K43" s="64"/>
      <c r="M43" s="100"/>
      <c r="N43" s="100" t="s">
        <v>514</v>
      </c>
      <c r="O43" s="376"/>
      <c r="P43" s="374"/>
      <c r="Q43" s="100" t="s">
        <v>514</v>
      </c>
      <c r="R43" s="100"/>
      <c r="S43" s="377"/>
    </row>
    <row r="44" spans="1:23" ht="15">
      <c r="D44" s="64"/>
      <c r="E44" s="64"/>
      <c r="F44" s="64"/>
      <c r="G44" s="64"/>
      <c r="H44" s="64"/>
      <c r="I44" s="64"/>
      <c r="J44" s="64"/>
      <c r="K44" s="64"/>
      <c r="M44" s="100" t="s">
        <v>750</v>
      </c>
      <c r="N44" s="100" t="s">
        <v>750</v>
      </c>
      <c r="O44" s="376" t="s">
        <v>472</v>
      </c>
      <c r="P44" s="374" t="s">
        <v>481</v>
      </c>
      <c r="Q44" s="100" t="s">
        <v>546</v>
      </c>
      <c r="R44" s="100" t="s">
        <v>619</v>
      </c>
      <c r="S44" s="377"/>
      <c r="T44" s="417" t="str">
        <f>$T$1&amp;":\PRODUCCION ESTERILES\IV HOSPITAL SAN JOSE\"</f>
        <v>Z:\PRODUCCION ESTERILES\IV HOSPITAL SAN JOSE\</v>
      </c>
      <c r="U44" s="110" t="str">
        <f ca="1">T44&amp;YEAR('FORMATO DIL'!$C$6)&amp;"\"&amp;TEXT('FORMATO DIL'!$C$6,"MM")&amp;" "&amp;UPPER(TEXT('FORMATO DIL'!$C$6,"MMMM"))&amp;"\"&amp;TEXT('FORMATO DIL'!$C$6,"DDMMYY")&amp;IF($S44&lt;&gt;"",S44,"\")</f>
        <v>Z:\PRODUCCION ESTERILES\IV HOSPITAL SAN JOSE\2022\08 AGOSTO\040822\</v>
      </c>
      <c r="V44" s="110" t="s">
        <v>876</v>
      </c>
      <c r="W44" s="110" t="str">
        <f ca="1">V44&amp;YEAR('FORMATO DIL'!$C$6)&amp;"\"&amp;TEXT('FORMATO DIL'!$C$6,"MM")&amp;" "&amp;UPPER(TEXT('FORMATO DIL'!$C$6,"MMMM"))&amp;"\"&amp;TEXT('FORMATO DIL'!$C$6,"DDMMYY")&amp;IF($S44&lt;&gt;"",S44,"\")</f>
        <v>S:\ESTERILES\IV HOSPITAL SAN JOSE\2022\08 AGOSTO\040822\</v>
      </c>
    </row>
    <row r="45" spans="1:23" ht="15">
      <c r="D45" s="64"/>
      <c r="E45" s="64"/>
      <c r="F45" s="64"/>
      <c r="G45" s="64"/>
      <c r="H45" s="64"/>
      <c r="I45" s="64"/>
      <c r="J45" s="64"/>
      <c r="K45" s="64"/>
      <c r="M45" s="100" t="s">
        <v>931</v>
      </c>
      <c r="N45" s="100" t="s">
        <v>732</v>
      </c>
      <c r="O45" s="374" t="s">
        <v>471</v>
      </c>
      <c r="P45" s="374" t="s">
        <v>481</v>
      </c>
      <c r="Q45" s="100" t="s">
        <v>545</v>
      </c>
      <c r="R45" s="100" t="s">
        <v>620</v>
      </c>
      <c r="S45" s="377"/>
      <c r="T45" s="417" t="str">
        <f>$T$1&amp;":\PRODUCCION ESTERILES\IV HOSPITAL SIMON BOLIVAR\"</f>
        <v>Z:\PRODUCCION ESTERILES\IV HOSPITAL SIMON BOLIVAR\</v>
      </c>
      <c r="U45" s="110" t="str">
        <f ca="1">T45&amp;YEAR('FORMATO DIL'!$C$6)&amp;"\"&amp;TEXT('FORMATO DIL'!$C$6,"MM")&amp;" "&amp;UPPER(TEXT('FORMATO DIL'!$C$6,"MMMM"))&amp;"\"&amp;TEXT('FORMATO DIL'!$C$6,"DDMMYY")&amp;IF($S45&lt;&gt;"",S45,"\")</f>
        <v>Z:\PRODUCCION ESTERILES\IV HOSPITAL SIMON BOLIVAR\2022\08 AGOSTO\040822\</v>
      </c>
      <c r="V45" s="110" t="s">
        <v>877</v>
      </c>
      <c r="W45" s="110" t="str">
        <f ca="1">V45&amp;YEAR('FORMATO DIL'!$C$6)&amp;"\"&amp;TEXT('FORMATO DIL'!$C$6,"MM")&amp;" "&amp;UPPER(TEXT('FORMATO DIL'!$C$6,"MMMM"))&amp;"\"&amp;TEXT('FORMATO DIL'!$C$6,"DDMMYY")&amp;IF($S45&lt;&gt;"",S45,"\")</f>
        <v>S:\ESTERILES\IV HOSPITAL SIMON BOLIVAR\2022\08 AGOSTO\040822\</v>
      </c>
    </row>
    <row r="46" spans="1:23">
      <c r="M46" s="100" t="s">
        <v>733</v>
      </c>
      <c r="N46" s="100" t="s">
        <v>733</v>
      </c>
      <c r="O46" s="374" t="s">
        <v>491</v>
      </c>
      <c r="P46" s="374" t="s">
        <v>481</v>
      </c>
      <c r="Q46" s="100" t="s">
        <v>573</v>
      </c>
      <c r="R46" s="100" t="s">
        <v>621</v>
      </c>
      <c r="S46" s="377"/>
      <c r="T46" s="417" t="str">
        <f>$T$1&amp;":\PRODUCCION ESTERILES\IV CLINICA CANDELARIA\"</f>
        <v>Z:\PRODUCCION ESTERILES\IV CLINICA CANDELARIA\</v>
      </c>
      <c r="U46" s="110" t="str">
        <f ca="1">T46&amp;YEAR('FORMATO DIL'!$C$6)&amp;"\"&amp;TEXT('FORMATO DIL'!$C$6,"MM")&amp;" "&amp;UPPER(TEXT('FORMATO DIL'!$C$6,"MMMM"))&amp;"\"&amp;TEXT('FORMATO DIL'!$C$6,"DDMMYY")&amp;IF($S46&lt;&gt;"",S46,"\")</f>
        <v>Z:\PRODUCCION ESTERILES\IV CLINICA CANDELARIA\2022\08 AGOSTO\040822\</v>
      </c>
      <c r="V46" s="110" t="s">
        <v>878</v>
      </c>
      <c r="W46" s="110" t="str">
        <f ca="1">V46&amp;YEAR('FORMATO DIL'!$C$6)&amp;"\"&amp;TEXT('FORMATO DIL'!$C$6,"MM")&amp;" "&amp;UPPER(TEXT('FORMATO DIL'!$C$6,"MMMM"))&amp;"\"&amp;TEXT('FORMATO DIL'!$C$6,"DDMMYY")&amp;IF($S46&lt;&gt;"",S46,"\")</f>
        <v>S:\ESTERILES\IV CLINICA CANDELARIA\2022\08 AGOSTO\040822\</v>
      </c>
    </row>
    <row r="47" spans="1:23">
      <c r="M47" s="100" t="s">
        <v>932</v>
      </c>
      <c r="N47" s="100" t="s">
        <v>821</v>
      </c>
      <c r="O47" s="374" t="s">
        <v>494</v>
      </c>
      <c r="P47" s="374" t="s">
        <v>481</v>
      </c>
      <c r="Q47" s="100" t="s">
        <v>832</v>
      </c>
      <c r="R47" s="100" t="s">
        <v>888</v>
      </c>
      <c r="S47" s="377"/>
      <c r="T47" s="417" t="str">
        <f>$T$1&amp;":\PRODUCCION ESTERILES\IV HOSPITAL TUNAL\"</f>
        <v>Z:\PRODUCCION ESTERILES\IV HOSPITAL TUNAL\</v>
      </c>
      <c r="U47" s="110" t="str">
        <f ca="1">T47&amp;YEAR('FORMATO DIL'!$C$6)&amp;"\"&amp;TEXT('FORMATO DIL'!$C$6,"MM")&amp;" "&amp;UPPER(TEXT('FORMATO DIL'!$C$6,"MMMM"))&amp;"\"&amp;TEXT('FORMATO DIL'!$C$6,"DDMMYY")&amp;IF($S47&lt;&gt;"",S47,"\")</f>
        <v>Z:\PRODUCCION ESTERILES\IV HOSPITAL TUNAL\2022\08 AGOSTO\040822\</v>
      </c>
      <c r="V47" s="110" t="s">
        <v>879</v>
      </c>
      <c r="W47" s="110" t="str">
        <f ca="1">V47&amp;YEAR('FORMATO DIL'!$C$6)&amp;"\"&amp;TEXT('FORMATO DIL'!$C$6,"MM")&amp;" "&amp;UPPER(TEXT('FORMATO DIL'!$C$6,"MMMM"))&amp;"\"&amp;TEXT('FORMATO DIL'!$C$6,"DDMMYY")&amp;IF($S47&lt;&gt;"",S47,"\")</f>
        <v>S:\ESTERILES\IV HOSPITAL TUNAL\2022\08 AGOSTO\040822\</v>
      </c>
    </row>
    <row r="48" spans="1:23">
      <c r="M48" s="100" t="s">
        <v>933</v>
      </c>
      <c r="N48" s="100" t="s">
        <v>820</v>
      </c>
      <c r="O48" s="374" t="s">
        <v>494</v>
      </c>
      <c r="P48" s="374" t="s">
        <v>481</v>
      </c>
      <c r="Q48" s="100" t="s">
        <v>833</v>
      </c>
      <c r="R48" s="100" t="s">
        <v>889</v>
      </c>
      <c r="S48" s="377"/>
      <c r="T48" s="417" t="str">
        <f>$T$1&amp;":\PRODUCCION ESTERILES\IV HOSPITAL TUNAL\"</f>
        <v>Z:\PRODUCCION ESTERILES\IV HOSPITAL TUNAL\</v>
      </c>
      <c r="U48" s="110" t="str">
        <f ca="1">T48&amp;YEAR('FORMATO DIL'!$C$6)&amp;"\"&amp;TEXT('FORMATO DIL'!$C$6,"MM")&amp;" "&amp;UPPER(TEXT('FORMATO DIL'!$C$6,"MMMM"))&amp;"\"&amp;TEXT('FORMATO DIL'!$C$6,"DDMMYY")&amp;IF($S48&lt;&gt;"",S48,"\")</f>
        <v>Z:\PRODUCCION ESTERILES\IV HOSPITAL TUNAL\2022\08 AGOSTO\040822\</v>
      </c>
      <c r="V48" s="110" t="s">
        <v>879</v>
      </c>
      <c r="W48" s="110" t="str">
        <f ca="1">V48&amp;YEAR('FORMATO DIL'!$C$6)&amp;"\"&amp;TEXT('FORMATO DIL'!$C$6,"MM")&amp;" "&amp;UPPER(TEXT('FORMATO DIL'!$C$6,"MMMM"))&amp;"\"&amp;TEXT('FORMATO DIL'!$C$6,"DDMMYY")&amp;IF($S48&lt;&gt;"",S48,"\")</f>
        <v>S:\ESTERILES\IV HOSPITAL TUNAL\2022\08 AGOSTO\040822\</v>
      </c>
    </row>
    <row r="49" spans="13:23">
      <c r="M49" s="100" t="s">
        <v>934</v>
      </c>
      <c r="N49" s="100" t="s">
        <v>864</v>
      </c>
      <c r="O49" s="374" t="s">
        <v>494</v>
      </c>
      <c r="P49" s="374" t="s">
        <v>481</v>
      </c>
      <c r="Q49" s="100" t="s">
        <v>863</v>
      </c>
      <c r="R49" s="100" t="s">
        <v>890</v>
      </c>
      <c r="S49" s="377"/>
      <c r="T49" s="417" t="str">
        <f>$T$1&amp;":\PRODUCCION ESTERILES\IV HOSPITAL TUNAL\"</f>
        <v>Z:\PRODUCCION ESTERILES\IV HOSPITAL TUNAL\</v>
      </c>
      <c r="U49" s="110" t="str">
        <f ca="1">T49&amp;YEAR('FORMATO DIL'!$C$6)&amp;"\"&amp;TEXT('FORMATO DIL'!$C$6,"MM")&amp;" "&amp;UPPER(TEXT('FORMATO DIL'!$C$6,"MMMM"))&amp;"\"&amp;TEXT('FORMATO DIL'!$C$6,"DDMMYY")&amp;IF($S49&lt;&gt;"",S49,"\")</f>
        <v>Z:\PRODUCCION ESTERILES\IV HOSPITAL TUNAL\2022\08 AGOSTO\040822\</v>
      </c>
      <c r="V49" s="110" t="s">
        <v>879</v>
      </c>
      <c r="W49" s="110" t="str">
        <f ca="1">V49&amp;YEAR('FORMATO DIL'!$C$6)&amp;"\"&amp;TEXT('FORMATO DIL'!$C$6,"MM")&amp;" "&amp;UPPER(TEXT('FORMATO DIL'!$C$6,"MMMM"))&amp;"\"&amp;TEXT('FORMATO DIL'!$C$6,"DDMMYY")&amp;IF($S49&lt;&gt;"",S49,"\")</f>
        <v>S:\ESTERILES\IV HOSPITAL TUNAL\2022\08 AGOSTO\040822\</v>
      </c>
    </row>
    <row r="50" spans="13:23">
      <c r="M50" s="100"/>
      <c r="N50" s="100" t="s">
        <v>514</v>
      </c>
      <c r="O50" s="374"/>
      <c r="P50" s="374"/>
      <c r="Q50" s="100" t="s">
        <v>514</v>
      </c>
      <c r="R50" s="100"/>
      <c r="S50" s="377"/>
    </row>
    <row r="51" spans="13:23">
      <c r="M51" s="100" t="s">
        <v>935</v>
      </c>
      <c r="N51" s="100" t="s">
        <v>734</v>
      </c>
      <c r="O51" s="374" t="s">
        <v>500</v>
      </c>
      <c r="P51" s="374" t="s">
        <v>497</v>
      </c>
      <c r="Q51" s="100" t="s">
        <v>551</v>
      </c>
      <c r="R51" s="100" t="s">
        <v>642</v>
      </c>
      <c r="S51" s="377"/>
      <c r="T51" s="417" t="str">
        <f t="shared" ref="T51:T59" si="0">$T$1&amp;":\PRODUCCION ESTERILES\IV HOSPITAL SANTA CLARA\"</f>
        <v>Z:\PRODUCCION ESTERILES\IV HOSPITAL SANTA CLARA\</v>
      </c>
      <c r="U51" s="110" t="str">
        <f ca="1">T51&amp;YEAR('FORMATO DIL'!$C$6)&amp;"\"&amp;TEXT('FORMATO DIL'!$C$6,"MM")&amp;" "&amp;UPPER(TEXT('FORMATO DIL'!$C$6,"MMMM"))&amp;"\"&amp;TEXT('FORMATO DIL'!$C$6,"DDMMYY")&amp;IF($S51&lt;&gt;"",S51,"\")</f>
        <v>Z:\PRODUCCION ESTERILES\IV HOSPITAL SANTA CLARA\2022\08 AGOSTO\040822\</v>
      </c>
      <c r="V51" s="110" t="s">
        <v>880</v>
      </c>
      <c r="W51" s="110" t="str">
        <f ca="1">V51&amp;YEAR('FORMATO DIL'!$C$6)&amp;"\"&amp;TEXT('FORMATO DIL'!$C$6,"MM")&amp;" "&amp;UPPER(TEXT('FORMATO DIL'!$C$6,"MMMM"))&amp;"\"&amp;TEXT('FORMATO DIL'!$C$6,"DDMMYY")&amp;IF($S51&lt;&gt;"",S51,"\")</f>
        <v>S:\ESTERILES\IV HOSPITAL SANTA CLARA\2022\08 AGOSTO\040822\</v>
      </c>
    </row>
    <row r="52" spans="13:23">
      <c r="M52" s="100" t="s">
        <v>936</v>
      </c>
      <c r="N52" s="100" t="s">
        <v>735</v>
      </c>
      <c r="O52" s="374" t="s">
        <v>500</v>
      </c>
      <c r="P52" s="374" t="s">
        <v>499</v>
      </c>
      <c r="Q52" s="100" t="s">
        <v>553</v>
      </c>
      <c r="R52" s="100" t="s">
        <v>643</v>
      </c>
      <c r="S52" s="377"/>
      <c r="T52" s="417" t="str">
        <f t="shared" si="0"/>
        <v>Z:\PRODUCCION ESTERILES\IV HOSPITAL SANTA CLARA\</v>
      </c>
      <c r="U52" s="110" t="str">
        <f ca="1">T52&amp;YEAR('FORMATO DIL'!$C$6)&amp;"\"&amp;TEXT('FORMATO DIL'!$C$6,"MM")&amp;" "&amp;UPPER(TEXT('FORMATO DIL'!$C$6,"MMMM"))&amp;"\"&amp;TEXT('FORMATO DIL'!$C$6,"DDMMYY")&amp;IF($S52&lt;&gt;"",S52,"\")</f>
        <v>Z:\PRODUCCION ESTERILES\IV HOSPITAL SANTA CLARA\2022\08 AGOSTO\040822\</v>
      </c>
      <c r="V52" s="110" t="s">
        <v>880</v>
      </c>
      <c r="W52" s="110" t="str">
        <f ca="1">V52&amp;YEAR('FORMATO DIL'!$C$6)&amp;"\"&amp;TEXT('FORMATO DIL'!$C$6,"MM")&amp;" "&amp;UPPER(TEXT('FORMATO DIL'!$C$6,"MMMM"))&amp;"\"&amp;TEXT('FORMATO DIL'!$C$6,"DDMMYY")&amp;IF($S52&lt;&gt;"",S52,"\")</f>
        <v>S:\ESTERILES\IV HOSPITAL SANTA CLARA\2022\08 AGOSTO\040822\</v>
      </c>
    </row>
    <row r="53" spans="13:23">
      <c r="M53" s="100" t="s">
        <v>937</v>
      </c>
      <c r="N53" s="100" t="s">
        <v>736</v>
      </c>
      <c r="O53" s="374" t="s">
        <v>500</v>
      </c>
      <c r="P53" s="374" t="s">
        <v>498</v>
      </c>
      <c r="Q53" s="100" t="s">
        <v>552</v>
      </c>
      <c r="R53" s="100" t="s">
        <v>644</v>
      </c>
      <c r="S53" s="377"/>
      <c r="T53" s="417" t="str">
        <f t="shared" si="0"/>
        <v>Z:\PRODUCCION ESTERILES\IV HOSPITAL SANTA CLARA\</v>
      </c>
      <c r="U53" s="110" t="str">
        <f ca="1">T53&amp;YEAR('FORMATO DIL'!$C$6)&amp;"\"&amp;TEXT('FORMATO DIL'!$C$6,"MM")&amp;" "&amp;UPPER(TEXT('FORMATO DIL'!$C$6,"MMMM"))&amp;"\"&amp;TEXT('FORMATO DIL'!$C$6,"DDMMYY")&amp;IF($S53&lt;&gt;"",S53,"\")</f>
        <v>Z:\PRODUCCION ESTERILES\IV HOSPITAL SANTA CLARA\2022\08 AGOSTO\040822\</v>
      </c>
      <c r="V53" s="110" t="s">
        <v>880</v>
      </c>
      <c r="W53" s="110" t="str">
        <f ca="1">V53&amp;YEAR('FORMATO DIL'!$C$6)&amp;"\"&amp;TEXT('FORMATO DIL'!$C$6,"MM")&amp;" "&amp;UPPER(TEXT('FORMATO DIL'!$C$6,"MMMM"))&amp;"\"&amp;TEXT('FORMATO DIL'!$C$6,"DDMMYY")&amp;IF($S53&lt;&gt;"",S53,"\")</f>
        <v>S:\ESTERILES\IV HOSPITAL SANTA CLARA\2022\08 AGOSTO\040822\</v>
      </c>
    </row>
    <row r="54" spans="13:23">
      <c r="M54" s="100" t="s">
        <v>938</v>
      </c>
      <c r="N54" s="100" t="s">
        <v>737</v>
      </c>
      <c r="O54" s="374" t="s">
        <v>500</v>
      </c>
      <c r="P54" s="374" t="s">
        <v>509</v>
      </c>
      <c r="Q54" s="100" t="s">
        <v>586</v>
      </c>
      <c r="R54" s="100" t="s">
        <v>645</v>
      </c>
      <c r="S54" s="377"/>
      <c r="T54" s="417" t="str">
        <f t="shared" si="0"/>
        <v>Z:\PRODUCCION ESTERILES\IV HOSPITAL SANTA CLARA\</v>
      </c>
      <c r="U54" s="110" t="str">
        <f ca="1">T54&amp;YEAR('FORMATO DIL'!$C$6)&amp;"\"&amp;TEXT('FORMATO DIL'!$C$6,"MM")&amp;" "&amp;UPPER(TEXT('FORMATO DIL'!$C$6,"MMMM"))&amp;"\"&amp;TEXT('FORMATO DIL'!$C$6,"DDMMYY")&amp;IF($S54&lt;&gt;"",S54,"\")</f>
        <v>Z:\PRODUCCION ESTERILES\IV HOSPITAL SANTA CLARA\2022\08 AGOSTO\040822\</v>
      </c>
      <c r="V54" s="110" t="s">
        <v>880</v>
      </c>
      <c r="W54" s="110" t="str">
        <f ca="1">V54&amp;YEAR('FORMATO DIL'!$C$6)&amp;"\"&amp;TEXT('FORMATO DIL'!$C$6,"MM")&amp;" "&amp;UPPER(TEXT('FORMATO DIL'!$C$6,"MMMM"))&amp;"\"&amp;TEXT('FORMATO DIL'!$C$6,"DDMMYY")&amp;IF($S54&lt;&gt;"",S54,"\")</f>
        <v>S:\ESTERILES\IV HOSPITAL SANTA CLARA\2022\08 AGOSTO\040822\</v>
      </c>
    </row>
    <row r="55" spans="13:23">
      <c r="M55" s="100" t="s">
        <v>939</v>
      </c>
      <c r="N55" s="100" t="s">
        <v>738</v>
      </c>
      <c r="O55" s="374" t="s">
        <v>500</v>
      </c>
      <c r="P55" s="374" t="s">
        <v>587</v>
      </c>
      <c r="Q55" s="100" t="s">
        <v>554</v>
      </c>
      <c r="R55" s="100" t="s">
        <v>646</v>
      </c>
      <c r="S55" s="377"/>
      <c r="T55" s="417" t="str">
        <f t="shared" si="0"/>
        <v>Z:\PRODUCCION ESTERILES\IV HOSPITAL SANTA CLARA\</v>
      </c>
      <c r="U55" s="110" t="str">
        <f ca="1">T55&amp;YEAR('FORMATO DIL'!$C$6)&amp;"\"&amp;TEXT('FORMATO DIL'!$C$6,"MM")&amp;" "&amp;UPPER(TEXT('FORMATO DIL'!$C$6,"MMMM"))&amp;"\"&amp;TEXT('FORMATO DIL'!$C$6,"DDMMYY")&amp;IF($S55&lt;&gt;"",S55,"\")</f>
        <v>Z:\PRODUCCION ESTERILES\IV HOSPITAL SANTA CLARA\2022\08 AGOSTO\040822\</v>
      </c>
      <c r="V55" s="110" t="s">
        <v>880</v>
      </c>
      <c r="W55" s="110" t="str">
        <f ca="1">V55&amp;YEAR('FORMATO DIL'!$C$6)&amp;"\"&amp;TEXT('FORMATO DIL'!$C$6,"MM")&amp;" "&amp;UPPER(TEXT('FORMATO DIL'!$C$6,"MMMM"))&amp;"\"&amp;TEXT('FORMATO DIL'!$C$6,"DDMMYY")&amp;IF($S55&lt;&gt;"",S55,"\")</f>
        <v>S:\ESTERILES\IV HOSPITAL SANTA CLARA\2022\08 AGOSTO\040822\</v>
      </c>
    </row>
    <row r="56" spans="13:23">
      <c r="M56" s="100" t="s">
        <v>940</v>
      </c>
      <c r="N56" s="100" t="s">
        <v>739</v>
      </c>
      <c r="O56" s="374" t="s">
        <v>500</v>
      </c>
      <c r="P56" s="374" t="s">
        <v>544</v>
      </c>
      <c r="Q56" s="100" t="s">
        <v>550</v>
      </c>
      <c r="R56" s="100" t="s">
        <v>647</v>
      </c>
      <c r="S56" s="377"/>
      <c r="T56" s="417" t="str">
        <f t="shared" si="0"/>
        <v>Z:\PRODUCCION ESTERILES\IV HOSPITAL SANTA CLARA\</v>
      </c>
      <c r="U56" s="110" t="str">
        <f ca="1">T56&amp;YEAR('FORMATO DIL'!$C$6)&amp;"\"&amp;TEXT('FORMATO DIL'!$C$6,"MM")&amp;" "&amp;UPPER(TEXT('FORMATO DIL'!$C$6,"MMMM"))&amp;"\"&amp;TEXT('FORMATO DIL'!$C$6,"DDMMYY")&amp;IF($S56&lt;&gt;"",S56,"\")</f>
        <v>Z:\PRODUCCION ESTERILES\IV HOSPITAL SANTA CLARA\2022\08 AGOSTO\040822\</v>
      </c>
      <c r="V56" s="110" t="s">
        <v>880</v>
      </c>
      <c r="W56" s="110" t="str">
        <f ca="1">V56&amp;YEAR('FORMATO DIL'!$C$6)&amp;"\"&amp;TEXT('FORMATO DIL'!$C$6,"MM")&amp;" "&amp;UPPER(TEXT('FORMATO DIL'!$C$6,"MMMM"))&amp;"\"&amp;TEXT('FORMATO DIL'!$C$6,"DDMMYY")&amp;IF($S56&lt;&gt;"",S56,"\")</f>
        <v>S:\ESTERILES\IV HOSPITAL SANTA CLARA\2022\08 AGOSTO\040822\</v>
      </c>
    </row>
    <row r="57" spans="13:23">
      <c r="M57" s="100" t="s">
        <v>941</v>
      </c>
      <c r="N57" s="100" t="s">
        <v>740</v>
      </c>
      <c r="O57" s="374" t="s">
        <v>500</v>
      </c>
      <c r="P57" s="374" t="s">
        <v>501</v>
      </c>
      <c r="Q57" s="119" t="s">
        <v>575</v>
      </c>
      <c r="R57" s="119" t="s">
        <v>648</v>
      </c>
      <c r="S57" s="413"/>
      <c r="T57" s="417" t="str">
        <f t="shared" si="0"/>
        <v>Z:\PRODUCCION ESTERILES\IV HOSPITAL SANTA CLARA\</v>
      </c>
      <c r="U57" s="110" t="str">
        <f ca="1">T57&amp;YEAR('FORMATO DIL'!$C$6)&amp;"\"&amp;TEXT('FORMATO DIL'!$C$6,"MM")&amp;" "&amp;UPPER(TEXT('FORMATO DIL'!$C$6,"MMMM"))&amp;"\"&amp;TEXT('FORMATO DIL'!$C$6,"DDMMYY")&amp;IF($S57&lt;&gt;"",S57,"\")</f>
        <v>Z:\PRODUCCION ESTERILES\IV HOSPITAL SANTA CLARA\2022\08 AGOSTO\040822\</v>
      </c>
      <c r="V57" s="110" t="s">
        <v>880</v>
      </c>
      <c r="W57" s="110" t="str">
        <f ca="1">V57&amp;YEAR('FORMATO DIL'!$C$6)&amp;"\"&amp;TEXT('FORMATO DIL'!$C$6,"MM")&amp;" "&amp;UPPER(TEXT('FORMATO DIL'!$C$6,"MMMM"))&amp;"\"&amp;TEXT('FORMATO DIL'!$C$6,"DDMMYY")&amp;IF($S57&lt;&gt;"",S57,"\")</f>
        <v>S:\ESTERILES\IV HOSPITAL SANTA CLARA\2022\08 AGOSTO\040822\</v>
      </c>
    </row>
    <row r="58" spans="13:23">
      <c r="M58" s="100" t="s">
        <v>942</v>
      </c>
      <c r="N58" s="100" t="s">
        <v>741</v>
      </c>
      <c r="O58" s="374" t="s">
        <v>500</v>
      </c>
      <c r="P58" s="374" t="s">
        <v>590</v>
      </c>
      <c r="Q58" s="119" t="s">
        <v>592</v>
      </c>
      <c r="R58" s="119" t="s">
        <v>649</v>
      </c>
      <c r="S58" s="413"/>
      <c r="T58" s="417" t="str">
        <f t="shared" si="0"/>
        <v>Z:\PRODUCCION ESTERILES\IV HOSPITAL SANTA CLARA\</v>
      </c>
      <c r="U58" s="110" t="str">
        <f ca="1">T58&amp;YEAR('FORMATO DIL'!$C$6)&amp;"\"&amp;TEXT('FORMATO DIL'!$C$6,"MM")&amp;" "&amp;UPPER(TEXT('FORMATO DIL'!$C$6,"MMMM"))&amp;"\"&amp;TEXT('FORMATO DIL'!$C$6,"DDMMYY")&amp;IF($S58&lt;&gt;"",S58,"\")</f>
        <v>Z:\PRODUCCION ESTERILES\IV HOSPITAL SANTA CLARA\2022\08 AGOSTO\040822\</v>
      </c>
      <c r="V58" s="110" t="s">
        <v>880</v>
      </c>
      <c r="W58" s="110" t="str">
        <f ca="1">V58&amp;YEAR('FORMATO DIL'!$C$6)&amp;"\"&amp;TEXT('FORMATO DIL'!$C$6,"MM")&amp;" "&amp;UPPER(TEXT('FORMATO DIL'!$C$6,"MMMM"))&amp;"\"&amp;TEXT('FORMATO DIL'!$C$6,"DDMMYY")&amp;IF($S58&lt;&gt;"",S58,"\")</f>
        <v>S:\ESTERILES\IV HOSPITAL SANTA CLARA\2022\08 AGOSTO\040822\</v>
      </c>
    </row>
    <row r="59" spans="13:23">
      <c r="M59" s="100" t="s">
        <v>943</v>
      </c>
      <c r="N59" s="100" t="s">
        <v>742</v>
      </c>
      <c r="O59" s="374" t="s">
        <v>500</v>
      </c>
      <c r="P59" s="374" t="s">
        <v>591</v>
      </c>
      <c r="Q59" s="119" t="s">
        <v>593</v>
      </c>
      <c r="R59" s="119" t="s">
        <v>650</v>
      </c>
      <c r="S59" s="413"/>
      <c r="T59" s="417" t="str">
        <f t="shared" si="0"/>
        <v>Z:\PRODUCCION ESTERILES\IV HOSPITAL SANTA CLARA\</v>
      </c>
      <c r="U59" s="110" t="str">
        <f ca="1">T59&amp;YEAR('FORMATO DIL'!$C$6)&amp;"\"&amp;TEXT('FORMATO DIL'!$C$6,"MM")&amp;" "&amp;UPPER(TEXT('FORMATO DIL'!$C$6,"MMMM"))&amp;"\"&amp;TEXT('FORMATO DIL'!$C$6,"DDMMYY")&amp;IF($S59&lt;&gt;"",S59,"\")</f>
        <v>Z:\PRODUCCION ESTERILES\IV HOSPITAL SANTA CLARA\2022\08 AGOSTO\040822\</v>
      </c>
      <c r="V59" s="110" t="s">
        <v>880</v>
      </c>
      <c r="W59" s="110" t="str">
        <f ca="1">V59&amp;YEAR('FORMATO DIL'!$C$6)&amp;"\"&amp;TEXT('FORMATO DIL'!$C$6,"MM")&amp;" "&amp;UPPER(TEXT('FORMATO DIL'!$C$6,"MMMM"))&amp;"\"&amp;TEXT('FORMATO DIL'!$C$6,"DDMMYY")&amp;IF($S59&lt;&gt;"",S59,"\")</f>
        <v>S:\ESTERILES\IV HOSPITAL SANTA CLARA\2022\08 AGOSTO\040822\</v>
      </c>
    </row>
    <row r="60" spans="13:23">
      <c r="M60" s="100"/>
      <c r="N60" s="100" t="s">
        <v>514</v>
      </c>
      <c r="O60" s="374"/>
      <c r="P60" s="374"/>
      <c r="Q60" s="100" t="s">
        <v>514</v>
      </c>
      <c r="R60" s="100"/>
      <c r="S60" s="377"/>
    </row>
    <row r="61" spans="13:23">
      <c r="M61" s="100" t="str">
        <f>"MN_"&amp;N61</f>
        <v>MN_HOSPITAL MEISSEN/UCI NEO</v>
      </c>
      <c r="N61" s="100" t="s">
        <v>1117</v>
      </c>
      <c r="O61" s="110" t="s">
        <v>1118</v>
      </c>
      <c r="P61" s="110" t="s">
        <v>1119</v>
      </c>
      <c r="Q61" s="114" t="s">
        <v>1120</v>
      </c>
      <c r="R61" s="114" t="s">
        <v>1121</v>
      </c>
      <c r="S61" s="413"/>
      <c r="T61" s="417" t="str">
        <f>$T$1&amp;":\PRODUCCION ESTERILES\IV HOSPITAL MEISSEN\"</f>
        <v>Z:\PRODUCCION ESTERILES\IV HOSPITAL MEISSEN\</v>
      </c>
      <c r="U61" s="110" t="str">
        <f ca="1">T61&amp;YEAR('FORMATO DIL'!$C$6)&amp;"\"&amp;TEXT('FORMATO DIL'!$C$6,"MM")&amp;" "&amp;UPPER(TEXT('FORMATO DIL'!$C$6,"MMMM"))&amp;"\"&amp;TEXT('FORMATO DIL'!$C$6,"DDMMYY")&amp;IF($S61&lt;&gt;"",S61,"\")</f>
        <v>Z:\PRODUCCION ESTERILES\IV HOSPITAL MEISSEN\2022\08 AGOSTO\040822\</v>
      </c>
      <c r="V61" s="110" t="s">
        <v>1130</v>
      </c>
      <c r="W61" s="110" t="str">
        <f ca="1">V61&amp;YEAR('FORMATO DIL'!$C$6)&amp;"\"&amp;TEXT('FORMATO DIL'!$C$6,"MM")&amp;" "&amp;UPPER(TEXT('FORMATO DIL'!$C$6,"MMMM"))&amp;"\"&amp;TEXT('FORMATO DIL'!$C$6,"DDMMYY")&amp;IF($S61&lt;&gt;"",S61,"\")</f>
        <v>S:\ESTERILES\IV HOSPITAL MEISSEN\2022\08 AGOSTO\040822\</v>
      </c>
    </row>
    <row r="62" spans="13:23">
      <c r="M62" s="100" t="str">
        <f>"MP_"&amp;N62</f>
        <v>MP_HOSPITAL MEISSEN/PED</v>
      </c>
      <c r="N62" s="100" t="s">
        <v>1122</v>
      </c>
      <c r="O62" s="110" t="s">
        <v>1118</v>
      </c>
      <c r="P62" s="110" t="s">
        <v>1123</v>
      </c>
      <c r="Q62" s="114" t="s">
        <v>1124</v>
      </c>
      <c r="R62" s="114" t="s">
        <v>1125</v>
      </c>
      <c r="S62" s="413"/>
      <c r="T62" s="417" t="str">
        <f>$T$1&amp;":\PRODUCCION ESTERILES\IV HOSPITAL MEISSEN\"</f>
        <v>Z:\PRODUCCION ESTERILES\IV HOSPITAL MEISSEN\</v>
      </c>
      <c r="U62" s="110" t="str">
        <f ca="1">T62&amp;YEAR('FORMATO DIL'!$C$6)&amp;"\"&amp;TEXT('FORMATO DIL'!$C$6,"MM")&amp;" "&amp;UPPER(TEXT('FORMATO DIL'!$C$6,"MMMM"))&amp;"\"&amp;TEXT('FORMATO DIL'!$C$6,"DDMMYY")&amp;IF($S62&lt;&gt;"",S62,"\")</f>
        <v>Z:\PRODUCCION ESTERILES\IV HOSPITAL MEISSEN\2022\08 AGOSTO\040822\</v>
      </c>
      <c r="V62" s="110" t="s">
        <v>1130</v>
      </c>
      <c r="W62" s="110" t="str">
        <f ca="1">V62&amp;YEAR('FORMATO DIL'!$C$6)&amp;"\"&amp;TEXT('FORMATO DIL'!$C$6,"MM")&amp;" "&amp;UPPER(TEXT('FORMATO DIL'!$C$6,"MMMM"))&amp;"\"&amp;TEXT('FORMATO DIL'!$C$6,"DDMMYY")&amp;IF($S62&lt;&gt;"",S62,"\")</f>
        <v>S:\ESTERILES\IV HOSPITAL MEISSEN\2022\08 AGOSTO\040822\</v>
      </c>
    </row>
    <row r="63" spans="13:23">
      <c r="M63" s="100" t="str">
        <f>"MA_"&amp;N63</f>
        <v>MA_HOSPITAL MEISSEN/UCI ADULTO</v>
      </c>
      <c r="N63" s="100" t="s">
        <v>1126</v>
      </c>
      <c r="O63" s="110" t="s">
        <v>1118</v>
      </c>
      <c r="P63" s="110" t="s">
        <v>1127</v>
      </c>
      <c r="Q63" s="114" t="s">
        <v>1128</v>
      </c>
      <c r="R63" s="114" t="s">
        <v>1127</v>
      </c>
      <c r="S63" s="374"/>
      <c r="T63" s="417" t="str">
        <f>$T$1&amp;":\PRODUCCION ESTERILES\IV HOSPITAL MEISSEN\"</f>
        <v>Z:\PRODUCCION ESTERILES\IV HOSPITAL MEISSEN\</v>
      </c>
      <c r="U63" s="110" t="str">
        <f ca="1">T63&amp;YEAR('FORMATO DIL'!$C$6)&amp;"\"&amp;TEXT('FORMATO DIL'!$C$6,"MM")&amp;" "&amp;UPPER(TEXT('FORMATO DIL'!$C$6,"MMMM"))&amp;"\"&amp;TEXT('FORMATO DIL'!$C$6,"DDMMYY")&amp;IF($S63&lt;&gt;"",S63,"\")</f>
        <v>Z:\PRODUCCION ESTERILES\IV HOSPITAL MEISSEN\2022\08 AGOSTO\040822\</v>
      </c>
      <c r="V63" s="110" t="s">
        <v>1130</v>
      </c>
      <c r="W63" s="110" t="str">
        <f ca="1">V63&amp;YEAR('FORMATO DIL'!$C$6)&amp;"\"&amp;TEXT('FORMATO DIL'!$C$6,"MM")&amp;" "&amp;UPPER(TEXT('FORMATO DIL'!$C$6,"MMMM"))&amp;"\"&amp;TEXT('FORMATO DIL'!$C$6,"DDMMYY")&amp;IF($S63&lt;&gt;"",S63,"\")</f>
        <v>S:\ESTERILES\IV HOSPITAL MEISSEN\2022\08 AGOSTO\040822\</v>
      </c>
    </row>
    <row r="64" spans="13:23">
      <c r="M64" s="100"/>
      <c r="N64" s="100"/>
      <c r="O64" s="374"/>
      <c r="Q64" s="114"/>
      <c r="R64" s="114"/>
      <c r="S64" s="414"/>
    </row>
    <row r="65" spans="13:23">
      <c r="M65" s="100" t="s">
        <v>1005</v>
      </c>
      <c r="N65" s="100" t="s">
        <v>1002</v>
      </c>
      <c r="O65" s="374" t="s">
        <v>1002</v>
      </c>
      <c r="P65" s="110" t="s">
        <v>481</v>
      </c>
      <c r="Q65" s="114" t="s">
        <v>1003</v>
      </c>
      <c r="R65" s="114" t="s">
        <v>1004</v>
      </c>
      <c r="T65" s="417" t="str">
        <f>$T$1&amp;":\PRODUCCION ESTERILES\IV SAMARITANA GIRARDOT"</f>
        <v>Z:\PRODUCCION ESTERILES\IV SAMARITANA GIRARDOT</v>
      </c>
      <c r="U65" s="110" t="str">
        <f ca="1">T65&amp;YEAR('FORMATO DIL'!$C$6)&amp;"\"&amp;TEXT('FORMATO DIL'!$C$6,"MM")&amp;" "&amp;UPPER(TEXT('FORMATO DIL'!$C$6,"MMMM"))&amp;"\"&amp;TEXT('FORMATO DIL'!$C$6,"DDMMYY")&amp;IF($S65&lt;&gt;"",S65,"\")</f>
        <v>Z:\PRODUCCION ESTERILES\IV SAMARITANA GIRARDOT2022\08 AGOSTO\040822\</v>
      </c>
      <c r="V65" s="110" t="s">
        <v>1386</v>
      </c>
      <c r="W65" s="110" t="str">
        <f ca="1">V65&amp;YEAR('FORMATO DIL'!$C$6)&amp;"\"&amp;TEXT('FORMATO DIL'!$C$6,"MM")&amp;" "&amp;UPPER(TEXT('FORMATO DIL'!$C$6,"MMMM"))&amp;"\"&amp;TEXT('FORMATO DIL'!$C$6,"DDMMYY")&amp;IF($S65&lt;&gt;"",S65,"\")</f>
        <v>S:\ESTERILES\IV SAMARITANA GIRARDOT\2022\08 AGOSTO\040822\</v>
      </c>
    </row>
    <row r="66" spans="13:23">
      <c r="M66" s="100"/>
      <c r="N66" s="100"/>
      <c r="O66" s="374"/>
      <c r="Q66" s="114"/>
      <c r="R66" s="114"/>
      <c r="S66" s="414"/>
    </row>
    <row r="67" spans="13:23">
      <c r="M67" s="100" t="s">
        <v>899</v>
      </c>
      <c r="N67" s="100" t="s">
        <v>743</v>
      </c>
      <c r="O67" s="374" t="s">
        <v>473</v>
      </c>
      <c r="P67" s="374"/>
      <c r="Q67" s="119" t="s">
        <v>548</v>
      </c>
      <c r="R67" s="119" t="s">
        <v>622</v>
      </c>
      <c r="S67" s="413"/>
      <c r="T67" s="417" t="str">
        <f>$T$1&amp;":\PRODUCCION ESTERILES\IV HACES Y SERVICIOS\"</f>
        <v>Z:\PRODUCCION ESTERILES\IV HACES Y SERVICIOS\</v>
      </c>
      <c r="U67" s="110" t="str">
        <f ca="1">T67&amp;YEAR('FORMATO DIL'!$C$6)&amp;"\"&amp;TEXT('FORMATO DIL'!$C$6,"MM")&amp;" "&amp;UPPER(TEXT('FORMATO DIL'!$C$6,"MMMM"))&amp;"\"&amp;TEXT('FORMATO DIL'!$C$6,"DDMMYY")&amp;IF($S67&lt;&gt;"",S67,"\")</f>
        <v>Z:\PRODUCCION ESTERILES\IV HACES Y SERVICIOS\2022\08 AGOSTO\040822\</v>
      </c>
      <c r="V67" s="110" t="s">
        <v>881</v>
      </c>
    </row>
    <row r="68" spans="13:23">
      <c r="M68" s="100" t="s">
        <v>900</v>
      </c>
      <c r="N68" s="100" t="s">
        <v>461</v>
      </c>
      <c r="O68" s="374" t="s">
        <v>477</v>
      </c>
      <c r="P68" s="374" t="s">
        <v>482</v>
      </c>
      <c r="Q68" s="119" t="s">
        <v>549</v>
      </c>
      <c r="R68" s="119" t="s">
        <v>623</v>
      </c>
      <c r="S68" s="413"/>
    </row>
    <row r="69" spans="13:23">
      <c r="M69" s="100"/>
      <c r="N69" s="100" t="s">
        <v>514</v>
      </c>
      <c r="O69" s="374"/>
      <c r="P69" s="374"/>
      <c r="Q69" s="374" t="s">
        <v>514</v>
      </c>
      <c r="R69" s="374"/>
      <c r="S69" s="374"/>
    </row>
    <row r="70" spans="13:23">
      <c r="M70" s="100" t="s">
        <v>901</v>
      </c>
      <c r="N70" s="100" t="s">
        <v>822</v>
      </c>
      <c r="O70" s="374" t="s">
        <v>823</v>
      </c>
      <c r="P70" s="110" t="s">
        <v>824</v>
      </c>
      <c r="Q70" s="114" t="s">
        <v>823</v>
      </c>
      <c r="R70" s="114" t="s">
        <v>823</v>
      </c>
      <c r="S70" s="414"/>
      <c r="T70" s="417" t="str">
        <f>$T$1&amp;":\PRODUCCION ESTERILES\IV INSTITUTO CORAZON SEDE BOGOTA\"</f>
        <v>Z:\PRODUCCION ESTERILES\IV INSTITUTO CORAZON SEDE BOGOTA\</v>
      </c>
      <c r="U70" s="110" t="str">
        <f ca="1">T70&amp;YEAR('FORMATO DIL'!$C$6)&amp;"\"&amp;TEXT('FORMATO DIL'!$C$6,"MM")&amp;" "&amp;UPPER(TEXT('FORMATO DIL'!$C$6,"MMMM"))&amp;"\"&amp;TEXT('FORMATO DIL'!$C$6,"DDMMYY")&amp;IF($S70&lt;&gt;"",S70,"\")</f>
        <v>Z:\PRODUCCION ESTERILES\IV INSTITUTO CORAZON SEDE BOGOTA\2022\08 AGOSTO\040822\</v>
      </c>
      <c r="V70" s="110" t="s">
        <v>882</v>
      </c>
    </row>
    <row r="71" spans="13:23">
      <c r="M71" s="100" t="s">
        <v>902</v>
      </c>
      <c r="N71" s="100" t="s">
        <v>510</v>
      </c>
      <c r="O71" s="376" t="s">
        <v>510</v>
      </c>
      <c r="P71" s="110" t="s">
        <v>481</v>
      </c>
      <c r="Q71" s="114" t="s">
        <v>555</v>
      </c>
      <c r="R71" s="114" t="s">
        <v>624</v>
      </c>
      <c r="S71" s="414"/>
    </row>
    <row r="72" spans="13:23">
      <c r="M72" s="100"/>
      <c r="N72" s="100" t="s">
        <v>514</v>
      </c>
      <c r="O72" s="374"/>
      <c r="Q72" s="114" t="s">
        <v>514</v>
      </c>
      <c r="R72" s="114"/>
      <c r="S72" s="414"/>
    </row>
    <row r="73" spans="13:23">
      <c r="M73" s="100" t="s">
        <v>903</v>
      </c>
      <c r="N73" s="100" t="s">
        <v>744</v>
      </c>
      <c r="O73" s="374" t="s">
        <v>609</v>
      </c>
      <c r="P73" s="110" t="s">
        <v>610</v>
      </c>
      <c r="Q73" s="114" t="s">
        <v>611</v>
      </c>
      <c r="R73" s="114" t="s">
        <v>628</v>
      </c>
      <c r="S73" s="414"/>
      <c r="T73" s="417" t="str">
        <f>$T$1&amp;":\PRODUCCION ESTERILES\IV HOSPITAL SAN RAFAEL ESPINAL TOLIMA\"</f>
        <v>Z:\PRODUCCION ESTERILES\IV HOSPITAL SAN RAFAEL ESPINAL TOLIMA\</v>
      </c>
      <c r="U73" s="110" t="str">
        <f ca="1">T73&amp;YEAR('FORMATO DIL'!$C$6)&amp;"\"&amp;TEXT('FORMATO DIL'!$C$6,"MM")&amp;" "&amp;UPPER(TEXT('FORMATO DIL'!$C$6,"MMMM"))&amp;"\"&amp;TEXT('FORMATO DIL'!$C$6,"DDMMYY")&amp;IF($S73&lt;&gt;"",S73,"\")</f>
        <v>Z:\PRODUCCION ESTERILES\IV HOSPITAL SAN RAFAEL ESPINAL TOLIMA\2022\08 AGOSTO\040822\</v>
      </c>
      <c r="V73" s="110" t="s">
        <v>883</v>
      </c>
    </row>
    <row r="74" spans="13:23">
      <c r="M74" s="100" t="s">
        <v>904</v>
      </c>
      <c r="N74" s="100" t="s">
        <v>745</v>
      </c>
      <c r="O74" s="374" t="s">
        <v>609</v>
      </c>
      <c r="P74" s="110" t="s">
        <v>481</v>
      </c>
      <c r="Q74" s="114" t="s">
        <v>612</v>
      </c>
      <c r="R74" s="114" t="s">
        <v>629</v>
      </c>
      <c r="S74" s="414"/>
      <c r="T74" s="417" t="str">
        <f>$T$1&amp;":\PRODUCCION ESTERILES\IV HOSPITAL SAN RAFAEL ESPINAL TOLIMA\"</f>
        <v>Z:\PRODUCCION ESTERILES\IV HOSPITAL SAN RAFAEL ESPINAL TOLIMA\</v>
      </c>
      <c r="U74" s="110" t="str">
        <f ca="1">T74&amp;YEAR('FORMATO DIL'!$C$6)&amp;"\"&amp;TEXT('FORMATO DIL'!$C$6,"MM")&amp;" "&amp;UPPER(TEXT('FORMATO DIL'!$C$6,"MMMM"))&amp;"\"&amp;TEXT('FORMATO DIL'!$C$6,"DDMMYY")&amp;IF($S74&lt;&gt;"",S74,"\")</f>
        <v>Z:\PRODUCCION ESTERILES\IV HOSPITAL SAN RAFAEL ESPINAL TOLIMA\2022\08 AGOSTO\040822\</v>
      </c>
      <c r="V74" s="110" t="s">
        <v>883</v>
      </c>
    </row>
    <row r="75" spans="13:23">
      <c r="M75" s="100"/>
      <c r="N75" s="100"/>
      <c r="O75" s="374"/>
      <c r="Q75" s="114"/>
      <c r="R75" s="114"/>
    </row>
    <row r="76" spans="13:23">
      <c r="M76" s="100" t="s">
        <v>905</v>
      </c>
      <c r="N76" s="100" t="s">
        <v>527</v>
      </c>
      <c r="O76" s="374" t="s">
        <v>488</v>
      </c>
      <c r="P76" s="110" t="s">
        <v>489</v>
      </c>
      <c r="Q76" s="114" t="s">
        <v>556</v>
      </c>
      <c r="R76" s="114" t="s">
        <v>489</v>
      </c>
    </row>
    <row r="77" spans="13:23">
      <c r="M77" s="100" t="s">
        <v>906</v>
      </c>
      <c r="N77" s="100" t="s">
        <v>528</v>
      </c>
      <c r="O77" s="374" t="s">
        <v>488</v>
      </c>
      <c r="P77" s="110" t="s">
        <v>531</v>
      </c>
      <c r="Q77" s="114" t="s">
        <v>557</v>
      </c>
      <c r="R77" s="114" t="s">
        <v>625</v>
      </c>
    </row>
    <row r="78" spans="13:23">
      <c r="M78" s="100" t="s">
        <v>907</v>
      </c>
      <c r="N78" s="100" t="s">
        <v>529</v>
      </c>
      <c r="O78" s="374" t="s">
        <v>488</v>
      </c>
      <c r="P78" s="110" t="s">
        <v>497</v>
      </c>
      <c r="Q78" s="114" t="s">
        <v>558</v>
      </c>
      <c r="R78" s="114" t="s">
        <v>626</v>
      </c>
    </row>
    <row r="79" spans="13:23">
      <c r="M79" s="100" t="s">
        <v>908</v>
      </c>
      <c r="N79" s="100" t="s">
        <v>530</v>
      </c>
      <c r="O79" s="374" t="s">
        <v>488</v>
      </c>
      <c r="P79" s="110" t="s">
        <v>481</v>
      </c>
      <c r="Q79" s="114" t="s">
        <v>559</v>
      </c>
      <c r="R79" s="114" t="s">
        <v>627</v>
      </c>
    </row>
    <row r="80" spans="13:23">
      <c r="M80" s="100"/>
      <c r="N80" s="100"/>
    </row>
    <row r="81" spans="13:19">
      <c r="M81" s="100"/>
      <c r="N81" s="100"/>
    </row>
    <row r="82" spans="13:19">
      <c r="M82" s="100"/>
      <c r="N82" s="100"/>
    </row>
    <row r="83" spans="13:19">
      <c r="M83" s="100"/>
      <c r="N83" s="100"/>
    </row>
    <row r="84" spans="13:19">
      <c r="M84" s="100"/>
      <c r="N84" s="100"/>
    </row>
    <row r="85" spans="13:19">
      <c r="M85" s="100"/>
      <c r="N85" s="100"/>
    </row>
    <row r="86" spans="13:19">
      <c r="M86" s="100"/>
      <c r="N86" s="100"/>
    </row>
    <row r="87" spans="13:19">
      <c r="M87" s="100"/>
      <c r="N87" s="100"/>
    </row>
    <row r="88" spans="13:19">
      <c r="M88" s="100"/>
      <c r="N88" s="100"/>
    </row>
    <row r="89" spans="13:19">
      <c r="M89" s="100"/>
      <c r="N89" s="100"/>
    </row>
    <row r="90" spans="13:19">
      <c r="M90" s="100"/>
      <c r="N90" s="100"/>
    </row>
    <row r="91" spans="13:19">
      <c r="M91" s="100"/>
      <c r="N91" s="100"/>
    </row>
    <row r="92" spans="13:19">
      <c r="M92" s="100"/>
      <c r="N92" s="100"/>
    </row>
    <row r="93" spans="13:19">
      <c r="M93" s="100"/>
      <c r="N93" s="100"/>
    </row>
    <row r="94" spans="13:19">
      <c r="M94" s="100"/>
      <c r="N94" s="100"/>
      <c r="O94" s="374"/>
      <c r="P94" s="374"/>
      <c r="Q94" s="119"/>
      <c r="R94" s="119"/>
      <c r="S94" s="413"/>
    </row>
    <row r="95" spans="13:19">
      <c r="M95" s="100"/>
      <c r="N95" s="100"/>
      <c r="O95" s="374"/>
      <c r="P95" s="374"/>
      <c r="Q95" s="119"/>
      <c r="R95" s="119"/>
      <c r="S95" s="413"/>
    </row>
    <row r="96" spans="13:19">
      <c r="M96" s="100"/>
      <c r="N96" s="100"/>
      <c r="O96" s="374"/>
      <c r="P96" s="374"/>
      <c r="Q96" s="374"/>
      <c r="R96" s="374"/>
      <c r="S96" s="374"/>
    </row>
    <row r="97" spans="13:19">
      <c r="M97" s="100"/>
      <c r="N97" s="100"/>
      <c r="O97" s="374"/>
      <c r="Q97" s="114"/>
      <c r="R97" s="114"/>
      <c r="S97" s="414"/>
    </row>
    <row r="98" spans="13:19">
      <c r="M98" s="100"/>
      <c r="N98" s="100"/>
      <c r="O98" s="376"/>
      <c r="Q98" s="114"/>
      <c r="R98" s="114"/>
      <c r="S98" s="414"/>
    </row>
    <row r="99" spans="13:19">
      <c r="M99" s="100"/>
      <c r="N99" s="100"/>
      <c r="O99" s="374"/>
      <c r="Q99" s="114"/>
      <c r="R99" s="114"/>
      <c r="S99" s="414"/>
    </row>
    <row r="100" spans="13:19">
      <c r="M100" s="100"/>
      <c r="N100" s="100"/>
      <c r="O100" s="374"/>
      <c r="Q100" s="114"/>
      <c r="R100" s="114"/>
      <c r="S100" s="414"/>
    </row>
    <row r="101" spans="13:19">
      <c r="M101" s="100"/>
      <c r="N101" s="100"/>
      <c r="O101" s="374"/>
      <c r="Q101" s="114"/>
      <c r="R101" s="114"/>
      <c r="S101" s="414"/>
    </row>
    <row r="102" spans="13:19">
      <c r="M102" s="100"/>
      <c r="N102" s="100"/>
    </row>
    <row r="103" spans="13:19">
      <c r="M103" s="100"/>
      <c r="N103" s="100"/>
    </row>
    <row r="104" spans="13:19">
      <c r="M104" s="100"/>
      <c r="N104" s="100"/>
    </row>
    <row r="105" spans="13:19">
      <c r="M105" s="100"/>
      <c r="N105" s="100"/>
    </row>
    <row r="106" spans="13:19">
      <c r="M106" s="100"/>
      <c r="N106" s="100"/>
    </row>
    <row r="107" spans="13:19">
      <c r="M107" s="100"/>
      <c r="N107" s="100"/>
    </row>
    <row r="108" spans="13:19">
      <c r="M108" s="100"/>
      <c r="N108" s="100"/>
    </row>
    <row r="109" spans="13:19">
      <c r="M109" s="100"/>
      <c r="N109" s="100"/>
    </row>
    <row r="110" spans="13:19">
      <c r="M110" s="100"/>
      <c r="N110" s="100"/>
    </row>
    <row r="111" spans="13:19">
      <c r="M111" s="100"/>
      <c r="N111" s="100"/>
    </row>
    <row r="112" spans="13:19">
      <c r="M112" s="100"/>
      <c r="N112" s="100"/>
    </row>
    <row r="113" spans="13:19">
      <c r="M113" s="100"/>
      <c r="N113" s="100"/>
    </row>
    <row r="114" spans="13:19">
      <c r="M114" s="100"/>
      <c r="N114" s="100"/>
    </row>
    <row r="115" spans="13:19">
      <c r="M115" s="100"/>
      <c r="N115" s="100"/>
      <c r="O115" s="374"/>
      <c r="Q115" s="114"/>
      <c r="R115" s="114"/>
      <c r="S115" s="414"/>
    </row>
    <row r="116" spans="13:19">
      <c r="M116" s="100"/>
      <c r="N116" s="100"/>
      <c r="O116" s="374"/>
      <c r="Q116" s="114"/>
      <c r="R116" s="114"/>
      <c r="S116" s="414"/>
    </row>
    <row r="117" spans="13:19">
      <c r="M117" s="100"/>
      <c r="N117" s="100"/>
      <c r="O117" s="374"/>
      <c r="Q117" s="114"/>
      <c r="R117" s="114"/>
      <c r="S117" s="414"/>
    </row>
    <row r="118" spans="13:19">
      <c r="M118" s="100"/>
      <c r="N118" s="100"/>
      <c r="O118" s="374"/>
      <c r="Q118" s="114"/>
      <c r="R118" s="114"/>
    </row>
    <row r="119" spans="13:19">
      <c r="M119" s="100"/>
      <c r="N119" s="100"/>
      <c r="O119" s="374"/>
      <c r="Q119" s="114"/>
      <c r="R119" s="114"/>
    </row>
    <row r="120" spans="13:19">
      <c r="M120" s="100"/>
      <c r="N120" s="100"/>
      <c r="O120" s="374"/>
      <c r="Q120" s="114"/>
      <c r="R120" s="114"/>
    </row>
    <row r="121" spans="13:19">
      <c r="M121" s="100"/>
      <c r="N121" s="100"/>
    </row>
    <row r="122" spans="13:19">
      <c r="M122" s="100"/>
      <c r="N122" s="100"/>
    </row>
    <row r="123" spans="13:19">
      <c r="M123" s="100"/>
      <c r="N123" s="100"/>
    </row>
    <row r="124" spans="13:19">
      <c r="M124" s="100"/>
      <c r="N124" s="100"/>
    </row>
    <row r="125" spans="13:19">
      <c r="M125" s="100"/>
      <c r="N125" s="100"/>
    </row>
  </sheetData>
  <sortState ref="H4:K8">
    <sortCondition ref="J4"/>
  </sortState>
  <mergeCells count="2">
    <mergeCell ref="A1:L1"/>
    <mergeCell ref="H2:K2"/>
  </mergeCells>
  <conditionalFormatting sqref="N12:N15 N4 N6">
    <cfRule type="cellIs" dxfId="60" priority="93" operator="equal">
      <formula>$D$9</formula>
    </cfRule>
    <cfRule type="cellIs" dxfId="59" priority="94" operator="equal">
      <formula>$D$8</formula>
    </cfRule>
  </conditionalFormatting>
  <conditionalFormatting sqref="N5">
    <cfRule type="cellIs" dxfId="58" priority="91" operator="equal">
      <formula>$D$9</formula>
    </cfRule>
    <cfRule type="cellIs" dxfId="57" priority="92" operator="equal">
      <formula>$D$8</formula>
    </cfRule>
  </conditionalFormatting>
  <conditionalFormatting sqref="N17">
    <cfRule type="cellIs" dxfId="56" priority="87" operator="equal">
      <formula>$D$9</formula>
    </cfRule>
    <cfRule type="cellIs" dxfId="55" priority="88" operator="equal">
      <formula>$D$8</formula>
    </cfRule>
  </conditionalFormatting>
  <conditionalFormatting sqref="N18:N19">
    <cfRule type="cellIs" dxfId="54" priority="83" operator="equal">
      <formula>$D$9</formula>
    </cfRule>
    <cfRule type="cellIs" dxfId="53" priority="84" operator="equal">
      <formula>$D$8</formula>
    </cfRule>
  </conditionalFormatting>
  <conditionalFormatting sqref="Q4 Q12:Q15">
    <cfRule type="cellIs" dxfId="52" priority="64" operator="equal">
      <formula>$D$9</formula>
    </cfRule>
    <cfRule type="cellIs" dxfId="51" priority="65" operator="equal">
      <formula>$D$8</formula>
    </cfRule>
  </conditionalFormatting>
  <conditionalFormatting sqref="Q5:Q6">
    <cfRule type="cellIs" dxfId="50" priority="62" operator="equal">
      <formula>$D$9</formula>
    </cfRule>
    <cfRule type="cellIs" dxfId="49" priority="63" operator="equal">
      <formula>$D$8</formula>
    </cfRule>
  </conditionalFormatting>
  <conditionalFormatting sqref="Q17">
    <cfRule type="cellIs" dxfId="48" priority="60" operator="equal">
      <formula>$D$9</formula>
    </cfRule>
    <cfRule type="cellIs" dxfId="47" priority="61" operator="equal">
      <formula>$D$8</formula>
    </cfRule>
  </conditionalFormatting>
  <conditionalFormatting sqref="N3">
    <cfRule type="cellIs" dxfId="46" priority="52" operator="equal">
      <formula>$D$9</formula>
    </cfRule>
    <cfRule type="cellIs" dxfId="45" priority="53" operator="equal">
      <formula>$D$8</formula>
    </cfRule>
  </conditionalFormatting>
  <conditionalFormatting sqref="R4 R12:S12 R13:R15">
    <cfRule type="cellIs" dxfId="44" priority="50" operator="equal">
      <formula>$D$9</formula>
    </cfRule>
    <cfRule type="cellIs" dxfId="43" priority="51" operator="equal">
      <formula>$D$8</formula>
    </cfRule>
  </conditionalFormatting>
  <conditionalFormatting sqref="R6:S6 R5">
    <cfRule type="cellIs" dxfId="42" priority="48" operator="equal">
      <formula>$D$9</formula>
    </cfRule>
    <cfRule type="cellIs" dxfId="41" priority="49" operator="equal">
      <formula>$D$8</formula>
    </cfRule>
  </conditionalFormatting>
  <conditionalFormatting sqref="R17:S17 S18:S19">
    <cfRule type="cellIs" dxfId="40" priority="46" operator="equal">
      <formula>$D$9</formula>
    </cfRule>
    <cfRule type="cellIs" dxfId="39" priority="47" operator="equal">
      <formula>$D$8</formula>
    </cfRule>
  </conditionalFormatting>
  <conditionalFormatting sqref="N7">
    <cfRule type="cellIs" dxfId="38" priority="36" operator="equal">
      <formula>$D$9</formula>
    </cfRule>
    <cfRule type="cellIs" dxfId="37" priority="37" operator="equal">
      <formula>$D$8</formula>
    </cfRule>
  </conditionalFormatting>
  <conditionalFormatting sqref="Q7">
    <cfRule type="cellIs" dxfId="36" priority="34" operator="equal">
      <formula>$D$9</formula>
    </cfRule>
    <cfRule type="cellIs" dxfId="35" priority="35" operator="equal">
      <formula>$D$8</formula>
    </cfRule>
  </conditionalFormatting>
  <conditionalFormatting sqref="R7">
    <cfRule type="cellIs" dxfId="34" priority="32" operator="equal">
      <formula>$D$9</formula>
    </cfRule>
    <cfRule type="cellIs" dxfId="33" priority="33" operator="equal">
      <formula>$D$8</formula>
    </cfRule>
  </conditionalFormatting>
  <conditionalFormatting sqref="N8:N10">
    <cfRule type="cellIs" dxfId="32" priority="30" operator="equal">
      <formula>$D$9</formula>
    </cfRule>
    <cfRule type="cellIs" dxfId="31" priority="31" operator="equal">
      <formula>$D$8</formula>
    </cfRule>
  </conditionalFormatting>
  <conditionalFormatting sqref="Q8:Q10">
    <cfRule type="cellIs" dxfId="30" priority="28" operator="equal">
      <formula>$D$9</formula>
    </cfRule>
    <cfRule type="cellIs" dxfId="29" priority="29" operator="equal">
      <formula>$D$8</formula>
    </cfRule>
  </conditionalFormatting>
  <conditionalFormatting sqref="R8:R10">
    <cfRule type="cellIs" dxfId="28" priority="26" operator="equal">
      <formula>$D$9</formula>
    </cfRule>
    <cfRule type="cellIs" dxfId="27" priority="27" operator="equal">
      <formula>$D$8</formula>
    </cfRule>
  </conditionalFormatting>
  <conditionalFormatting sqref="N11">
    <cfRule type="cellIs" dxfId="26" priority="24" operator="equal">
      <formula>$D$9</formula>
    </cfRule>
    <cfRule type="cellIs" dxfId="25" priority="25" operator="equal">
      <formula>$D$8</formula>
    </cfRule>
  </conditionalFormatting>
  <conditionalFormatting sqref="Q11">
    <cfRule type="cellIs" dxfId="24" priority="22" operator="equal">
      <formula>$D$9</formula>
    </cfRule>
    <cfRule type="cellIs" dxfId="23" priority="23" operator="equal">
      <formula>$D$8</formula>
    </cfRule>
  </conditionalFormatting>
  <conditionalFormatting sqref="R11">
    <cfRule type="cellIs" dxfId="22" priority="20" operator="equal">
      <formula>$D$9</formula>
    </cfRule>
    <cfRule type="cellIs" dxfId="21" priority="21" operator="equal">
      <formula>$D$8</formula>
    </cfRule>
  </conditionalFormatting>
  <conditionalFormatting sqref="M12:M15 M4 M6">
    <cfRule type="cellIs" dxfId="20" priority="17" operator="equal">
      <formula>$D$9</formula>
    </cfRule>
    <cfRule type="cellIs" dxfId="19" priority="18" operator="equal">
      <formula>$D$8</formula>
    </cfRule>
  </conditionalFormatting>
  <conditionalFormatting sqref="M5">
    <cfRule type="cellIs" dxfId="18" priority="15" operator="equal">
      <formula>$D$9</formula>
    </cfRule>
    <cfRule type="cellIs" dxfId="17" priority="16" operator="equal">
      <formula>$D$8</formula>
    </cfRule>
  </conditionalFormatting>
  <conditionalFormatting sqref="M17">
    <cfRule type="cellIs" dxfId="16" priority="13" operator="equal">
      <formula>$D$9</formula>
    </cfRule>
    <cfRule type="cellIs" dxfId="15" priority="14" operator="equal">
      <formula>$D$8</formula>
    </cfRule>
  </conditionalFormatting>
  <conditionalFormatting sqref="M18:M19">
    <cfRule type="cellIs" dxfId="14" priority="11" operator="equal">
      <formula>$D$9</formula>
    </cfRule>
    <cfRule type="cellIs" dxfId="13" priority="12" operator="equal">
      <formula>$D$8</formula>
    </cfRule>
  </conditionalFormatting>
  <conditionalFormatting sqref="M3">
    <cfRule type="cellIs" dxfId="12" priority="9" operator="equal">
      <formula>$D$9</formula>
    </cfRule>
    <cfRule type="cellIs" dxfId="11" priority="10" operator="equal">
      <formula>$D$8</formula>
    </cfRule>
  </conditionalFormatting>
  <conditionalFormatting sqref="M7">
    <cfRule type="cellIs" dxfId="10" priority="7" operator="equal">
      <formula>$D$9</formula>
    </cfRule>
    <cfRule type="cellIs" dxfId="9" priority="8" operator="equal">
      <formula>$D$8</formula>
    </cfRule>
  </conditionalFormatting>
  <conditionalFormatting sqref="M8:M10">
    <cfRule type="cellIs" dxfId="8" priority="5" operator="equal">
      <formula>$D$9</formula>
    </cfRule>
    <cfRule type="cellIs" dxfId="7" priority="6" operator="equal">
      <formula>$D$8</formula>
    </cfRule>
  </conditionalFormatting>
  <conditionalFormatting sqref="M11">
    <cfRule type="cellIs" dxfId="6" priority="3" operator="equal">
      <formula>$D$9</formula>
    </cfRule>
    <cfRule type="cellIs" dxfId="5" priority="4" operator="equal">
      <formula>$D$8</formula>
    </cfRule>
  </conditionalFormatting>
  <conditionalFormatting sqref="S20">
    <cfRule type="cellIs" dxfId="4" priority="1" operator="equal">
      <formula>$D$9</formula>
    </cfRule>
    <cfRule type="cellIs" dxfId="3" priority="2" operator="equal">
      <formula>$D$8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5" operator="lessThan" id="{B1C8E742-A903-46DD-999E-FCF830C9D46D}">
            <xm:f>'FORMATO DIL'!$B$5</xm:f>
            <x14:dxf>
              <font>
                <color rgb="FFFFFF00"/>
              </font>
              <fill>
                <patternFill>
                  <bgColor rgb="FFFF0000"/>
                </patternFill>
              </fill>
            </x14:dxf>
          </x14:cfRule>
          <xm:sqref>E9 E3 E5:E7</xm:sqref>
        </x14:conditionalFormatting>
        <x14:conditionalFormatting xmlns:xm="http://schemas.microsoft.com/office/excel/2006/main">
          <x14:cfRule type="cellIs" priority="66" operator="lessThan" id="{E2D37271-B374-445A-8B3F-4DF9FEE2D926}">
            <xm:f>'FORMATO DIL'!$B$5</xm:f>
            <x14:dxf>
              <font>
                <color rgb="FFFFFF00"/>
              </font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cellIs" priority="19" operator="lessThan" id="{1D1D2EB9-1EDF-4334-9B7D-0CE960670507}">
            <xm:f>'FORMATO DIL'!$B$5</xm:f>
            <x14:dxf>
              <font>
                <color rgb="FFFFFF00"/>
              </font>
              <fill>
                <patternFill>
                  <bgColor rgb="FFFF0000"/>
                </patternFill>
              </fill>
            </x14:dxf>
          </x14:cfRule>
          <xm:sqref>E4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5"/>
  <dimension ref="A1:AD45"/>
  <sheetViews>
    <sheetView zoomScale="94" zoomScaleNormal="94" workbookViewId="0">
      <selection activeCell="AD2" sqref="AD2:AD45"/>
    </sheetView>
  </sheetViews>
  <sheetFormatPr defaultColWidth="11.42578125" defaultRowHeight="15"/>
  <cols>
    <col min="1" max="1" width="11.42578125" style="176"/>
    <col min="2" max="2" width="17.5703125" style="176" bestFit="1" customWidth="1"/>
    <col min="3" max="3" width="14.7109375" style="176" bestFit="1" customWidth="1"/>
    <col min="4" max="7" width="11.42578125" style="176"/>
    <col min="8" max="8" width="11.42578125" style="179"/>
    <col min="9" max="9" width="11.42578125" style="176"/>
    <col min="10" max="10" width="28.42578125" style="176" bestFit="1" customWidth="1"/>
    <col min="11" max="11" width="15.42578125" style="176" customWidth="1"/>
    <col min="12" max="16" width="11.42578125" style="176"/>
    <col min="17" max="17" width="35.42578125" style="176" bestFit="1" customWidth="1"/>
    <col min="21" max="21" width="36.140625" bestFit="1" customWidth="1"/>
    <col min="22" max="22" width="9.28515625" bestFit="1" customWidth="1"/>
    <col min="23" max="23" width="18.28515625" bestFit="1" customWidth="1"/>
    <col min="24" max="24" width="27.28515625" bestFit="1" customWidth="1"/>
    <col min="25" max="25" width="46.7109375" bestFit="1" customWidth="1"/>
    <col min="26" max="27" width="36.140625" bestFit="1" customWidth="1"/>
    <col min="28" max="28" width="36.140625" customWidth="1"/>
    <col min="29" max="30" width="36.140625" bestFit="1" customWidth="1"/>
    <col min="31" max="31" width="21.42578125" bestFit="1" customWidth="1"/>
  </cols>
  <sheetData>
    <row r="1" spans="1:30" s="172" customFormat="1" ht="36" customHeight="1">
      <c r="A1" s="173" t="s">
        <v>272</v>
      </c>
      <c r="B1" s="173" t="s">
        <v>6</v>
      </c>
      <c r="C1" s="173" t="s">
        <v>332</v>
      </c>
      <c r="D1" s="173" t="s">
        <v>333</v>
      </c>
      <c r="E1" s="174" t="s">
        <v>321</v>
      </c>
      <c r="F1" s="173" t="s">
        <v>334</v>
      </c>
      <c r="G1" s="173" t="s">
        <v>335</v>
      </c>
      <c r="H1" s="177" t="s">
        <v>336</v>
      </c>
      <c r="I1" s="173" t="s">
        <v>151</v>
      </c>
      <c r="J1" s="173" t="s">
        <v>322</v>
      </c>
      <c r="K1" s="173" t="s">
        <v>14</v>
      </c>
      <c r="L1" s="173" t="s">
        <v>337</v>
      </c>
      <c r="M1" s="173" t="s">
        <v>338</v>
      </c>
      <c r="N1" s="173" t="s">
        <v>339</v>
      </c>
      <c r="O1" s="173" t="s">
        <v>5</v>
      </c>
      <c r="P1" s="174" t="s">
        <v>340</v>
      </c>
      <c r="Q1" s="174" t="s">
        <v>9</v>
      </c>
      <c r="R1" s="173" t="s">
        <v>251</v>
      </c>
      <c r="S1" s="173" t="s">
        <v>692</v>
      </c>
      <c r="T1" s="173" t="s">
        <v>515</v>
      </c>
      <c r="U1" s="173" t="s">
        <v>605</v>
      </c>
      <c r="V1" s="173" t="s">
        <v>517</v>
      </c>
      <c r="W1" s="173" t="s">
        <v>516</v>
      </c>
      <c r="X1" s="173" t="s">
        <v>518</v>
      </c>
      <c r="Y1" s="173" t="s">
        <v>577</v>
      </c>
      <c r="Z1" s="173" t="s">
        <v>595</v>
      </c>
      <c r="AA1" s="173" t="s">
        <v>604</v>
      </c>
      <c r="AB1" s="173" t="s">
        <v>705</v>
      </c>
      <c r="AC1" s="173" t="s">
        <v>606</v>
      </c>
      <c r="AD1" s="173" t="s">
        <v>998</v>
      </c>
    </row>
    <row r="2" spans="1:30">
      <c r="A2" s="175">
        <f>'FR PD 001 V1'!G6</f>
        <v>0</v>
      </c>
      <c r="B2" s="175" t="e">
        <f>VLOOKUP(A2,ESTANDAR!A:B,2,0)</f>
        <v>#N/A</v>
      </c>
      <c r="C2" s="175" t="e">
        <f>VLOOKUP(A2,ESTANDAR!A:D,4,0)</f>
        <v>#N/A</v>
      </c>
      <c r="D2" s="184" t="e">
        <f>IF('FORMATO DIL'!B$6="NEO+PED",VLOOKUP(A2,ESTANDAR!A:G,6,0),VLOOKUP(A2,ESTANDAR!A:G,7,0))</f>
        <v>#N/A</v>
      </c>
      <c r="E2" s="175" t="str">
        <f>'FR PD 001 V1'!L6</f>
        <v>ERROR</v>
      </c>
      <c r="F2" s="175">
        <f>'FR PD 001 V1'!J6</f>
        <v>0</v>
      </c>
      <c r="G2" s="175">
        <f>ROUND('FR PD 001 V1'!M6,2)</f>
        <v>0</v>
      </c>
      <c r="H2" s="178" t="e">
        <f ca="1">'FR PD 001 V1'!P6</f>
        <v>#N/A</v>
      </c>
      <c r="I2" s="175">
        <f>'FR PD 001 V1'!O6</f>
        <v>0</v>
      </c>
      <c r="J2" s="175" t="str">
        <f>LEFT('FR PD 001 V1'!B6,30)</f>
        <v/>
      </c>
      <c r="K2" s="175">
        <f>'FR PD 001 V1'!C6</f>
        <v>0</v>
      </c>
      <c r="L2" s="175" t="str">
        <f>'FORMATO DIL'!B$7</f>
        <v>JGARCIA</v>
      </c>
      <c r="M2" s="175" t="str">
        <f>'FORMATO DIL'!B$8</f>
        <v>ADELTORO</v>
      </c>
      <c r="N2" s="175" t="str">
        <f>'FORMATO DIL'!B$2</f>
        <v>C.JPC/SEXTO NTE/SCOOP</v>
      </c>
      <c r="O2" s="175" t="str">
        <f>'FR PD 001 V1'!E6</f>
        <v>NA</v>
      </c>
      <c r="P2" s="181" t="e">
        <f t="shared" ref="P2:P45" si="0">D2/E2</f>
        <v>#N/A</v>
      </c>
      <c r="Q2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ADULTO"),AA2,IF(LEFT(R2,3)="INF",Y2,IF(OR(B2="INSULINA NPH",B2="INSULINA CRISTALINA",B2="PENICILINA CRIST."),B2&amp;" "&amp;C2&amp;" "&amp;D2&amp;"U.I./mL",B2&amp;" "&amp;C2&amp;" "&amp;D2&amp;"mg/mL")))</f>
        <v>#N/A</v>
      </c>
      <c r="R2" s="4">
        <f>IF(OR('FR PD 001 V1'!S6="JER 1mL",'FR PD 001 V1'!S6="JER 3mL",'FR PD 001 V1'!S6="JER 5mL",'FR PD 001 V1'!S6="JER 10mL",'FR PD 001 V1'!S6="JER 20mL",'FR PD 001 V1'!S6="JER 50mL"),"JERINGA",'FR PD 001 V1'!S6)</f>
        <v>0</v>
      </c>
      <c r="S2" s="4" t="e">
        <f>IF(OR('FORMATO DIL'!$A$1="MN_HOSPITAL MEISSEN/UCI NEO",'FORMATO DIL'!$A$1="MP_HOSPITAL MEISSEN/PED",'FORMATO DIL'!$A$1="MA_HOSPITAL MEISSEN/UCI ADULTO"),'FORMATO DIL'!O12,IF(VLOOKUP(A2,ESTANDAR!$A$2:$O$682,15,0)=0,"      -------",VLOOKUP(A2,ESTANDAR!$A$2:$O$682,15,0)))</f>
        <v>#N/A</v>
      </c>
      <c r="T2" s="4" t="e">
        <f ca="1">CONCATENATE(DAY(H2),"/",MONTH(H2),"/",YEAR(H2))</f>
        <v>#N/A</v>
      </c>
      <c r="U2" s="4" t="e">
        <f>IF(AND('FORMATO DIL'!U12&gt;0,'FORMATO DIL'!V12&gt;0),"Do: "&amp;F2&amp;V2&amp;"  VolTotal: "&amp;'FORMATO DIL'!U12&amp;"mL"&amp;" a "&amp;'FORMATO DIL'!V12&amp;"mL/h","Do: "&amp;F2&amp;V2&amp;"  VolDo: "&amp;G2&amp;"mL")</f>
        <v>#N/A</v>
      </c>
      <c r="V2" s="4" t="e">
        <f>IF(OR(B2="GONADOTROPINA CORIONICA",B2="HEPARINA",B2="INSULINA CRISTALINA",B2="INSULINA NPH",B2="PENICILINA CRIST.",B2="POLIMIXINA B"),"U.I.","mg")</f>
        <v>#N/A</v>
      </c>
      <c r="W2" s="4" t="e">
        <f>"Conc:  "&amp;IF('FORMATO DIL'!L12&gt;0,IF(OR(B2="GONADOTROPINA CORIONICA",B2="HEPARINA",B2="INSULINA CRISTALINA",B2="INSULINA NPH",B2="PENICILINA CRIST.",B2="POLIMIXINA B"),'FORMATO DIL'!L12&amp;"U.I/mL",'FORMATO DIL'!L12&amp;"mg/mL"),'DATOS ETIQ'!C2)</f>
        <v>#N/A</v>
      </c>
      <c r="X2" s="4" t="e">
        <f>IF(OR('FORMATO DIL'!U12&gt;0,'FORMATO DIL'!V12&gt;0),"  VOL TOTAL:  "&amp;'FORMATO DIL'!U12&amp;"mL"&amp;" a "&amp;'FORMATO DIL'!V12&amp;"mL/h",ROUND((F2/E2),1))</f>
        <v>#VALUE!</v>
      </c>
      <c r="Y2" s="4" t="e">
        <f>B2&amp;" INF SSN 0.9% "&amp;'FR PD 001 V1'!N6</f>
        <v>#N/A</v>
      </c>
      <c r="Z2" s="4" t="str">
        <f>"ID :"&amp;K2&amp;"   F. Nac:  "&amp;UPPER(TEXT('FORMATO DIL'!F12,"ddmmmyy"))</f>
        <v>ID :0   F. Nac:  00ENE00</v>
      </c>
      <c r="AA2" s="4" t="e">
        <f>IF('FORMATO DIL'!L12&lt;&gt;"",IF(OR(B2="INSULINA NPH",B2="INSULINA CRISTALINA",B2="PENICILINA CRIST."),B2&amp;" "&amp;C2&amp;" "&amp;'FORMATO DIL'!L12&amp;"U.I./mL",B2&amp;" "&amp;C2&amp;" "&amp;'FORMATO DIL'!L12&amp;"mg/mL"),IF(OR(B2="INSULINA NPH",B2="INSULINA CRISTALINA",B2="PENICILINA CRIST."),B2&amp;" "&amp;C2&amp;" "&amp;D2&amp;"U.I./mL",B2&amp;" "&amp;C2&amp;" "&amp;D2&amp;"mg/mL"))</f>
        <v>#N/A</v>
      </c>
      <c r="AB2" s="4" t="e">
        <f>+VLOOKUP(A2,ESTANDAR!$A$2:$K$645,11,0)</f>
        <v>#N/A</v>
      </c>
      <c r="AC2" s="4" t="e">
        <f>IF(AND('FORMATO DIL'!U12&gt;0,'FORMATO DIL'!V12&gt;0),"Do: "&amp;F2&amp;V2&amp;"  VolTotal: "&amp;'FORMATO DIL'!U12&amp;"mL"&amp;" a "&amp;'FORMATO DIL'!V12&amp;"mL/h",IF('FORMATO DIL'!U12&gt;0,"Do: "&amp;F2&amp;V2&amp;"  VolTotal: "&amp;'FORMATO DIL'!U12&amp;"mL","Do: "&amp;F2&amp;V2&amp;"  VolDo: "&amp;G2&amp;"mL"))</f>
        <v>#N/A</v>
      </c>
      <c r="AD2" s="4" t="e">
        <f>IF(OR('FORMATO DIL'!$A$1="MN_HOSPITAL MEISSEN/UCI NEO",'FORMATO DIL'!$A$1="MP_HOSPITAL MEISSEN/PED",'FORMATO DIL'!$A$1="MA_HOSPITAL MEISSEN/UCI ADULTO"),AC2,IF(AND('FORMATO DIL'!$V$9&lt;&gt;"",'FORMATO DIL'!U12&lt;&gt;""),"Do: "&amp;'FR PD 001 V1'!J6&amp;"mg   VolDo: "&amp;'FORMATO DIL'!U12&amp;"mL",IF(AND('FORMATO DIL'!$U$9&lt;&gt;"",'FORMATO DIL'!U12&lt;&gt;""),"Do: "&amp;'FR PD 001 V1'!J6&amp;"mg   VolDo: "&amp;'DATOS ETIQ'!G2&amp;"mL  "&amp;"VolTotal:  "&amp;'FORMATO DIL'!U12&amp;"mL",IF('DATOS ETIQ'!P2=1,"Do: "&amp;'DATOS ETIQ'!F2&amp;'DATOS ETIQ'!V2&amp;"   VolDo: "&amp;'DATOS ETIQ'!G2&amp;"mL","Dilución 1/"&amp;'DATOS ETIQ'!P2&amp;"  "&amp;'DATOS ETIQ'!E2&amp;'DATOS ETIQ'!V2&amp;"/mL   Do: "&amp;'DATOS ETIQ'!F2&amp;'DATOS ETIQ'!V2&amp;"   VolDo: "&amp;'DATOS ETIQ'!G2&amp;"mL"))))</f>
        <v>#N/A</v>
      </c>
    </row>
    <row r="3" spans="1:30">
      <c r="A3" s="175">
        <f>'FR PD 001 V1'!G7</f>
        <v>0</v>
      </c>
      <c r="B3" s="175" t="e">
        <f>VLOOKUP(A3,ESTANDAR!A:B,2,0)</f>
        <v>#N/A</v>
      </c>
      <c r="C3" s="175" t="e">
        <f>VLOOKUP(A3,ESTANDAR!A:D,4,0)</f>
        <v>#N/A</v>
      </c>
      <c r="D3" s="184" t="e">
        <f>IF('FORMATO DIL'!B$6="NEO+PED",VLOOKUP(A3,ESTANDAR!A:G,6,0),VLOOKUP(A3,ESTANDAR!A:G,7,0))</f>
        <v>#N/A</v>
      </c>
      <c r="E3" s="175" t="str">
        <f>'FR PD 001 V1'!L7</f>
        <v>ERROR</v>
      </c>
      <c r="F3" s="175">
        <f>'FR PD 001 V1'!J7</f>
        <v>0</v>
      </c>
      <c r="G3" s="175">
        <f>ROUND('FR PD 001 V1'!M7,2)</f>
        <v>0</v>
      </c>
      <c r="H3" s="178" t="e">
        <f ca="1">'FR PD 001 V1'!P7</f>
        <v>#N/A</v>
      </c>
      <c r="I3" s="175" t="str">
        <f>'FR PD 001 V1'!O7</f>
        <v/>
      </c>
      <c r="J3" s="175" t="str">
        <f>LEFT('FR PD 001 V1'!B7,30)</f>
        <v/>
      </c>
      <c r="K3" s="175">
        <f>'FR PD 001 V1'!C7</f>
        <v>0</v>
      </c>
      <c r="L3" s="175" t="str">
        <f>'FORMATO DIL'!B$7</f>
        <v>JGARCIA</v>
      </c>
      <c r="M3" s="175" t="str">
        <f>'FORMATO DIL'!B$8</f>
        <v>ADELTORO</v>
      </c>
      <c r="N3" s="175" t="str">
        <f>'FORMATO DIL'!B$2</f>
        <v>C.JPC/SEXTO NTE/SCOOP</v>
      </c>
      <c r="O3" s="175" t="str">
        <f>'FR PD 001 V1'!E7</f>
        <v>NA</v>
      </c>
      <c r="P3" s="181" t="e">
        <f t="shared" si="0"/>
        <v>#N/A</v>
      </c>
      <c r="Q3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ADULTO"),AA3,IF(LEFT(R3,3)="INF",Y3,IF(OR(B3="INSULINA NPH",B3="INSULINA CRISTALINA",B3="PENICILINA CRIST."),B3&amp;" "&amp;C3&amp;" "&amp;D3&amp;"U.I./mL",B3&amp;" "&amp;C3&amp;" "&amp;D3&amp;"mg/mL")))</f>
        <v>#N/A</v>
      </c>
      <c r="R3" s="4">
        <f>IF(OR('FR PD 001 V1'!S7="JER 1mL",'FR PD 001 V1'!S7="JER 3mL",'FR PD 001 V1'!S7="JER 5mL",'FR PD 001 V1'!S7="JER 10mL",'FR PD 001 V1'!S7="JER 20mL",'FR PD 001 V1'!S7="JER 50mL"),"JERINGA",'FR PD 001 V1'!S7)</f>
        <v>0</v>
      </c>
      <c r="S3" s="4" t="e">
        <f>IF(OR('FORMATO DIL'!$A$1="MN_HOSPITAL MEISSEN/UCI NEO",'FORMATO DIL'!$A$1="MP_HOSPITAL MEISSEN/PED",'FORMATO DIL'!$A$1="MA_HOSPITAL MEISSEN/UCI ADULTO"),'FORMATO DIL'!O13,IF(VLOOKUP(A3,ESTANDAR!$A$2:$O$682,15,0)=0,"      -------",VLOOKUP(A3,ESTANDAR!$A$2:$O$682,15,0)))</f>
        <v>#N/A</v>
      </c>
      <c r="T3" s="4" t="e">
        <f t="shared" ref="T3:T45" ca="1" si="1">CONCATENATE(DAY(H3),"/",MONTH(H3),"/",YEAR(H3))</f>
        <v>#N/A</v>
      </c>
      <c r="U3" s="4" t="e">
        <f>IF(AND('FORMATO DIL'!U13&gt;0,'FORMATO DIL'!V13&gt;0),"Do: "&amp;F3&amp;V3&amp;"  VolTotal: "&amp;'FORMATO DIL'!U13&amp;"mL"&amp;" a "&amp;'FORMATO DIL'!V13&amp;"mL/h","Do: "&amp;F3&amp;V3&amp;"  VolDo: "&amp;G3&amp;"mL")</f>
        <v>#N/A</v>
      </c>
      <c r="V3" s="4" t="e">
        <f t="shared" ref="V3:V45" si="2">IF(OR(B3="GONADOTROPINA CORIONICA",B3="HEPARINA",B3="INSULINA CRISTALINA",B3="INSULINA NPH",B3="PENICILINA CRIST.",B3="POLIMIXINA B"),"U.I.","mg")</f>
        <v>#N/A</v>
      </c>
      <c r="W3" s="4" t="e">
        <f>"Conc:  "&amp;IF('FORMATO DIL'!L13&gt;0,IF(OR(B3="GONADOTROPINA CORIONICA",B3="HEPARINA",B3="INSULINA CRISTALINA",B3="INSULINA NPH",B3="PENICILINA CRIST.",B3="POLIMIXINA B"),'FORMATO DIL'!L13&amp;"U.I/mL",'FORMATO DIL'!L13&amp;"mg/mL"),'DATOS ETIQ'!C3)</f>
        <v>#N/A</v>
      </c>
      <c r="X3" s="4" t="e">
        <f>IF(OR('FORMATO DIL'!U13&gt;0,'FORMATO DIL'!V13&gt;0),"  VOL TOTAL:  "&amp;'FORMATO DIL'!U13&amp;"mL"&amp;" a "&amp;'FORMATO DIL'!V13&amp;"mL/h",ROUND((F3/E3),1))</f>
        <v>#VALUE!</v>
      </c>
      <c r="Y3" s="4" t="e">
        <f>B3&amp;" INF SSN 0.9% "&amp;'FR PD 001 V1'!N7</f>
        <v>#N/A</v>
      </c>
      <c r="Z3" s="4" t="str">
        <f>"ID :"&amp;K3&amp;"   F. Nac:  "&amp;UPPER(TEXT('FORMATO DIL'!F13,"ddmmmyy"))</f>
        <v>ID :0   F. Nac:  00ENE00</v>
      </c>
      <c r="AA3" s="4" t="e">
        <f>IF('FORMATO DIL'!L13&lt;&gt;"",IF(OR(B3="INSULINA NPH",B3="INSULINA CRISTALINA",B3="PENICILINA CRIST."),B3&amp;" "&amp;C3&amp;" "&amp;'FORMATO DIL'!L13&amp;"U.I./mL",B3&amp;" "&amp;C3&amp;" "&amp;'FORMATO DIL'!L13&amp;"mg/mL"),IF(OR(B3="INSULINA NPH",B3="INSULINA CRISTALINA",B3="PENICILINA CRIST."),B3&amp;" "&amp;C3&amp;" "&amp;D3&amp;"U.I./mL",B3&amp;" "&amp;C3&amp;" "&amp;D3&amp;"mg/mL"))</f>
        <v>#N/A</v>
      </c>
      <c r="AB3" s="4" t="e">
        <f>+VLOOKUP(A3,ESTANDAR!$A$2:$K$645,11,0)</f>
        <v>#N/A</v>
      </c>
      <c r="AC3" s="4" t="e">
        <f>IF(AND('FORMATO DIL'!U13&gt;0,'FORMATO DIL'!V13&gt;0),"Do: "&amp;F3&amp;V3&amp;"  VolTotal: "&amp;'FORMATO DIL'!U13&amp;"mL"&amp;" a "&amp;'FORMATO DIL'!V13&amp;"mL/h",IF('FORMATO DIL'!U13&gt;0,"Do: "&amp;F3&amp;V3&amp;"  VolTotal: "&amp;'FORMATO DIL'!U13&amp;"mL","Do: "&amp;F3&amp;V3&amp;"  VolDo: "&amp;G3&amp;"mL"))</f>
        <v>#N/A</v>
      </c>
      <c r="AD3" s="4" t="e">
        <f>IF(OR('FORMATO DIL'!$A$1="MN_HOSPITAL MEISSEN/UCI NEO",'FORMATO DIL'!$A$1="MP_HOSPITAL MEISSEN/PED",'FORMATO DIL'!$A$1="MA_HOSPITAL MEISSEN/UCI ADULTO"),AC3,IF(AND('FORMATO DIL'!$V$9&lt;&gt;"",'FORMATO DIL'!U13&lt;&gt;""),"Do: "&amp;'FR PD 001 V1'!J7&amp;"mg   VolDo: "&amp;'FORMATO DIL'!U13&amp;"mL",IF(AND('FORMATO DIL'!$U$9&lt;&gt;"",'FORMATO DIL'!U13&lt;&gt;""),"Do: "&amp;'FR PD 001 V1'!J7&amp;"mg   VolDo: "&amp;'DATOS ETIQ'!G3&amp;"mL  "&amp;"VolTotal:  "&amp;'FORMATO DIL'!U13&amp;"mL",IF('DATOS ETIQ'!P3=1,"Do: "&amp;'DATOS ETIQ'!F3&amp;'DATOS ETIQ'!V3&amp;"   VolDo: "&amp;'DATOS ETIQ'!G3&amp;"mL","Dilución 1/"&amp;'DATOS ETIQ'!P3&amp;"  "&amp;'DATOS ETIQ'!E3&amp;'DATOS ETIQ'!V3&amp;"/mL   Do: "&amp;'DATOS ETIQ'!F3&amp;'DATOS ETIQ'!V3&amp;"   VolDo: "&amp;'DATOS ETIQ'!G3&amp;"mL"))))</f>
        <v>#N/A</v>
      </c>
    </row>
    <row r="4" spans="1:30">
      <c r="A4" s="175">
        <f>'FR PD 001 V1'!G8</f>
        <v>0</v>
      </c>
      <c r="B4" s="175" t="e">
        <f>VLOOKUP(A4,ESTANDAR!A:B,2,0)</f>
        <v>#N/A</v>
      </c>
      <c r="C4" s="175" t="e">
        <f>VLOOKUP(A4,ESTANDAR!A:D,4,0)</f>
        <v>#N/A</v>
      </c>
      <c r="D4" s="184" t="e">
        <f>IF('FORMATO DIL'!B$6="NEO+PED",VLOOKUP(A4,ESTANDAR!A:G,6,0),VLOOKUP(A4,ESTANDAR!A:G,7,0))</f>
        <v>#N/A</v>
      </c>
      <c r="E4" s="175" t="str">
        <f>'FR PD 001 V1'!L8</f>
        <v>ERROR</v>
      </c>
      <c r="F4" s="175">
        <f>'FR PD 001 V1'!J8</f>
        <v>0</v>
      </c>
      <c r="G4" s="175">
        <f>ROUND('FR PD 001 V1'!M8,2)</f>
        <v>0</v>
      </c>
      <c r="H4" s="178" t="e">
        <f ca="1">'FR PD 001 V1'!P8</f>
        <v>#N/A</v>
      </c>
      <c r="I4" s="175" t="str">
        <f>'FR PD 001 V1'!O8</f>
        <v/>
      </c>
      <c r="J4" s="175" t="str">
        <f>LEFT('FR PD 001 V1'!B8,30)</f>
        <v/>
      </c>
      <c r="K4" s="175">
        <f>'FR PD 001 V1'!C8</f>
        <v>0</v>
      </c>
      <c r="L4" s="175" t="str">
        <f>'FORMATO DIL'!B$7</f>
        <v>JGARCIA</v>
      </c>
      <c r="M4" s="175" t="str">
        <f>'FORMATO DIL'!B$8</f>
        <v>ADELTORO</v>
      </c>
      <c r="N4" s="175" t="str">
        <f>'FORMATO DIL'!B$2</f>
        <v>C.JPC/SEXTO NTE/SCOOP</v>
      </c>
      <c r="O4" s="175" t="str">
        <f>'FR PD 001 V1'!E8</f>
        <v>NA</v>
      </c>
      <c r="P4" s="181" t="e">
        <f t="shared" si="0"/>
        <v>#N/A</v>
      </c>
      <c r="Q4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ADULTO"),AA4,IF(LEFT(R4,3)="INF",Y4,IF(OR(B4="INSULINA NPH",B4="INSULINA CRISTALINA",B4="PENICILINA CRIST."),B4&amp;" "&amp;C4&amp;" "&amp;D4&amp;"U.I./mL",B4&amp;" "&amp;C4&amp;" "&amp;D4&amp;"mg/mL")))</f>
        <v>#N/A</v>
      </c>
      <c r="R4" s="4">
        <f>IF(OR('FR PD 001 V1'!S8="JER 1mL",'FR PD 001 V1'!S8="JER 3mL",'FR PD 001 V1'!S8="JER 5mL",'FR PD 001 V1'!S8="JER 10mL",'FR PD 001 V1'!S8="JER 20mL",'FR PD 001 V1'!S8="JER 50mL"),"JERINGA",'FR PD 001 V1'!S8)</f>
        <v>0</v>
      </c>
      <c r="S4" s="4" t="e">
        <f>IF(OR('FORMATO DIL'!$A$1="MN_HOSPITAL MEISSEN/UCI NEO",'FORMATO DIL'!$A$1="MP_HOSPITAL MEISSEN/PED",'FORMATO DIL'!$A$1="MA_HOSPITAL MEISSEN/UCI ADULTO"),'FORMATO DIL'!O14,IF(VLOOKUP(A4,ESTANDAR!$A$2:$O$682,15,0)=0,"      -------",VLOOKUP(A4,ESTANDAR!$A$2:$O$682,15,0)))</f>
        <v>#N/A</v>
      </c>
      <c r="T4" s="4" t="e">
        <f t="shared" ca="1" si="1"/>
        <v>#N/A</v>
      </c>
      <c r="U4" s="4" t="e">
        <f>IF(AND('FORMATO DIL'!U14&gt;0,'FORMATO DIL'!V14&gt;0),"Do: "&amp;F4&amp;V4&amp;"  VolTotal: "&amp;'FORMATO DIL'!U14&amp;"mL"&amp;" a "&amp;'FORMATO DIL'!V14&amp;"mL/h","Do: "&amp;F4&amp;V4&amp;"  VolDo: "&amp;G4&amp;"mL")</f>
        <v>#N/A</v>
      </c>
      <c r="V4" s="4" t="e">
        <f t="shared" si="2"/>
        <v>#N/A</v>
      </c>
      <c r="W4" s="4" t="e">
        <f>"Conc:  "&amp;IF('FORMATO DIL'!L14&gt;0,IF(OR(B4="GONADOTROPINA CORIONICA",B4="HEPARINA",B4="INSULINA CRISTALINA",B4="INSULINA NPH",B4="PENICILINA CRIST.",B4="POLIMIXINA B"),'FORMATO DIL'!L14&amp;"U.I/mL",'FORMATO DIL'!L14&amp;"mg/mL"),'DATOS ETIQ'!C4)</f>
        <v>#N/A</v>
      </c>
      <c r="X4" s="4" t="e">
        <f>IF(OR('FORMATO DIL'!U14&gt;0,'FORMATO DIL'!V14&gt;0),"  VOL TOTAL:  "&amp;'FORMATO DIL'!U14&amp;"mL"&amp;" a "&amp;'FORMATO DIL'!V14&amp;"mL/h",ROUND((F4/E4),1))</f>
        <v>#VALUE!</v>
      </c>
      <c r="Y4" s="4" t="e">
        <f>B4&amp;" INF SSN 0.9% "&amp;'FR PD 001 V1'!N8</f>
        <v>#N/A</v>
      </c>
      <c r="Z4" s="4" t="str">
        <f>"ID :"&amp;K4&amp;"   F. Nac:  "&amp;UPPER(TEXT('FORMATO DIL'!F14,"ddmmmyy"))</f>
        <v>ID :0   F. Nac:  00ENE00</v>
      </c>
      <c r="AA4" s="4" t="e">
        <f>IF('FORMATO DIL'!L14&lt;&gt;"",IF(OR(B4="INSULINA NPH",B4="INSULINA CRISTALINA",B4="PENICILINA CRIST."),B4&amp;" "&amp;C4&amp;" "&amp;'FORMATO DIL'!L14&amp;"U.I./mL",B4&amp;" "&amp;C4&amp;" "&amp;'FORMATO DIL'!L14&amp;"mg/mL"),IF(OR(B4="INSULINA NPH",B4="INSULINA CRISTALINA",B4="PENICILINA CRIST."),B4&amp;" "&amp;C4&amp;" "&amp;D4&amp;"U.I./mL",B4&amp;" "&amp;C4&amp;" "&amp;D4&amp;"mg/mL"))</f>
        <v>#N/A</v>
      </c>
      <c r="AB4" s="4" t="e">
        <f>+VLOOKUP(A4,ESTANDAR!$A$2:$K$645,11,0)</f>
        <v>#N/A</v>
      </c>
      <c r="AC4" s="4" t="e">
        <f>IF(AND('FORMATO DIL'!U14&gt;0,'FORMATO DIL'!V14&gt;0),"Do: "&amp;F4&amp;V4&amp;"  VolTotal: "&amp;'FORMATO DIL'!U14&amp;"mL"&amp;" a "&amp;'FORMATO DIL'!V14&amp;"mL/h",IF('FORMATO DIL'!U14&gt;0,"Do: "&amp;F4&amp;V4&amp;"  VolTotal: "&amp;'FORMATO DIL'!U14&amp;"mL","Do: "&amp;F4&amp;V4&amp;"  VolDo: "&amp;G4&amp;"mL"))</f>
        <v>#N/A</v>
      </c>
      <c r="AD4" s="4" t="e">
        <f>IF(OR('FORMATO DIL'!$A$1="MN_HOSPITAL MEISSEN/UCI NEO",'FORMATO DIL'!$A$1="MP_HOSPITAL MEISSEN/PED",'FORMATO DIL'!$A$1="MA_HOSPITAL MEISSEN/UCI ADULTO"),AC4,IF(AND('FORMATO DIL'!$V$9&lt;&gt;"",'FORMATO DIL'!U14&lt;&gt;""),"Do: "&amp;'FR PD 001 V1'!J8&amp;"mg   VolDo: "&amp;'FORMATO DIL'!U14&amp;"mL",IF(AND('FORMATO DIL'!$U$9&lt;&gt;"",'FORMATO DIL'!U14&lt;&gt;""),"Do: "&amp;'FR PD 001 V1'!J8&amp;"mg   VolDo: "&amp;'DATOS ETIQ'!G4&amp;"mL  "&amp;"VolTotal:  "&amp;'FORMATO DIL'!U14&amp;"mL",IF('DATOS ETIQ'!P4=1,"Do: "&amp;'DATOS ETIQ'!F4&amp;'DATOS ETIQ'!V4&amp;"   VolDo: "&amp;'DATOS ETIQ'!G4&amp;"mL","Dilución 1/"&amp;'DATOS ETIQ'!P4&amp;"  "&amp;'DATOS ETIQ'!E4&amp;'DATOS ETIQ'!V4&amp;"/mL   Do: "&amp;'DATOS ETIQ'!F4&amp;'DATOS ETIQ'!V4&amp;"   VolDo: "&amp;'DATOS ETIQ'!G4&amp;"mL"))))</f>
        <v>#N/A</v>
      </c>
    </row>
    <row r="5" spans="1:30">
      <c r="A5" s="175">
        <f>'FR PD 001 V1'!G9</f>
        <v>0</v>
      </c>
      <c r="B5" s="175" t="e">
        <f>VLOOKUP(A5,ESTANDAR!A:B,2,0)</f>
        <v>#N/A</v>
      </c>
      <c r="C5" s="175" t="e">
        <f>VLOOKUP(A5,ESTANDAR!A:D,4,0)</f>
        <v>#N/A</v>
      </c>
      <c r="D5" s="184" t="e">
        <f>IF('FORMATO DIL'!B$6="NEO+PED",VLOOKUP(A5,ESTANDAR!A:G,6,0),VLOOKUP(A5,ESTANDAR!A:G,7,0))</f>
        <v>#N/A</v>
      </c>
      <c r="E5" s="175" t="str">
        <f>'FR PD 001 V1'!L9</f>
        <v>ERROR</v>
      </c>
      <c r="F5" s="175">
        <f>'FR PD 001 V1'!J9</f>
        <v>0</v>
      </c>
      <c r="G5" s="175">
        <f>ROUND('FR PD 001 V1'!M9,2)</f>
        <v>0</v>
      </c>
      <c r="H5" s="178" t="e">
        <f ca="1">'FR PD 001 V1'!P9</f>
        <v>#N/A</v>
      </c>
      <c r="I5" s="175" t="str">
        <f>'FR PD 001 V1'!O9</f>
        <v/>
      </c>
      <c r="J5" s="175" t="str">
        <f>LEFT('FR PD 001 V1'!B9,30)</f>
        <v/>
      </c>
      <c r="K5" s="175">
        <f>'FR PD 001 V1'!C9</f>
        <v>0</v>
      </c>
      <c r="L5" s="175" t="str">
        <f>'FORMATO DIL'!B$7</f>
        <v>JGARCIA</v>
      </c>
      <c r="M5" s="175" t="str">
        <f>'FORMATO DIL'!B$8</f>
        <v>ADELTORO</v>
      </c>
      <c r="N5" s="175" t="str">
        <f>'FORMATO DIL'!B$2</f>
        <v>C.JPC/SEXTO NTE/SCOOP</v>
      </c>
      <c r="O5" s="175" t="str">
        <f>'FR PD 001 V1'!E9</f>
        <v>NA</v>
      </c>
      <c r="P5" s="181" t="e">
        <f t="shared" si="0"/>
        <v>#N/A</v>
      </c>
      <c r="Q5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ADULTO"),AA5,IF(LEFT(R5,3)="INF",Y5,IF(OR(B5="INSULINA NPH",B5="INSULINA CRISTALINA",B5="PENICILINA CRIST."),B5&amp;" "&amp;C5&amp;" "&amp;D5&amp;"U.I./mL",B5&amp;" "&amp;C5&amp;" "&amp;D5&amp;"mg/mL")))</f>
        <v>#N/A</v>
      </c>
      <c r="R5" s="4">
        <f>IF(OR('FR PD 001 V1'!S9="JER 1mL",'FR PD 001 V1'!S9="JER 3mL",'FR PD 001 V1'!S9="JER 5mL",'FR PD 001 V1'!S9="JER 10mL",'FR PD 001 V1'!S9="JER 20mL",'FR PD 001 V1'!S9="JER 50mL"),"JERINGA",'FR PD 001 V1'!S9)</f>
        <v>0</v>
      </c>
      <c r="S5" s="4" t="e">
        <f>IF(OR('FORMATO DIL'!$A$1="MN_HOSPITAL MEISSEN/UCI NEO",'FORMATO DIL'!$A$1="MP_HOSPITAL MEISSEN/PED",'FORMATO DIL'!$A$1="MA_HOSPITAL MEISSEN/UCI ADULTO"),'FORMATO DIL'!O15,IF(VLOOKUP(A5,ESTANDAR!$A$2:$O$682,15,0)=0,"      -------",VLOOKUP(A5,ESTANDAR!$A$2:$O$682,15,0)))</f>
        <v>#N/A</v>
      </c>
      <c r="T5" s="4" t="e">
        <f t="shared" ca="1" si="1"/>
        <v>#N/A</v>
      </c>
      <c r="U5" s="4" t="e">
        <f>IF(AND('FORMATO DIL'!U15&gt;0,'FORMATO DIL'!V15&gt;0),"Do: "&amp;F5&amp;V5&amp;"  VolTotal: "&amp;'FORMATO DIL'!U15&amp;"mL"&amp;" a "&amp;'FORMATO DIL'!V15&amp;"mL/h","Do: "&amp;F5&amp;V5&amp;"  VolDo: "&amp;G5&amp;"mL")</f>
        <v>#N/A</v>
      </c>
      <c r="V5" s="4" t="e">
        <f t="shared" si="2"/>
        <v>#N/A</v>
      </c>
      <c r="W5" s="4" t="e">
        <f>"Conc:  "&amp;IF('FORMATO DIL'!L15&gt;0,IF(OR(B5="GONADOTROPINA CORIONICA",B5="HEPARINA",B5="INSULINA CRISTALINA",B5="INSULINA NPH",B5="PENICILINA CRIST.",B5="POLIMIXINA B"),'FORMATO DIL'!L15&amp;"U.I/mL",'FORMATO DIL'!L15&amp;"mg/mL"),'DATOS ETIQ'!C5)</f>
        <v>#N/A</v>
      </c>
      <c r="X5" s="4" t="e">
        <f>IF(OR('FORMATO DIL'!U15&gt;0,'FORMATO DIL'!V15&gt;0),"  VOL TOTAL:  "&amp;'FORMATO DIL'!U15&amp;"mL"&amp;" a "&amp;'FORMATO DIL'!V15&amp;"mL/h",ROUND((F5/E5),1))</f>
        <v>#VALUE!</v>
      </c>
      <c r="Y5" s="4" t="e">
        <f>B5&amp;" INF SSN 0.9% "&amp;'FR PD 001 V1'!N9</f>
        <v>#N/A</v>
      </c>
      <c r="Z5" s="4" t="str">
        <f>"ID :"&amp;K5&amp;"   F. Nac:  "&amp;UPPER(TEXT('FORMATO DIL'!F15,"ddmmmyy"))</f>
        <v>ID :0   F. Nac:  00ENE00</v>
      </c>
      <c r="AA5" s="4" t="e">
        <f>IF('FORMATO DIL'!L15&lt;&gt;"",IF(OR(B5="INSULINA NPH",B5="INSULINA CRISTALINA",B5="PENICILINA CRIST."),B5&amp;" "&amp;C5&amp;" "&amp;'FORMATO DIL'!L15&amp;"U.I./mL",B5&amp;" "&amp;C5&amp;" "&amp;'FORMATO DIL'!L15&amp;"mg/mL"),IF(OR(B5="INSULINA NPH",B5="INSULINA CRISTALINA",B5="PENICILINA CRIST."),B5&amp;" "&amp;C5&amp;" "&amp;D5&amp;"U.I./mL",B5&amp;" "&amp;C5&amp;" "&amp;D5&amp;"mg/mL"))</f>
        <v>#N/A</v>
      </c>
      <c r="AB5" s="4" t="e">
        <f>+VLOOKUP(A5,ESTANDAR!$A$2:$K$645,11,0)</f>
        <v>#N/A</v>
      </c>
      <c r="AC5" s="4" t="e">
        <f>IF(AND('FORMATO DIL'!U15&gt;0,'FORMATO DIL'!V15&gt;0),"Do: "&amp;F5&amp;V5&amp;"  VolTotal: "&amp;'FORMATO DIL'!U15&amp;"mL"&amp;" a "&amp;'FORMATO DIL'!V15&amp;"mL/h",IF('FORMATO DIL'!U15&gt;0,"Do: "&amp;F5&amp;V5&amp;"  VolTotal: "&amp;'FORMATO DIL'!U15&amp;"mL","Do: "&amp;F5&amp;V5&amp;"  VolDo: "&amp;G5&amp;"mL"))</f>
        <v>#N/A</v>
      </c>
      <c r="AD5" s="4" t="e">
        <f>IF(OR('FORMATO DIL'!$A$1="MN_HOSPITAL MEISSEN/UCI NEO",'FORMATO DIL'!$A$1="MP_HOSPITAL MEISSEN/PED",'FORMATO DIL'!$A$1="MA_HOSPITAL MEISSEN/UCI ADULTO"),AC5,IF(AND('FORMATO DIL'!$V$9&lt;&gt;"",'FORMATO DIL'!U15&lt;&gt;""),"Do: "&amp;'FR PD 001 V1'!J9&amp;"mg   VolDo: "&amp;'FORMATO DIL'!U15&amp;"mL",IF(AND('FORMATO DIL'!$U$9&lt;&gt;"",'FORMATO DIL'!U15&lt;&gt;""),"Do: "&amp;'FR PD 001 V1'!J9&amp;"mg   VolDo: "&amp;'DATOS ETIQ'!G5&amp;"mL  "&amp;"VolTotal:  "&amp;'FORMATO DIL'!U15&amp;"mL",IF('DATOS ETIQ'!P5=1,"Do: "&amp;'DATOS ETIQ'!F5&amp;'DATOS ETIQ'!V5&amp;"   VolDo: "&amp;'DATOS ETIQ'!G5&amp;"mL","Dilución 1/"&amp;'DATOS ETIQ'!P5&amp;"  "&amp;'DATOS ETIQ'!E5&amp;'DATOS ETIQ'!V5&amp;"/mL   Do: "&amp;'DATOS ETIQ'!F5&amp;'DATOS ETIQ'!V5&amp;"   VolDo: "&amp;'DATOS ETIQ'!G5&amp;"mL"))))</f>
        <v>#N/A</v>
      </c>
    </row>
    <row r="6" spans="1:30">
      <c r="A6" s="175">
        <f>'FR PD 001 V1'!G10</f>
        <v>0</v>
      </c>
      <c r="B6" s="175" t="e">
        <f>VLOOKUP(A6,ESTANDAR!A:B,2,0)</f>
        <v>#N/A</v>
      </c>
      <c r="C6" s="175" t="e">
        <f>VLOOKUP(A6,ESTANDAR!A:D,4,0)</f>
        <v>#N/A</v>
      </c>
      <c r="D6" s="184" t="e">
        <f>IF('FORMATO DIL'!B$6="NEO+PED",VLOOKUP(A6,ESTANDAR!A:G,6,0),VLOOKUP(A6,ESTANDAR!A:G,7,0))</f>
        <v>#N/A</v>
      </c>
      <c r="E6" s="175" t="str">
        <f>'FR PD 001 V1'!L10</f>
        <v>ERROR</v>
      </c>
      <c r="F6" s="175">
        <f>'FR PD 001 V1'!J10</f>
        <v>0</v>
      </c>
      <c r="G6" s="175">
        <f>ROUND('FR PD 001 V1'!M10,2)</f>
        <v>0</v>
      </c>
      <c r="H6" s="178" t="e">
        <f ca="1">'FR PD 001 V1'!P10</f>
        <v>#N/A</v>
      </c>
      <c r="I6" s="175" t="str">
        <f>'FR PD 001 V1'!O10</f>
        <v/>
      </c>
      <c r="J6" s="175" t="str">
        <f>LEFT('FR PD 001 V1'!B10,30)</f>
        <v/>
      </c>
      <c r="K6" s="175">
        <f>'FR PD 001 V1'!C10</f>
        <v>0</v>
      </c>
      <c r="L6" s="175" t="str">
        <f>'FORMATO DIL'!B$7</f>
        <v>JGARCIA</v>
      </c>
      <c r="M6" s="175" t="str">
        <f>'FORMATO DIL'!B$8</f>
        <v>ADELTORO</v>
      </c>
      <c r="N6" s="175" t="str">
        <f>'FORMATO DIL'!B$2</f>
        <v>C.JPC/SEXTO NTE/SCOOP</v>
      </c>
      <c r="O6" s="175" t="str">
        <f>'FR PD 001 V1'!E10</f>
        <v>NA</v>
      </c>
      <c r="P6" s="181" t="e">
        <f t="shared" si="0"/>
        <v>#N/A</v>
      </c>
      <c r="Q6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ADULTO"),AA6,IF(LEFT(R6,3)="INF",Y6,IF(OR(B6="INSULINA NPH",B6="INSULINA CRISTALINA",B6="PENICILINA CRIST."),B6&amp;" "&amp;C6&amp;" "&amp;D6&amp;"U.I./mL",B6&amp;" "&amp;C6&amp;" "&amp;D6&amp;"mg/mL")))</f>
        <v>#N/A</v>
      </c>
      <c r="R6" s="4">
        <f>IF(OR('FR PD 001 V1'!S10="JER 1mL",'FR PD 001 V1'!S10="JER 3mL",'FR PD 001 V1'!S10="JER 5mL",'FR PD 001 V1'!S10="JER 10mL",'FR PD 001 V1'!S10="JER 20mL",'FR PD 001 V1'!S10="JER 50mL"),"JERINGA",'FR PD 001 V1'!S10)</f>
        <v>0</v>
      </c>
      <c r="S6" s="4" t="e">
        <f>IF(OR('FORMATO DIL'!$A$1="MN_HOSPITAL MEISSEN/UCI NEO",'FORMATO DIL'!$A$1="MP_HOSPITAL MEISSEN/PED",'FORMATO DIL'!$A$1="MA_HOSPITAL MEISSEN/UCI ADULTO"),'FORMATO DIL'!O16,IF(VLOOKUP(A6,ESTANDAR!$A$2:$O$682,15,0)=0,"      -------",VLOOKUP(A6,ESTANDAR!$A$2:$O$682,15,0)))</f>
        <v>#N/A</v>
      </c>
      <c r="T6" s="4" t="e">
        <f t="shared" ca="1" si="1"/>
        <v>#N/A</v>
      </c>
      <c r="U6" s="4" t="e">
        <f>IF(AND('FORMATO DIL'!U16&gt;0,'FORMATO DIL'!V16&gt;0),"Do: "&amp;F6&amp;V6&amp;"  VolTotal: "&amp;'FORMATO DIL'!U16&amp;"mL"&amp;" a "&amp;'FORMATO DIL'!V16&amp;"mL/h","Do: "&amp;F6&amp;V6&amp;"  VolDo: "&amp;G6&amp;"mL")</f>
        <v>#N/A</v>
      </c>
      <c r="V6" s="4" t="e">
        <f t="shared" si="2"/>
        <v>#N/A</v>
      </c>
      <c r="W6" s="4" t="e">
        <f>"Conc:  "&amp;IF('FORMATO DIL'!L16&gt;0,IF(OR(B6="GONADOTROPINA CORIONICA",B6="HEPARINA",B6="INSULINA CRISTALINA",B6="INSULINA NPH",B6="PENICILINA CRIST.",B6="POLIMIXINA B"),'FORMATO DIL'!L16&amp;"U.I/mL",'FORMATO DIL'!L16&amp;"mg/mL"),'DATOS ETIQ'!C6)</f>
        <v>#N/A</v>
      </c>
      <c r="X6" s="4" t="e">
        <f>IF(OR('FORMATO DIL'!U16&gt;0,'FORMATO DIL'!V16&gt;0),"  VOL TOTAL:  "&amp;'FORMATO DIL'!U16&amp;"mL"&amp;" a "&amp;'FORMATO DIL'!V16&amp;"mL/h",ROUND((F6/E6),1))</f>
        <v>#VALUE!</v>
      </c>
      <c r="Y6" s="4" t="e">
        <f>B6&amp;" INF SSN 0.9% "&amp;'FR PD 001 V1'!N10</f>
        <v>#N/A</v>
      </c>
      <c r="Z6" s="4" t="str">
        <f>"ID :"&amp;K6&amp;"   F. Nac:  "&amp;UPPER(TEXT('FORMATO DIL'!F16,"ddmmmyy"))</f>
        <v>ID :0   F. Nac:  00ENE00</v>
      </c>
      <c r="AA6" s="4" t="e">
        <f>IF('FORMATO DIL'!L16&lt;&gt;"",IF(OR(B6="INSULINA NPH",B6="INSULINA CRISTALINA",B6="PENICILINA CRIST."),B6&amp;" "&amp;C6&amp;" "&amp;'FORMATO DIL'!L16&amp;"U.I./mL",B6&amp;" "&amp;C6&amp;" "&amp;'FORMATO DIL'!L16&amp;"mg/mL"),IF(OR(B6="INSULINA NPH",B6="INSULINA CRISTALINA",B6="PENICILINA CRIST."),B6&amp;" "&amp;C6&amp;" "&amp;D6&amp;"U.I./mL",B6&amp;" "&amp;C6&amp;" "&amp;D6&amp;"mg/mL"))</f>
        <v>#N/A</v>
      </c>
      <c r="AB6" s="4" t="e">
        <f>+VLOOKUP(A6,ESTANDAR!$A$2:$K$645,11,0)</f>
        <v>#N/A</v>
      </c>
      <c r="AC6" s="4" t="e">
        <f>IF(AND('FORMATO DIL'!U16&gt;0,'FORMATO DIL'!V16&gt;0),"Do: "&amp;F6&amp;V6&amp;"  VolTotal: "&amp;'FORMATO DIL'!U16&amp;"mL"&amp;" a "&amp;'FORMATO DIL'!V16&amp;"mL/h",IF('FORMATO DIL'!U16&gt;0,"Do: "&amp;F6&amp;V6&amp;"  VolTotal: "&amp;'FORMATO DIL'!U16&amp;"mL","Do: "&amp;F6&amp;V6&amp;"  VolDo: "&amp;G6&amp;"mL"))</f>
        <v>#N/A</v>
      </c>
      <c r="AD6" s="4" t="e">
        <f>IF(OR('FORMATO DIL'!$A$1="MN_HOSPITAL MEISSEN/UCI NEO",'FORMATO DIL'!$A$1="MP_HOSPITAL MEISSEN/PED",'FORMATO DIL'!$A$1="MA_HOSPITAL MEISSEN/UCI ADULTO"),AC6,IF(AND('FORMATO DIL'!$V$9&lt;&gt;"",'FORMATO DIL'!U16&lt;&gt;""),"Do: "&amp;'FR PD 001 V1'!J10&amp;"mg   VolDo: "&amp;'FORMATO DIL'!U16&amp;"mL",IF(AND('FORMATO DIL'!$U$9&lt;&gt;"",'FORMATO DIL'!U16&lt;&gt;""),"Do: "&amp;'FR PD 001 V1'!J10&amp;"mg   VolDo: "&amp;'DATOS ETIQ'!G6&amp;"mL  "&amp;"VolTotal:  "&amp;'FORMATO DIL'!U16&amp;"mL",IF('DATOS ETIQ'!P6=1,"Do: "&amp;'DATOS ETIQ'!F6&amp;'DATOS ETIQ'!V6&amp;"   VolDo: "&amp;'DATOS ETIQ'!G6&amp;"mL","Dilución 1/"&amp;'DATOS ETIQ'!P6&amp;"  "&amp;'DATOS ETIQ'!E6&amp;'DATOS ETIQ'!V6&amp;"/mL   Do: "&amp;'DATOS ETIQ'!F6&amp;'DATOS ETIQ'!V6&amp;"   VolDo: "&amp;'DATOS ETIQ'!G6&amp;"mL"))))</f>
        <v>#N/A</v>
      </c>
    </row>
    <row r="7" spans="1:30">
      <c r="A7" s="175">
        <f>'FR PD 001 V1'!G11</f>
        <v>0</v>
      </c>
      <c r="B7" s="175" t="e">
        <f>VLOOKUP(A7,ESTANDAR!A:B,2,0)</f>
        <v>#N/A</v>
      </c>
      <c r="C7" s="175" t="e">
        <f>VLOOKUP(A7,ESTANDAR!A:D,4,0)</f>
        <v>#N/A</v>
      </c>
      <c r="D7" s="184" t="e">
        <f>IF('FORMATO DIL'!B$6="NEO+PED",VLOOKUP(A7,ESTANDAR!A:G,6,0),VLOOKUP(A7,ESTANDAR!A:G,7,0))</f>
        <v>#N/A</v>
      </c>
      <c r="E7" s="175" t="str">
        <f>'FR PD 001 V1'!L11</f>
        <v>ERROR</v>
      </c>
      <c r="F7" s="175">
        <f>'FR PD 001 V1'!J11</f>
        <v>0</v>
      </c>
      <c r="G7" s="175">
        <f>ROUND('FR PD 001 V1'!M11,2)</f>
        <v>0</v>
      </c>
      <c r="H7" s="178" t="e">
        <f ca="1">'FR PD 001 V1'!P11</f>
        <v>#N/A</v>
      </c>
      <c r="I7" s="175" t="str">
        <f>'FR PD 001 V1'!O11</f>
        <v/>
      </c>
      <c r="J7" s="175" t="str">
        <f>LEFT('FR PD 001 V1'!B11,30)</f>
        <v/>
      </c>
      <c r="K7" s="175">
        <f>'FR PD 001 V1'!C11</f>
        <v>0</v>
      </c>
      <c r="L7" s="175" t="str">
        <f>'FORMATO DIL'!B$7</f>
        <v>JGARCIA</v>
      </c>
      <c r="M7" s="175" t="str">
        <f>'FORMATO DIL'!B$8</f>
        <v>ADELTORO</v>
      </c>
      <c r="N7" s="175" t="str">
        <f>'FORMATO DIL'!B$2</f>
        <v>C.JPC/SEXTO NTE/SCOOP</v>
      </c>
      <c r="O7" s="175" t="str">
        <f>'FR PD 001 V1'!E11</f>
        <v>NA</v>
      </c>
      <c r="P7" s="181" t="e">
        <f t="shared" si="0"/>
        <v>#N/A</v>
      </c>
      <c r="Q7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ADULTO"),AA7,IF(LEFT(R7,3)="INF",Y7,IF(OR(B7="INSULINA NPH",B7="INSULINA CRISTALINA",B7="PENICILINA CRIST."),B7&amp;" "&amp;C7&amp;" "&amp;D7&amp;"U.I./mL",B7&amp;" "&amp;C7&amp;" "&amp;D7&amp;"mg/mL")))</f>
        <v>#N/A</v>
      </c>
      <c r="R7" s="4">
        <f>IF(OR('FR PD 001 V1'!S11="JER 1mL",'FR PD 001 V1'!S11="JER 3mL",'FR PD 001 V1'!S11="JER 5mL",'FR PD 001 V1'!S11="JER 10mL",'FR PD 001 V1'!S11="JER 20mL",'FR PD 001 V1'!S11="JER 50mL"),"JERINGA",'FR PD 001 V1'!S11)</f>
        <v>0</v>
      </c>
      <c r="S7" s="4" t="e">
        <f>IF(OR('FORMATO DIL'!$A$1="MN_HOSPITAL MEISSEN/UCI NEO",'FORMATO DIL'!$A$1="MP_HOSPITAL MEISSEN/PED",'FORMATO DIL'!$A$1="MA_HOSPITAL MEISSEN/UCI ADULTO"),'FORMATO DIL'!O17,IF(VLOOKUP(A7,ESTANDAR!$A$2:$O$682,15,0)=0,"      -------",VLOOKUP(A7,ESTANDAR!$A$2:$O$682,15,0)))</f>
        <v>#N/A</v>
      </c>
      <c r="T7" s="4" t="e">
        <f t="shared" ca="1" si="1"/>
        <v>#N/A</v>
      </c>
      <c r="U7" s="4" t="e">
        <f>IF(AND('FORMATO DIL'!U17&gt;0,'FORMATO DIL'!V17&gt;0),"Do: "&amp;F7&amp;V7&amp;"  VolTotal: "&amp;'FORMATO DIL'!U17&amp;"mL"&amp;" a "&amp;'FORMATO DIL'!V17&amp;"mL/h","Do: "&amp;F7&amp;V7&amp;"  VolDo: "&amp;G7&amp;"mL")</f>
        <v>#N/A</v>
      </c>
      <c r="V7" s="4" t="e">
        <f t="shared" si="2"/>
        <v>#N/A</v>
      </c>
      <c r="W7" s="4" t="e">
        <f>"Conc:  "&amp;IF('FORMATO DIL'!L17&gt;0,IF(OR(B7="GONADOTROPINA CORIONICA",B7="HEPARINA",B7="INSULINA CRISTALINA",B7="INSULINA NPH",B7="PENICILINA CRIST.",B7="POLIMIXINA B"),'FORMATO DIL'!L17&amp;"U.I/mL",'FORMATO DIL'!L17&amp;"mg/mL"),'DATOS ETIQ'!C7)</f>
        <v>#N/A</v>
      </c>
      <c r="X7" s="4" t="e">
        <f>IF(OR('FORMATO DIL'!U17&gt;0,'FORMATO DIL'!V17&gt;0),"  VOL TOTAL:  "&amp;'FORMATO DIL'!U17&amp;"mL"&amp;" a "&amp;'FORMATO DIL'!V17&amp;"mL/h",ROUND((F7/E7),1))</f>
        <v>#VALUE!</v>
      </c>
      <c r="Y7" s="4" t="e">
        <f>B7&amp;" INF SSN 0.9% "&amp;'FR PD 001 V1'!N11</f>
        <v>#N/A</v>
      </c>
      <c r="Z7" s="4" t="str">
        <f>"ID :"&amp;K7&amp;"   F. Nac:  "&amp;UPPER(TEXT('FORMATO DIL'!F17,"ddmmmyy"))</f>
        <v>ID :0   F. Nac:  00ENE00</v>
      </c>
      <c r="AA7" s="4" t="e">
        <f>IF('FORMATO DIL'!L17&lt;&gt;"",IF(OR(B7="INSULINA NPH",B7="INSULINA CRISTALINA",B7="PENICILINA CRIST."),B7&amp;" "&amp;C7&amp;" "&amp;'FORMATO DIL'!L17&amp;"U.I./mL",B7&amp;" "&amp;C7&amp;" "&amp;'FORMATO DIL'!L17&amp;"mg/mL"),IF(OR(B7="INSULINA NPH",B7="INSULINA CRISTALINA",B7="PENICILINA CRIST."),B7&amp;" "&amp;C7&amp;" "&amp;D7&amp;"U.I./mL",B7&amp;" "&amp;C7&amp;" "&amp;D7&amp;"mg/mL"))</f>
        <v>#N/A</v>
      </c>
      <c r="AB7" s="4" t="e">
        <f>+VLOOKUP(A7,ESTANDAR!$A$2:$K$645,11,0)</f>
        <v>#N/A</v>
      </c>
      <c r="AC7" s="4" t="e">
        <f>IF(AND('FORMATO DIL'!U17&gt;0,'FORMATO DIL'!V17&gt;0),"Do: "&amp;F7&amp;V7&amp;"  VolTotal: "&amp;'FORMATO DIL'!U17&amp;"mL"&amp;" a "&amp;'FORMATO DIL'!V17&amp;"mL/h",IF('FORMATO DIL'!U17&gt;0,"Do: "&amp;F7&amp;V7&amp;"  VolTotal: "&amp;'FORMATO DIL'!U17&amp;"mL","Do: "&amp;F7&amp;V7&amp;"  VolDo: "&amp;G7&amp;"mL"))</f>
        <v>#N/A</v>
      </c>
      <c r="AD7" s="4" t="e">
        <f>IF(OR('FORMATO DIL'!$A$1="MN_HOSPITAL MEISSEN/UCI NEO",'FORMATO DIL'!$A$1="MP_HOSPITAL MEISSEN/PED",'FORMATO DIL'!$A$1="MA_HOSPITAL MEISSEN/UCI ADULTO"),AC7,IF(AND('FORMATO DIL'!$V$9&lt;&gt;"",'FORMATO DIL'!U17&lt;&gt;""),"Do: "&amp;'FR PD 001 V1'!J11&amp;"mg   VolDo: "&amp;'FORMATO DIL'!U17&amp;"mL",IF(AND('FORMATO DIL'!$U$9&lt;&gt;"",'FORMATO DIL'!U17&lt;&gt;""),"Do: "&amp;'FR PD 001 V1'!J11&amp;"mg   VolDo: "&amp;'DATOS ETIQ'!G7&amp;"mL  "&amp;"VolTotal:  "&amp;'FORMATO DIL'!U17&amp;"mL",IF('DATOS ETIQ'!P7=1,"Do: "&amp;'DATOS ETIQ'!F7&amp;'DATOS ETIQ'!V7&amp;"   VolDo: "&amp;'DATOS ETIQ'!G7&amp;"mL","Dilución 1/"&amp;'DATOS ETIQ'!P7&amp;"  "&amp;'DATOS ETIQ'!E7&amp;'DATOS ETIQ'!V7&amp;"/mL   Do: "&amp;'DATOS ETIQ'!F7&amp;'DATOS ETIQ'!V7&amp;"   VolDo: "&amp;'DATOS ETIQ'!G7&amp;"mL"))))</f>
        <v>#N/A</v>
      </c>
    </row>
    <row r="8" spans="1:30">
      <c r="A8" s="175">
        <f>'FR PD 001 V1'!G12</f>
        <v>0</v>
      </c>
      <c r="B8" s="175" t="e">
        <f>VLOOKUP(A8,ESTANDAR!A:B,2,0)</f>
        <v>#N/A</v>
      </c>
      <c r="C8" s="175" t="e">
        <f>VLOOKUP(A8,ESTANDAR!A:D,4,0)</f>
        <v>#N/A</v>
      </c>
      <c r="D8" s="184" t="e">
        <f>IF('FORMATO DIL'!B$6="NEO+PED",VLOOKUP(A8,ESTANDAR!A:G,6,0),VLOOKUP(A8,ESTANDAR!A:G,7,0))</f>
        <v>#N/A</v>
      </c>
      <c r="E8" s="175" t="str">
        <f>'FR PD 001 V1'!L12</f>
        <v>ERROR</v>
      </c>
      <c r="F8" s="175">
        <f>'FR PD 001 V1'!J12</f>
        <v>0</v>
      </c>
      <c r="G8" s="175">
        <f>ROUND('FR PD 001 V1'!M12,2)</f>
        <v>0</v>
      </c>
      <c r="H8" s="178" t="e">
        <f ca="1">'FR PD 001 V1'!P12</f>
        <v>#N/A</v>
      </c>
      <c r="I8" s="175" t="str">
        <f>'FR PD 001 V1'!O12</f>
        <v/>
      </c>
      <c r="J8" s="175" t="str">
        <f>LEFT('FR PD 001 V1'!B12,30)</f>
        <v/>
      </c>
      <c r="K8" s="175">
        <f>'FR PD 001 V1'!C12</f>
        <v>0</v>
      </c>
      <c r="L8" s="175" t="str">
        <f>'FORMATO DIL'!B$7</f>
        <v>JGARCIA</v>
      </c>
      <c r="M8" s="175" t="str">
        <f>'FORMATO DIL'!B$8</f>
        <v>ADELTORO</v>
      </c>
      <c r="N8" s="175" t="str">
        <f>'FORMATO DIL'!B$2</f>
        <v>C.JPC/SEXTO NTE/SCOOP</v>
      </c>
      <c r="O8" s="175" t="str">
        <f>'FR PD 001 V1'!E12</f>
        <v>NA</v>
      </c>
      <c r="P8" s="181" t="e">
        <f t="shared" si="0"/>
        <v>#N/A</v>
      </c>
      <c r="Q8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ADULTO"),AA8,IF(LEFT(R8,3)="INF",Y8,IF(OR(B8="INSULINA NPH",B8="INSULINA CRISTALINA",B8="PENICILINA CRIST."),B8&amp;" "&amp;C8&amp;" "&amp;D8&amp;"U.I./mL",B8&amp;" "&amp;C8&amp;" "&amp;D8&amp;"mg/mL")))</f>
        <v>#N/A</v>
      </c>
      <c r="R8" s="4">
        <f>IF(OR('FR PD 001 V1'!S12="JER 1mL",'FR PD 001 V1'!S12="JER 3mL",'FR PD 001 V1'!S12="JER 5mL",'FR PD 001 V1'!S12="JER 10mL",'FR PD 001 V1'!S12="JER 20mL",'FR PD 001 V1'!S12="JER 50mL"),"JERINGA",'FR PD 001 V1'!S12)</f>
        <v>0</v>
      </c>
      <c r="S8" s="4" t="e">
        <f>IF(OR('FORMATO DIL'!$A$1="MN_HOSPITAL MEISSEN/UCI NEO",'FORMATO DIL'!$A$1="MP_HOSPITAL MEISSEN/PED",'FORMATO DIL'!$A$1="MA_HOSPITAL MEISSEN/UCI ADULTO"),'FORMATO DIL'!O18,IF(VLOOKUP(A8,ESTANDAR!$A$2:$O$682,15,0)=0,"      -------",VLOOKUP(A8,ESTANDAR!$A$2:$O$682,15,0)))</f>
        <v>#N/A</v>
      </c>
      <c r="T8" s="4" t="e">
        <f t="shared" ca="1" si="1"/>
        <v>#N/A</v>
      </c>
      <c r="U8" s="4" t="e">
        <f>IF(AND('FORMATO DIL'!U18&gt;0,'FORMATO DIL'!V18&gt;0),"Do: "&amp;F8&amp;V8&amp;"  VolTotal: "&amp;'FORMATO DIL'!U18&amp;"mL"&amp;" a "&amp;'FORMATO DIL'!V18&amp;"mL/h","Do: "&amp;F8&amp;V8&amp;"  VolDo: "&amp;G8&amp;"mL")</f>
        <v>#N/A</v>
      </c>
      <c r="V8" s="4" t="e">
        <f t="shared" si="2"/>
        <v>#N/A</v>
      </c>
      <c r="W8" s="4" t="e">
        <f>"Conc:  "&amp;IF('FORMATO DIL'!L18&gt;0,IF(OR(B8="GONADOTROPINA CORIONICA",B8="HEPARINA",B8="INSULINA CRISTALINA",B8="INSULINA NPH",B8="PENICILINA CRIST.",B8="POLIMIXINA B"),'FORMATO DIL'!L18&amp;"U.I/mL",'FORMATO DIL'!L18&amp;"mg/mL"),'DATOS ETIQ'!C8)</f>
        <v>#N/A</v>
      </c>
      <c r="X8" s="4" t="e">
        <f>IF(OR('FORMATO DIL'!U18&gt;0,'FORMATO DIL'!V18&gt;0),"  VOL TOTAL:  "&amp;'FORMATO DIL'!U18&amp;"mL"&amp;" a "&amp;'FORMATO DIL'!V18&amp;"mL/h",ROUND((F8/E8),1))</f>
        <v>#VALUE!</v>
      </c>
      <c r="Y8" s="4" t="e">
        <f>B8&amp;" INF SSN 0.9% "&amp;'FR PD 001 V1'!N12</f>
        <v>#N/A</v>
      </c>
      <c r="Z8" s="4" t="str">
        <f>"ID :"&amp;K8&amp;"   F. Nac:  "&amp;UPPER(TEXT('FORMATO DIL'!F18,"ddmmmyy"))</f>
        <v>ID :0   F. Nac:  00ENE00</v>
      </c>
      <c r="AA8" s="4" t="e">
        <f>IF('FORMATO DIL'!L18&lt;&gt;"",IF(OR(B8="INSULINA NPH",B8="INSULINA CRISTALINA",B8="PENICILINA CRIST."),B8&amp;" "&amp;C8&amp;" "&amp;'FORMATO DIL'!L18&amp;"U.I./mL",B8&amp;" "&amp;C8&amp;" "&amp;'FORMATO DIL'!L18&amp;"mg/mL"),IF(OR(B8="INSULINA NPH",B8="INSULINA CRISTALINA",B8="PENICILINA CRIST."),B8&amp;" "&amp;C8&amp;" "&amp;D8&amp;"U.I./mL",B8&amp;" "&amp;C8&amp;" "&amp;D8&amp;"mg/mL"))</f>
        <v>#N/A</v>
      </c>
      <c r="AB8" s="4" t="e">
        <f>+VLOOKUP(A8,ESTANDAR!$A$2:$K$645,11,0)</f>
        <v>#N/A</v>
      </c>
      <c r="AC8" s="4" t="e">
        <f>IF(AND('FORMATO DIL'!U18&gt;0,'FORMATO DIL'!V18&gt;0),"Do: "&amp;F8&amp;V8&amp;"  VolTotal: "&amp;'FORMATO DIL'!U18&amp;"mL"&amp;" a "&amp;'FORMATO DIL'!V18&amp;"mL/h",IF('FORMATO DIL'!U18&gt;0,"Do: "&amp;F8&amp;V8&amp;"  VolTotal: "&amp;'FORMATO DIL'!U18&amp;"mL","Do: "&amp;F8&amp;V8&amp;"  VolDo: "&amp;G8&amp;"mL"))</f>
        <v>#N/A</v>
      </c>
      <c r="AD8" s="4" t="e">
        <f>IF(OR('FORMATO DIL'!$A$1="MN_HOSPITAL MEISSEN/UCI NEO",'FORMATO DIL'!$A$1="MP_HOSPITAL MEISSEN/PED",'FORMATO DIL'!$A$1="MA_HOSPITAL MEISSEN/UCI ADULTO"),AC8,IF(AND('FORMATO DIL'!$V$9&lt;&gt;"",'FORMATO DIL'!U18&lt;&gt;""),"Do: "&amp;'FR PD 001 V1'!J12&amp;"mg   VolDo: "&amp;'FORMATO DIL'!U18&amp;"mL",IF(AND('FORMATO DIL'!$U$9&lt;&gt;"",'FORMATO DIL'!U18&lt;&gt;""),"Do: "&amp;'FR PD 001 V1'!J12&amp;"mg   VolDo: "&amp;'DATOS ETIQ'!G8&amp;"mL  "&amp;"VolTotal:  "&amp;'FORMATO DIL'!U18&amp;"mL",IF('DATOS ETIQ'!P8=1,"Do: "&amp;'DATOS ETIQ'!F8&amp;'DATOS ETIQ'!V8&amp;"   VolDo: "&amp;'DATOS ETIQ'!G8&amp;"mL","Dilución 1/"&amp;'DATOS ETIQ'!P8&amp;"  "&amp;'DATOS ETIQ'!E8&amp;'DATOS ETIQ'!V8&amp;"/mL   Do: "&amp;'DATOS ETIQ'!F8&amp;'DATOS ETIQ'!V8&amp;"   VolDo: "&amp;'DATOS ETIQ'!G8&amp;"mL"))))</f>
        <v>#N/A</v>
      </c>
    </row>
    <row r="9" spans="1:30">
      <c r="A9" s="175">
        <f>'FR PD 001 V1'!G13</f>
        <v>0</v>
      </c>
      <c r="B9" s="175" t="e">
        <f>VLOOKUP(A9,ESTANDAR!A:B,2,0)</f>
        <v>#N/A</v>
      </c>
      <c r="C9" s="175" t="e">
        <f>VLOOKUP(A9,ESTANDAR!A:D,4,0)</f>
        <v>#N/A</v>
      </c>
      <c r="D9" s="184" t="e">
        <f>IF('FORMATO DIL'!B$6="NEO+PED",VLOOKUP(A9,ESTANDAR!A:G,6,0),VLOOKUP(A9,ESTANDAR!A:G,7,0))</f>
        <v>#N/A</v>
      </c>
      <c r="E9" s="175" t="str">
        <f>'FR PD 001 V1'!L13</f>
        <v>ERROR</v>
      </c>
      <c r="F9" s="175">
        <f>'FR PD 001 V1'!J13</f>
        <v>0</v>
      </c>
      <c r="G9" s="175">
        <f>ROUND('FR PD 001 V1'!M13,2)</f>
        <v>0</v>
      </c>
      <c r="H9" s="178" t="e">
        <f ca="1">'FR PD 001 V1'!P13</f>
        <v>#N/A</v>
      </c>
      <c r="I9" s="175" t="str">
        <f>'FR PD 001 V1'!O13</f>
        <v/>
      </c>
      <c r="J9" s="175" t="str">
        <f>LEFT('FR PD 001 V1'!B13,30)</f>
        <v/>
      </c>
      <c r="K9" s="175">
        <f>'FR PD 001 V1'!C13</f>
        <v>0</v>
      </c>
      <c r="L9" s="175" t="str">
        <f>'FORMATO DIL'!B$7</f>
        <v>JGARCIA</v>
      </c>
      <c r="M9" s="175" t="str">
        <f>'FORMATO DIL'!B$8</f>
        <v>ADELTORO</v>
      </c>
      <c r="N9" s="175" t="str">
        <f>'FORMATO DIL'!B$2</f>
        <v>C.JPC/SEXTO NTE/SCOOP</v>
      </c>
      <c r="O9" s="175" t="str">
        <f>'FR PD 001 V1'!E13</f>
        <v>NA</v>
      </c>
      <c r="P9" s="181" t="e">
        <f t="shared" si="0"/>
        <v>#N/A</v>
      </c>
      <c r="Q9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ADULTO"),AA9,IF(LEFT(R9,3)="INF",Y9,IF(OR(B9="INSULINA NPH",B9="INSULINA CRISTALINA",B9="PENICILINA CRIST."),B9&amp;" "&amp;C9&amp;" "&amp;D9&amp;"U.I./mL",B9&amp;" "&amp;C9&amp;" "&amp;D9&amp;"mg/mL")))</f>
        <v>#N/A</v>
      </c>
      <c r="R9" s="4">
        <f>IF(OR('FR PD 001 V1'!S13="JER 1mL",'FR PD 001 V1'!S13="JER 3mL",'FR PD 001 V1'!S13="JER 5mL",'FR PD 001 V1'!S13="JER 10mL",'FR PD 001 V1'!S13="JER 20mL",'FR PD 001 V1'!S13="JER 50mL"),"JERINGA",'FR PD 001 V1'!S13)</f>
        <v>0</v>
      </c>
      <c r="S9" s="4" t="e">
        <f>IF(OR('FORMATO DIL'!$A$1="MN_HOSPITAL MEISSEN/UCI NEO",'FORMATO DIL'!$A$1="MP_HOSPITAL MEISSEN/PED",'FORMATO DIL'!$A$1="MA_HOSPITAL MEISSEN/UCI ADULTO"),'FORMATO DIL'!O19,IF(VLOOKUP(A9,ESTANDAR!$A$2:$O$682,15,0)=0,"      -------",VLOOKUP(A9,ESTANDAR!$A$2:$O$682,15,0)))</f>
        <v>#N/A</v>
      </c>
      <c r="T9" s="4" t="e">
        <f t="shared" ca="1" si="1"/>
        <v>#N/A</v>
      </c>
      <c r="U9" s="4" t="e">
        <f>IF(AND('FORMATO DIL'!U19&gt;0,'FORMATO DIL'!V19&gt;0),"Do: "&amp;F9&amp;V9&amp;"  VolTotal: "&amp;'FORMATO DIL'!U19&amp;"mL"&amp;" a "&amp;'FORMATO DIL'!V19&amp;"mL/h","Do: "&amp;F9&amp;V9&amp;"  VolDo: "&amp;G9&amp;"mL")</f>
        <v>#N/A</v>
      </c>
      <c r="V9" s="4" t="e">
        <f t="shared" si="2"/>
        <v>#N/A</v>
      </c>
      <c r="W9" s="4" t="e">
        <f>"Conc:  "&amp;IF('FORMATO DIL'!L19&gt;0,IF(OR(B9="GONADOTROPINA CORIONICA",B9="HEPARINA",B9="INSULINA CRISTALINA",B9="INSULINA NPH",B9="PENICILINA CRIST.",B9="POLIMIXINA B"),'FORMATO DIL'!L19&amp;"U.I/mL",'FORMATO DIL'!L19&amp;"mg/mL"),'DATOS ETIQ'!C9)</f>
        <v>#N/A</v>
      </c>
      <c r="X9" s="4" t="e">
        <f>IF(OR('FORMATO DIL'!U19&gt;0,'FORMATO DIL'!V19&gt;0),"  VOL TOTAL:  "&amp;'FORMATO DIL'!U19&amp;"mL"&amp;" a "&amp;'FORMATO DIL'!V19&amp;"mL/h",ROUND((F9/E9),1))</f>
        <v>#VALUE!</v>
      </c>
      <c r="Y9" s="4" t="e">
        <f>B9&amp;" INF SSN 0.9% "&amp;'FR PD 001 V1'!N13</f>
        <v>#N/A</v>
      </c>
      <c r="Z9" s="4" t="str">
        <f>"ID :"&amp;K9&amp;"   F. Nac:  "&amp;UPPER(TEXT('FORMATO DIL'!F19,"ddmmmyy"))</f>
        <v>ID :0   F. Nac:  00ENE00</v>
      </c>
      <c r="AA9" s="4" t="e">
        <f>IF('FORMATO DIL'!L19&lt;&gt;"",IF(OR(B9="INSULINA NPH",B9="INSULINA CRISTALINA",B9="PENICILINA CRIST."),B9&amp;" "&amp;C9&amp;" "&amp;'FORMATO DIL'!L19&amp;"U.I./mL",B9&amp;" "&amp;C9&amp;" "&amp;'FORMATO DIL'!L19&amp;"mg/mL"),IF(OR(B9="INSULINA NPH",B9="INSULINA CRISTALINA",B9="PENICILINA CRIST."),B9&amp;" "&amp;C9&amp;" "&amp;D9&amp;"U.I./mL",B9&amp;" "&amp;C9&amp;" "&amp;D9&amp;"mg/mL"))</f>
        <v>#N/A</v>
      </c>
      <c r="AB9" s="4" t="e">
        <f>+VLOOKUP(A9,ESTANDAR!$A$2:$K$645,11,0)</f>
        <v>#N/A</v>
      </c>
      <c r="AC9" s="4" t="e">
        <f>IF(AND('FORMATO DIL'!U19&gt;0,'FORMATO DIL'!V19&gt;0),"Do: "&amp;F9&amp;V9&amp;"  VolTotal: "&amp;'FORMATO DIL'!U19&amp;"mL"&amp;" a "&amp;'FORMATO DIL'!V19&amp;"mL/h",IF('FORMATO DIL'!U19&gt;0,"Do: "&amp;F9&amp;V9&amp;"  VolTotal: "&amp;'FORMATO DIL'!U19&amp;"mL","Do: "&amp;F9&amp;V9&amp;"  VolDo: "&amp;G9&amp;"mL"))</f>
        <v>#N/A</v>
      </c>
      <c r="AD9" s="4" t="e">
        <f>IF(OR('FORMATO DIL'!$A$1="MN_HOSPITAL MEISSEN/UCI NEO",'FORMATO DIL'!$A$1="MP_HOSPITAL MEISSEN/PED",'FORMATO DIL'!$A$1="MA_HOSPITAL MEISSEN/UCI ADULTO"),AC9,IF(AND('FORMATO DIL'!$V$9&lt;&gt;"",'FORMATO DIL'!U19&lt;&gt;""),"Do: "&amp;'FR PD 001 V1'!J13&amp;"mg   VolDo: "&amp;'FORMATO DIL'!U19&amp;"mL",IF(AND('FORMATO DIL'!$U$9&lt;&gt;"",'FORMATO DIL'!U19&lt;&gt;""),"Do: "&amp;'FR PD 001 V1'!J13&amp;"mg   VolDo: "&amp;'DATOS ETIQ'!G9&amp;"mL  "&amp;"VolTotal:  "&amp;'FORMATO DIL'!U19&amp;"mL",IF('DATOS ETIQ'!P9=1,"Do: "&amp;'DATOS ETIQ'!F9&amp;'DATOS ETIQ'!V9&amp;"   VolDo: "&amp;'DATOS ETIQ'!G9&amp;"mL","Dilución 1/"&amp;'DATOS ETIQ'!P9&amp;"  "&amp;'DATOS ETIQ'!E9&amp;'DATOS ETIQ'!V9&amp;"/mL   Do: "&amp;'DATOS ETIQ'!F9&amp;'DATOS ETIQ'!V9&amp;"   VolDo: "&amp;'DATOS ETIQ'!G9&amp;"mL"))))</f>
        <v>#N/A</v>
      </c>
    </row>
    <row r="10" spans="1:30">
      <c r="A10" s="175">
        <f>'FR PD 001 V1'!G14</f>
        <v>0</v>
      </c>
      <c r="B10" s="175" t="e">
        <f>VLOOKUP(A10,ESTANDAR!A:B,2,0)</f>
        <v>#N/A</v>
      </c>
      <c r="C10" s="175" t="e">
        <f>VLOOKUP(A10,ESTANDAR!A:D,4,0)</f>
        <v>#N/A</v>
      </c>
      <c r="D10" s="184" t="e">
        <f>IF('FORMATO DIL'!B$6="NEO+PED",VLOOKUP(A10,ESTANDAR!A:G,6,0),VLOOKUP(A10,ESTANDAR!A:G,7,0))</f>
        <v>#N/A</v>
      </c>
      <c r="E10" s="175" t="str">
        <f>'FR PD 001 V1'!L14</f>
        <v>ERROR</v>
      </c>
      <c r="F10" s="175">
        <f>'FR PD 001 V1'!J14</f>
        <v>0</v>
      </c>
      <c r="G10" s="175">
        <f>ROUND('FR PD 001 V1'!M14,2)</f>
        <v>0</v>
      </c>
      <c r="H10" s="178" t="e">
        <f ca="1">'FR PD 001 V1'!P14</f>
        <v>#N/A</v>
      </c>
      <c r="I10" s="175" t="str">
        <f>'FR PD 001 V1'!O14</f>
        <v/>
      </c>
      <c r="J10" s="175" t="str">
        <f>LEFT('FR PD 001 V1'!B14,30)</f>
        <v/>
      </c>
      <c r="K10" s="175">
        <f>'FR PD 001 V1'!C14</f>
        <v>0</v>
      </c>
      <c r="L10" s="175" t="str">
        <f>'FORMATO DIL'!B$7</f>
        <v>JGARCIA</v>
      </c>
      <c r="M10" s="175" t="str">
        <f>'FORMATO DIL'!B$8</f>
        <v>ADELTORO</v>
      </c>
      <c r="N10" s="175" t="str">
        <f>'FORMATO DIL'!B$2</f>
        <v>C.JPC/SEXTO NTE/SCOOP</v>
      </c>
      <c r="O10" s="175" t="str">
        <f>'FR PD 001 V1'!E14</f>
        <v>NA</v>
      </c>
      <c r="P10" s="181" t="e">
        <f t="shared" si="0"/>
        <v>#N/A</v>
      </c>
      <c r="Q10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ADULTO"),AA10,IF(LEFT(R10,3)="INF",Y10,IF(OR(B10="INSULINA NPH",B10="INSULINA CRISTALINA",B10="PENICILINA CRIST."),B10&amp;" "&amp;C10&amp;" "&amp;D10&amp;"U.I./mL",B10&amp;" "&amp;C10&amp;" "&amp;D10&amp;"mg/mL")))</f>
        <v>#N/A</v>
      </c>
      <c r="R10" s="4">
        <f>IF(OR('FR PD 001 V1'!S14="JER 1mL",'FR PD 001 V1'!S14="JER 3mL",'FR PD 001 V1'!S14="JER 5mL",'FR PD 001 V1'!S14="JER 10mL",'FR PD 001 V1'!S14="JER 20mL",'FR PD 001 V1'!S14="JER 50mL"),"JERINGA",'FR PD 001 V1'!S14)</f>
        <v>0</v>
      </c>
      <c r="S10" s="4" t="e">
        <f>IF(OR('FORMATO DIL'!$A$1="MN_HOSPITAL MEISSEN/UCI NEO",'FORMATO DIL'!$A$1="MP_HOSPITAL MEISSEN/PED",'FORMATO DIL'!$A$1="MA_HOSPITAL MEISSEN/UCI ADULTO"),'FORMATO DIL'!O20,IF(VLOOKUP(A10,ESTANDAR!$A$2:$O$682,15,0)=0,"      -------",VLOOKUP(A10,ESTANDAR!$A$2:$O$682,15,0)))</f>
        <v>#N/A</v>
      </c>
      <c r="T10" s="4" t="e">
        <f t="shared" ca="1" si="1"/>
        <v>#N/A</v>
      </c>
      <c r="U10" s="4" t="e">
        <f>IF(AND('FORMATO DIL'!U20&gt;0,'FORMATO DIL'!V20&gt;0),"Do: "&amp;F10&amp;V10&amp;"  VolTotal: "&amp;'FORMATO DIL'!U20&amp;"mL"&amp;" a "&amp;'FORMATO DIL'!V20&amp;"mL/h","Do: "&amp;F10&amp;V10&amp;"  VolDo: "&amp;G10&amp;"mL")</f>
        <v>#N/A</v>
      </c>
      <c r="V10" s="4" t="e">
        <f t="shared" si="2"/>
        <v>#N/A</v>
      </c>
      <c r="W10" s="4" t="e">
        <f>"Conc:  "&amp;IF('FORMATO DIL'!L20&gt;0,IF(OR(B10="GONADOTROPINA CORIONICA",B10="HEPARINA",B10="INSULINA CRISTALINA",B10="INSULINA NPH",B10="PENICILINA CRIST.",B10="POLIMIXINA B"),'FORMATO DIL'!L20&amp;"U.I/mL",'FORMATO DIL'!L20&amp;"mg/mL"),'DATOS ETIQ'!C10)</f>
        <v>#N/A</v>
      </c>
      <c r="X10" s="4" t="e">
        <f>IF(OR('FORMATO DIL'!U20&gt;0,'FORMATO DIL'!V20&gt;0),"  VOL TOTAL:  "&amp;'FORMATO DIL'!U20&amp;"mL"&amp;" a "&amp;'FORMATO DIL'!V20&amp;"mL/h",ROUND((F10/E10),1))</f>
        <v>#VALUE!</v>
      </c>
      <c r="Y10" s="4" t="e">
        <f>B10&amp;" INF SSN 0.9% "&amp;'FR PD 001 V1'!N14</f>
        <v>#N/A</v>
      </c>
      <c r="Z10" s="4" t="str">
        <f>"ID :"&amp;K10&amp;"   F. Nac:  "&amp;UPPER(TEXT('FORMATO DIL'!F20,"ddmmmyy"))</f>
        <v>ID :0   F. Nac:  00ENE00</v>
      </c>
      <c r="AA10" s="4" t="e">
        <f>IF('FORMATO DIL'!L20&lt;&gt;"",IF(OR(B10="INSULINA NPH",B10="INSULINA CRISTALINA",B10="PENICILINA CRIST."),B10&amp;" "&amp;C10&amp;" "&amp;'FORMATO DIL'!L20&amp;"U.I./mL",B10&amp;" "&amp;C10&amp;" "&amp;'FORMATO DIL'!L20&amp;"mg/mL"),IF(OR(B10="INSULINA NPH",B10="INSULINA CRISTALINA",B10="PENICILINA CRIST."),B10&amp;" "&amp;C10&amp;" "&amp;D10&amp;"U.I./mL",B10&amp;" "&amp;C10&amp;" "&amp;D10&amp;"mg/mL"))</f>
        <v>#N/A</v>
      </c>
      <c r="AB10" s="4" t="e">
        <f>+VLOOKUP(A10,ESTANDAR!$A$2:$K$645,11,0)</f>
        <v>#N/A</v>
      </c>
      <c r="AC10" s="4" t="e">
        <f>IF(AND('FORMATO DIL'!U20&gt;0,'FORMATO DIL'!V20&gt;0),"Do: "&amp;F10&amp;V10&amp;"  VolTotal: "&amp;'FORMATO DIL'!U20&amp;"mL"&amp;" a "&amp;'FORMATO DIL'!V20&amp;"mL/h",IF('FORMATO DIL'!U20&gt;0,"Do: "&amp;F10&amp;V10&amp;"  VolTotal: "&amp;'FORMATO DIL'!U20&amp;"mL","Do: "&amp;F10&amp;V10&amp;"  VolDo: "&amp;G10&amp;"mL"))</f>
        <v>#N/A</v>
      </c>
      <c r="AD10" s="4" t="e">
        <f>IF(OR('FORMATO DIL'!$A$1="MN_HOSPITAL MEISSEN/UCI NEO",'FORMATO DIL'!$A$1="MP_HOSPITAL MEISSEN/PED",'FORMATO DIL'!$A$1="MA_HOSPITAL MEISSEN/UCI ADULTO"),AC10,IF(AND('FORMATO DIL'!$V$9&lt;&gt;"",'FORMATO DIL'!U20&lt;&gt;""),"Do: "&amp;'FR PD 001 V1'!J14&amp;"mg   VolDo: "&amp;'FORMATO DIL'!U20&amp;"mL",IF(AND('FORMATO DIL'!$U$9&lt;&gt;"",'FORMATO DIL'!U20&lt;&gt;""),"Do: "&amp;'FR PD 001 V1'!J14&amp;"mg   VolDo: "&amp;'DATOS ETIQ'!G10&amp;"mL  "&amp;"VolTotal:  "&amp;'FORMATO DIL'!U20&amp;"mL",IF('DATOS ETIQ'!P10=1,"Do: "&amp;'DATOS ETIQ'!F10&amp;'DATOS ETIQ'!V10&amp;"   VolDo: "&amp;'DATOS ETIQ'!G10&amp;"mL","Dilución 1/"&amp;'DATOS ETIQ'!P10&amp;"  "&amp;'DATOS ETIQ'!E10&amp;'DATOS ETIQ'!V10&amp;"/mL   Do: "&amp;'DATOS ETIQ'!F10&amp;'DATOS ETIQ'!V10&amp;"   VolDo: "&amp;'DATOS ETIQ'!G10&amp;"mL"))))</f>
        <v>#N/A</v>
      </c>
    </row>
    <row r="11" spans="1:30">
      <c r="A11" s="175">
        <f>'FR PD 001 V1'!G15</f>
        <v>0</v>
      </c>
      <c r="B11" s="175" t="e">
        <f>VLOOKUP(A11,ESTANDAR!A:B,2,0)</f>
        <v>#N/A</v>
      </c>
      <c r="C11" s="175" t="e">
        <f>VLOOKUP(A11,ESTANDAR!A:D,4,0)</f>
        <v>#N/A</v>
      </c>
      <c r="D11" s="184" t="e">
        <f>IF('FORMATO DIL'!B$6="NEO+PED",VLOOKUP(A11,ESTANDAR!A:G,6,0),VLOOKUP(A11,ESTANDAR!A:G,7,0))</f>
        <v>#N/A</v>
      </c>
      <c r="E11" s="175" t="str">
        <f>'FR PD 001 V1'!L15</f>
        <v>ERROR</v>
      </c>
      <c r="F11" s="175">
        <f>'FR PD 001 V1'!J15</f>
        <v>0</v>
      </c>
      <c r="G11" s="175">
        <f>ROUND('FR PD 001 V1'!M15,2)</f>
        <v>0</v>
      </c>
      <c r="H11" s="178" t="e">
        <f ca="1">'FR PD 001 V1'!P15</f>
        <v>#N/A</v>
      </c>
      <c r="I11" s="175" t="str">
        <f>'FR PD 001 V1'!O15</f>
        <v/>
      </c>
      <c r="J11" s="175" t="str">
        <f>LEFT('FR PD 001 V1'!B15,30)</f>
        <v/>
      </c>
      <c r="K11" s="175">
        <f>'FR PD 001 V1'!C15</f>
        <v>0</v>
      </c>
      <c r="L11" s="175" t="str">
        <f>'FORMATO DIL'!B$7</f>
        <v>JGARCIA</v>
      </c>
      <c r="M11" s="175" t="str">
        <f>'FORMATO DIL'!B$8</f>
        <v>ADELTORO</v>
      </c>
      <c r="N11" s="175" t="str">
        <f>'FORMATO DIL'!B$2</f>
        <v>C.JPC/SEXTO NTE/SCOOP</v>
      </c>
      <c r="O11" s="175" t="str">
        <f>'FR PD 001 V1'!E15</f>
        <v>NA</v>
      </c>
      <c r="P11" s="181" t="e">
        <f t="shared" si="0"/>
        <v>#N/A</v>
      </c>
      <c r="Q11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ADULTO"),AA11,IF(LEFT(R11,3)="INF",Y11,IF(OR(B11="INSULINA NPH",B11="INSULINA CRISTALINA",B11="PENICILINA CRIST."),B11&amp;" "&amp;C11&amp;" "&amp;D11&amp;"U.I./mL",B11&amp;" "&amp;C11&amp;" "&amp;D11&amp;"mg/mL")))</f>
        <v>#N/A</v>
      </c>
      <c r="R11" s="4">
        <f>IF(OR('FR PD 001 V1'!S15="JER 1mL",'FR PD 001 V1'!S15="JER 3mL",'FR PD 001 V1'!S15="JER 5mL",'FR PD 001 V1'!S15="JER 10mL",'FR PD 001 V1'!S15="JER 20mL",'FR PD 001 V1'!S15="JER 50mL"),"JERINGA",'FR PD 001 V1'!S15)</f>
        <v>0</v>
      </c>
      <c r="S11" s="4" t="e">
        <f>IF(OR('FORMATO DIL'!$A$1="MN_HOSPITAL MEISSEN/UCI NEO",'FORMATO DIL'!$A$1="MP_HOSPITAL MEISSEN/PED",'FORMATO DIL'!$A$1="MA_HOSPITAL MEISSEN/UCI ADULTO"),'FORMATO DIL'!O21,IF(VLOOKUP(A11,ESTANDAR!$A$2:$O$682,15,0)=0,"      -------",VLOOKUP(A11,ESTANDAR!$A$2:$O$682,15,0)))</f>
        <v>#N/A</v>
      </c>
      <c r="T11" s="4" t="e">
        <f t="shared" ca="1" si="1"/>
        <v>#N/A</v>
      </c>
      <c r="U11" s="4" t="e">
        <f>IF(AND('FORMATO DIL'!U21&gt;0,'FORMATO DIL'!V21&gt;0),"Do: "&amp;F11&amp;V11&amp;"  VolTotal: "&amp;'FORMATO DIL'!U21&amp;"mL"&amp;" a "&amp;'FORMATO DIL'!V21&amp;"mL/h","Do: "&amp;F11&amp;V11&amp;"  VolDo: "&amp;G11&amp;"mL")</f>
        <v>#N/A</v>
      </c>
      <c r="V11" s="4" t="e">
        <f t="shared" si="2"/>
        <v>#N/A</v>
      </c>
      <c r="W11" s="4" t="e">
        <f>"Conc:  "&amp;IF('FORMATO DIL'!L21&gt;0,IF(OR(B11="GONADOTROPINA CORIONICA",B11="HEPARINA",B11="INSULINA CRISTALINA",B11="INSULINA NPH",B11="PENICILINA CRIST.",B11="POLIMIXINA B"),'FORMATO DIL'!L21&amp;"U.I/mL",'FORMATO DIL'!L21&amp;"mg/mL"),'DATOS ETIQ'!C11)</f>
        <v>#N/A</v>
      </c>
      <c r="X11" s="4" t="e">
        <f>IF(OR('FORMATO DIL'!U21&gt;0,'FORMATO DIL'!V21&gt;0),"  VOL TOTAL:  "&amp;'FORMATO DIL'!U21&amp;"mL"&amp;" a "&amp;'FORMATO DIL'!V21&amp;"mL/h",ROUND((F11/E11),1))</f>
        <v>#VALUE!</v>
      </c>
      <c r="Y11" s="4" t="e">
        <f>B11&amp;" INF SSN 0.9% "&amp;'FR PD 001 V1'!N15</f>
        <v>#N/A</v>
      </c>
      <c r="Z11" s="4" t="str">
        <f>"ID :"&amp;K11&amp;"   F. Nac:  "&amp;UPPER(TEXT('FORMATO DIL'!F21,"ddmmmyy"))</f>
        <v>ID :0   F. Nac:  00ENE00</v>
      </c>
      <c r="AA11" s="4" t="e">
        <f>IF('FORMATO DIL'!L21&lt;&gt;"",IF(OR(B11="INSULINA NPH",B11="INSULINA CRISTALINA",B11="PENICILINA CRIST."),B11&amp;" "&amp;C11&amp;" "&amp;'FORMATO DIL'!L21&amp;"U.I./mL",B11&amp;" "&amp;C11&amp;" "&amp;'FORMATO DIL'!L21&amp;"mg/mL"),IF(OR(B11="INSULINA NPH",B11="INSULINA CRISTALINA",B11="PENICILINA CRIST."),B11&amp;" "&amp;C11&amp;" "&amp;D11&amp;"U.I./mL",B11&amp;" "&amp;C11&amp;" "&amp;D11&amp;"mg/mL"))</f>
        <v>#N/A</v>
      </c>
      <c r="AB11" s="4" t="e">
        <f>+VLOOKUP(A11,ESTANDAR!$A$2:$K$645,11,0)</f>
        <v>#N/A</v>
      </c>
      <c r="AC11" s="4" t="e">
        <f>IF(AND('FORMATO DIL'!U21&gt;0,'FORMATO DIL'!V21&gt;0),"Do: "&amp;F11&amp;V11&amp;"  VolTotal: "&amp;'FORMATO DIL'!U21&amp;"mL"&amp;" a "&amp;'FORMATO DIL'!V21&amp;"mL/h",IF('FORMATO DIL'!U21&gt;0,"Do: "&amp;F11&amp;V11&amp;"  VolTotal: "&amp;'FORMATO DIL'!U21&amp;"mL","Do: "&amp;F11&amp;V11&amp;"  VolDo: "&amp;G11&amp;"mL"))</f>
        <v>#N/A</v>
      </c>
      <c r="AD11" s="4" t="e">
        <f>IF(OR('FORMATO DIL'!$A$1="MN_HOSPITAL MEISSEN/UCI NEO",'FORMATO DIL'!$A$1="MP_HOSPITAL MEISSEN/PED",'FORMATO DIL'!$A$1="MA_HOSPITAL MEISSEN/UCI ADULTO"),AC11,IF(AND('FORMATO DIL'!$V$9&lt;&gt;"",'FORMATO DIL'!U21&lt;&gt;""),"Do: "&amp;'FR PD 001 V1'!J15&amp;"mg   VolDo: "&amp;'FORMATO DIL'!U21&amp;"mL",IF(AND('FORMATO DIL'!$U$9&lt;&gt;"",'FORMATO DIL'!U21&lt;&gt;""),"Do: "&amp;'FR PD 001 V1'!J15&amp;"mg   VolDo: "&amp;'DATOS ETIQ'!G11&amp;"mL  "&amp;"VolTotal:  "&amp;'FORMATO DIL'!U21&amp;"mL",IF('DATOS ETIQ'!P11=1,"Do: "&amp;'DATOS ETIQ'!F11&amp;'DATOS ETIQ'!V11&amp;"   VolDo: "&amp;'DATOS ETIQ'!G11&amp;"mL","Dilución 1/"&amp;'DATOS ETIQ'!P11&amp;"  "&amp;'DATOS ETIQ'!E11&amp;'DATOS ETIQ'!V11&amp;"/mL   Do: "&amp;'DATOS ETIQ'!F11&amp;'DATOS ETIQ'!V11&amp;"   VolDo: "&amp;'DATOS ETIQ'!G11&amp;"mL"))))</f>
        <v>#N/A</v>
      </c>
    </row>
    <row r="12" spans="1:30">
      <c r="A12" s="175">
        <f>'FR PD 001 V1'!G16</f>
        <v>0</v>
      </c>
      <c r="B12" s="175" t="e">
        <f>VLOOKUP(A12,ESTANDAR!A:B,2,0)</f>
        <v>#N/A</v>
      </c>
      <c r="C12" s="175" t="e">
        <f>VLOOKUP(A12,ESTANDAR!A:D,4,0)</f>
        <v>#N/A</v>
      </c>
      <c r="D12" s="184" t="e">
        <f>IF('FORMATO DIL'!B$6="NEO+PED",VLOOKUP(A12,ESTANDAR!A:G,6,0),VLOOKUP(A12,ESTANDAR!A:G,7,0))</f>
        <v>#N/A</v>
      </c>
      <c r="E12" s="175" t="str">
        <f>'FR PD 001 V1'!L16</f>
        <v>ERROR</v>
      </c>
      <c r="F12" s="175">
        <f>'FR PD 001 V1'!J16</f>
        <v>0</v>
      </c>
      <c r="G12" s="175">
        <f>ROUND('FR PD 001 V1'!M16,2)</f>
        <v>0</v>
      </c>
      <c r="H12" s="178" t="e">
        <f ca="1">'FR PD 001 V1'!P16</f>
        <v>#N/A</v>
      </c>
      <c r="I12" s="175" t="str">
        <f>'FR PD 001 V1'!O16</f>
        <v/>
      </c>
      <c r="J12" s="175" t="str">
        <f>LEFT('FR PD 001 V1'!B16,30)</f>
        <v/>
      </c>
      <c r="K12" s="175">
        <f>'FR PD 001 V1'!C16</f>
        <v>0</v>
      </c>
      <c r="L12" s="175" t="str">
        <f>'FORMATO DIL'!B$7</f>
        <v>JGARCIA</v>
      </c>
      <c r="M12" s="175" t="str">
        <f>'FORMATO DIL'!B$8</f>
        <v>ADELTORO</v>
      </c>
      <c r="N12" s="175" t="str">
        <f>'FORMATO DIL'!B$2</f>
        <v>C.JPC/SEXTO NTE/SCOOP</v>
      </c>
      <c r="O12" s="175" t="str">
        <f>'FR PD 001 V1'!E16</f>
        <v>NA</v>
      </c>
      <c r="P12" s="181" t="e">
        <f t="shared" si="0"/>
        <v>#N/A</v>
      </c>
      <c r="Q12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ADULTO"),AA12,IF(LEFT(R12,3)="INF",Y12,IF(OR(B12="INSULINA NPH",B12="INSULINA CRISTALINA",B12="PENICILINA CRIST."),B12&amp;" "&amp;C12&amp;" "&amp;D12&amp;"U.I./mL",B12&amp;" "&amp;C12&amp;" "&amp;D12&amp;"mg/mL")))</f>
        <v>#N/A</v>
      </c>
      <c r="R12" s="4">
        <f>IF(OR('FR PD 001 V1'!S16="JER 1mL",'FR PD 001 V1'!S16="JER 3mL",'FR PD 001 V1'!S16="JER 5mL",'FR PD 001 V1'!S16="JER 10mL",'FR PD 001 V1'!S16="JER 20mL",'FR PD 001 V1'!S16="JER 50mL"),"JERINGA",'FR PD 001 V1'!S16)</f>
        <v>0</v>
      </c>
      <c r="S12" s="4" t="e">
        <f>IF(OR('FORMATO DIL'!$A$1="MN_HOSPITAL MEISSEN/UCI NEO",'FORMATO DIL'!$A$1="MP_HOSPITAL MEISSEN/PED",'FORMATO DIL'!$A$1="MA_HOSPITAL MEISSEN/UCI ADULTO"),'FORMATO DIL'!O22,IF(VLOOKUP(A12,ESTANDAR!$A$2:$O$682,15,0)=0,"      -------",VLOOKUP(A12,ESTANDAR!$A$2:$O$682,15,0)))</f>
        <v>#N/A</v>
      </c>
      <c r="T12" s="4" t="e">
        <f t="shared" ca="1" si="1"/>
        <v>#N/A</v>
      </c>
      <c r="U12" s="4" t="e">
        <f>IF(AND('FORMATO DIL'!U22&gt;0,'FORMATO DIL'!V22&gt;0),"Do: "&amp;F12&amp;V12&amp;"  VolTotal: "&amp;'FORMATO DIL'!U22&amp;"mL"&amp;" a "&amp;'FORMATO DIL'!V22&amp;"mL/h","Do: "&amp;F12&amp;V12&amp;"  VolDo: "&amp;G12&amp;"mL")</f>
        <v>#N/A</v>
      </c>
      <c r="V12" s="4" t="e">
        <f t="shared" si="2"/>
        <v>#N/A</v>
      </c>
      <c r="W12" s="4" t="e">
        <f>"Conc:  "&amp;IF('FORMATO DIL'!L22&gt;0,IF(OR(B12="GONADOTROPINA CORIONICA",B12="HEPARINA",B12="INSULINA CRISTALINA",B12="INSULINA NPH",B12="PENICILINA CRIST.",B12="POLIMIXINA B"),'FORMATO DIL'!L22&amp;"U.I/mL",'FORMATO DIL'!L22&amp;"mg/mL"),'DATOS ETIQ'!C12)</f>
        <v>#N/A</v>
      </c>
      <c r="X12" s="4" t="e">
        <f>IF(OR('FORMATO DIL'!U22&gt;0,'FORMATO DIL'!V22&gt;0),"  VOL TOTAL:  "&amp;'FORMATO DIL'!U22&amp;"mL"&amp;" a "&amp;'FORMATO DIL'!V22&amp;"mL/h",ROUND((F12/E12),1))</f>
        <v>#VALUE!</v>
      </c>
      <c r="Y12" s="4" t="e">
        <f>B12&amp;" INF SSN 0.9% "&amp;'FR PD 001 V1'!N16</f>
        <v>#N/A</v>
      </c>
      <c r="Z12" s="4" t="str">
        <f>"ID :"&amp;K12&amp;"   F. Nac:  "&amp;UPPER(TEXT('FORMATO DIL'!F22,"ddmmmyy"))</f>
        <v>ID :0   F. Nac:  00ENE00</v>
      </c>
      <c r="AA12" s="4" t="e">
        <f>IF('FORMATO DIL'!L22&lt;&gt;"",IF(OR(B12="INSULINA NPH",B12="INSULINA CRISTALINA",B12="PENICILINA CRIST."),B12&amp;" "&amp;C12&amp;" "&amp;'FORMATO DIL'!L22&amp;"U.I./mL",B12&amp;" "&amp;C12&amp;" "&amp;'FORMATO DIL'!L22&amp;"mg/mL"),IF(OR(B12="INSULINA NPH",B12="INSULINA CRISTALINA",B12="PENICILINA CRIST."),B12&amp;" "&amp;C12&amp;" "&amp;D12&amp;"U.I./mL",B12&amp;" "&amp;C12&amp;" "&amp;D12&amp;"mg/mL"))</f>
        <v>#N/A</v>
      </c>
      <c r="AB12" s="4" t="e">
        <f>+VLOOKUP(A12,ESTANDAR!$A$2:$K$645,11,0)</f>
        <v>#N/A</v>
      </c>
      <c r="AC12" s="4" t="e">
        <f>IF(AND('FORMATO DIL'!U22&gt;0,'FORMATO DIL'!V22&gt;0),"Do: "&amp;F12&amp;V12&amp;"  VolTotal: "&amp;'FORMATO DIL'!U22&amp;"mL"&amp;" a "&amp;'FORMATO DIL'!V22&amp;"mL/h",IF('FORMATO DIL'!U22&gt;0,"Do: "&amp;F12&amp;V12&amp;"  VolTotal: "&amp;'FORMATO DIL'!U22&amp;"mL","Do: "&amp;F12&amp;V12&amp;"  VolDo: "&amp;G12&amp;"mL"))</f>
        <v>#N/A</v>
      </c>
      <c r="AD12" s="4" t="e">
        <f>IF(OR('FORMATO DIL'!$A$1="MN_HOSPITAL MEISSEN/UCI NEO",'FORMATO DIL'!$A$1="MP_HOSPITAL MEISSEN/PED",'FORMATO DIL'!$A$1="MA_HOSPITAL MEISSEN/UCI ADULTO"),AC12,IF(AND('FORMATO DIL'!$V$9&lt;&gt;"",'FORMATO DIL'!U22&lt;&gt;""),"Do: "&amp;'FR PD 001 V1'!J16&amp;"mg   VolDo: "&amp;'FORMATO DIL'!U22&amp;"mL",IF(AND('FORMATO DIL'!$U$9&lt;&gt;"",'FORMATO DIL'!U22&lt;&gt;""),"Do: "&amp;'FR PD 001 V1'!J16&amp;"mg   VolDo: "&amp;'DATOS ETIQ'!G12&amp;"mL  "&amp;"VolTotal:  "&amp;'FORMATO DIL'!U22&amp;"mL",IF('DATOS ETIQ'!P12=1,"Do: "&amp;'DATOS ETIQ'!F12&amp;'DATOS ETIQ'!V12&amp;"   VolDo: "&amp;'DATOS ETIQ'!G12&amp;"mL","Dilución 1/"&amp;'DATOS ETIQ'!P12&amp;"  "&amp;'DATOS ETIQ'!E12&amp;'DATOS ETIQ'!V12&amp;"/mL   Do: "&amp;'DATOS ETIQ'!F12&amp;'DATOS ETIQ'!V12&amp;"   VolDo: "&amp;'DATOS ETIQ'!G12&amp;"mL"))))</f>
        <v>#N/A</v>
      </c>
    </row>
    <row r="13" spans="1:30">
      <c r="A13" s="175">
        <f>'FR PD 001 V1'!G17</f>
        <v>0</v>
      </c>
      <c r="B13" s="175" t="e">
        <f>VLOOKUP(A13,ESTANDAR!A:B,2,0)</f>
        <v>#N/A</v>
      </c>
      <c r="C13" s="175" t="e">
        <f>VLOOKUP(A13,ESTANDAR!A:D,4,0)</f>
        <v>#N/A</v>
      </c>
      <c r="D13" s="184" t="e">
        <f>IF('FORMATO DIL'!B$6="NEO+PED",VLOOKUP(A13,ESTANDAR!A:G,6,0),VLOOKUP(A13,ESTANDAR!A:G,7,0))</f>
        <v>#N/A</v>
      </c>
      <c r="E13" s="175" t="str">
        <f>'FR PD 001 V1'!L17</f>
        <v>ERROR</v>
      </c>
      <c r="F13" s="175">
        <f>'FR PD 001 V1'!J17</f>
        <v>0</v>
      </c>
      <c r="G13" s="175">
        <f>ROUND('FR PD 001 V1'!M17,2)</f>
        <v>0</v>
      </c>
      <c r="H13" s="178" t="e">
        <f ca="1">'FR PD 001 V1'!P17</f>
        <v>#N/A</v>
      </c>
      <c r="I13" s="175" t="str">
        <f>'FR PD 001 V1'!O17</f>
        <v/>
      </c>
      <c r="J13" s="175" t="str">
        <f>LEFT('FR PD 001 V1'!B17,30)</f>
        <v/>
      </c>
      <c r="K13" s="175">
        <f>'FR PD 001 V1'!C17</f>
        <v>0</v>
      </c>
      <c r="L13" s="175" t="str">
        <f>'FORMATO DIL'!B$7</f>
        <v>JGARCIA</v>
      </c>
      <c r="M13" s="175" t="str">
        <f>'FORMATO DIL'!B$8</f>
        <v>ADELTORO</v>
      </c>
      <c r="N13" s="175" t="str">
        <f>'FORMATO DIL'!B$2</f>
        <v>C.JPC/SEXTO NTE/SCOOP</v>
      </c>
      <c r="O13" s="175" t="str">
        <f>'FR PD 001 V1'!E17</f>
        <v>NA</v>
      </c>
      <c r="P13" s="181" t="e">
        <f t="shared" si="0"/>
        <v>#N/A</v>
      </c>
      <c r="Q13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ADULTO"),AA13,IF(LEFT(R13,3)="INF",Y13,IF(OR(B13="INSULINA NPH",B13="INSULINA CRISTALINA",B13="PENICILINA CRIST."),B13&amp;" "&amp;C13&amp;" "&amp;D13&amp;"U.I./mL",B13&amp;" "&amp;C13&amp;" "&amp;D13&amp;"mg/mL")))</f>
        <v>#N/A</v>
      </c>
      <c r="R13" s="4">
        <f>IF(OR('FR PD 001 V1'!S17="JER 1mL",'FR PD 001 V1'!S17="JER 3mL",'FR PD 001 V1'!S17="JER 5mL",'FR PD 001 V1'!S17="JER 10mL",'FR PD 001 V1'!S17="JER 20mL",'FR PD 001 V1'!S17="JER 50mL"),"JERINGA",'FR PD 001 V1'!S17)</f>
        <v>0</v>
      </c>
      <c r="S13" s="4" t="e">
        <f>IF(OR('FORMATO DIL'!$A$1="MN_HOSPITAL MEISSEN/UCI NEO",'FORMATO DIL'!$A$1="MP_HOSPITAL MEISSEN/PED",'FORMATO DIL'!$A$1="MA_HOSPITAL MEISSEN/UCI ADULTO"),'FORMATO DIL'!O23,IF(VLOOKUP(A13,ESTANDAR!$A$2:$O$682,15,0)=0,"      -------",VLOOKUP(A13,ESTANDAR!$A$2:$O$682,15,0)))</f>
        <v>#N/A</v>
      </c>
      <c r="T13" s="4" t="e">
        <f t="shared" ca="1" si="1"/>
        <v>#N/A</v>
      </c>
      <c r="U13" s="4" t="e">
        <f>IF(AND('FORMATO DIL'!U23&gt;0,'FORMATO DIL'!V23&gt;0),"Do: "&amp;F13&amp;V13&amp;"  VolTotal: "&amp;'FORMATO DIL'!U23&amp;"mL"&amp;" a "&amp;'FORMATO DIL'!V23&amp;"mL/h","Do: "&amp;F13&amp;V13&amp;"  VolDo: "&amp;G13&amp;"mL")</f>
        <v>#N/A</v>
      </c>
      <c r="V13" s="4" t="e">
        <f t="shared" si="2"/>
        <v>#N/A</v>
      </c>
      <c r="W13" s="4" t="e">
        <f>"Conc:  "&amp;IF('FORMATO DIL'!L23&gt;0,IF(OR(B13="GONADOTROPINA CORIONICA",B13="HEPARINA",B13="INSULINA CRISTALINA",B13="INSULINA NPH",B13="PENICILINA CRIST.",B13="POLIMIXINA B"),'FORMATO DIL'!L23&amp;"U.I/mL",'FORMATO DIL'!L23&amp;"mg/mL"),'DATOS ETIQ'!C13)</f>
        <v>#N/A</v>
      </c>
      <c r="X13" s="4" t="e">
        <f>IF(OR('FORMATO DIL'!U23&gt;0,'FORMATO DIL'!V23&gt;0),"  VOL TOTAL:  "&amp;'FORMATO DIL'!U23&amp;"mL"&amp;" a "&amp;'FORMATO DIL'!V23&amp;"mL/h",ROUND((F13/E13),1))</f>
        <v>#VALUE!</v>
      </c>
      <c r="Y13" s="4" t="e">
        <f>B13&amp;" INF SSN 0.9% "&amp;'FR PD 001 V1'!N17</f>
        <v>#N/A</v>
      </c>
      <c r="Z13" s="4" t="str">
        <f>"ID :"&amp;K13&amp;"   F. Nac:  "&amp;UPPER(TEXT('FORMATO DIL'!F23,"ddmmmyy"))</f>
        <v>ID :0   F. Nac:  00ENE00</v>
      </c>
      <c r="AA13" s="4" t="e">
        <f>IF('FORMATO DIL'!L23&lt;&gt;"",IF(OR(B13="INSULINA NPH",B13="INSULINA CRISTALINA",B13="PENICILINA CRIST."),B13&amp;" "&amp;C13&amp;" "&amp;'FORMATO DIL'!L23&amp;"U.I./mL",B13&amp;" "&amp;C13&amp;" "&amp;'FORMATO DIL'!L23&amp;"mg/mL"),IF(OR(B13="INSULINA NPH",B13="INSULINA CRISTALINA",B13="PENICILINA CRIST."),B13&amp;" "&amp;C13&amp;" "&amp;D13&amp;"U.I./mL",B13&amp;" "&amp;C13&amp;" "&amp;D13&amp;"mg/mL"))</f>
        <v>#N/A</v>
      </c>
      <c r="AB13" s="4" t="e">
        <f>+VLOOKUP(A13,ESTANDAR!$A$2:$K$645,11,0)</f>
        <v>#N/A</v>
      </c>
      <c r="AC13" s="4" t="e">
        <f>IF(AND('FORMATO DIL'!U23&gt;0,'FORMATO DIL'!V23&gt;0),"Do: "&amp;F13&amp;V13&amp;"  VolTotal: "&amp;'FORMATO DIL'!U23&amp;"mL"&amp;" a "&amp;'FORMATO DIL'!V23&amp;"mL/h",IF('FORMATO DIL'!U23&gt;0,"Do: "&amp;F13&amp;V13&amp;"  VolTotal: "&amp;'FORMATO DIL'!U23&amp;"mL","Do: "&amp;F13&amp;V13&amp;"  VolDo: "&amp;G13&amp;"mL"))</f>
        <v>#N/A</v>
      </c>
      <c r="AD13" s="4" t="e">
        <f>IF(OR('FORMATO DIL'!$A$1="MN_HOSPITAL MEISSEN/UCI NEO",'FORMATO DIL'!$A$1="MP_HOSPITAL MEISSEN/PED",'FORMATO DIL'!$A$1="MA_HOSPITAL MEISSEN/UCI ADULTO"),AC13,IF(AND('FORMATO DIL'!$V$9&lt;&gt;"",'FORMATO DIL'!U23&lt;&gt;""),"Do: "&amp;'FR PD 001 V1'!J17&amp;"mg   VolDo: "&amp;'FORMATO DIL'!U23&amp;"mL",IF(AND('FORMATO DIL'!$U$9&lt;&gt;"",'FORMATO DIL'!U23&lt;&gt;""),"Do: "&amp;'FR PD 001 V1'!J17&amp;"mg   VolDo: "&amp;'DATOS ETIQ'!G13&amp;"mL  "&amp;"VolTotal:  "&amp;'FORMATO DIL'!U23&amp;"mL",IF('DATOS ETIQ'!P13=1,"Do: "&amp;'DATOS ETIQ'!F13&amp;'DATOS ETIQ'!V13&amp;"   VolDo: "&amp;'DATOS ETIQ'!G13&amp;"mL","Dilución 1/"&amp;'DATOS ETIQ'!P13&amp;"  "&amp;'DATOS ETIQ'!E13&amp;'DATOS ETIQ'!V13&amp;"/mL   Do: "&amp;'DATOS ETIQ'!F13&amp;'DATOS ETIQ'!V13&amp;"   VolDo: "&amp;'DATOS ETIQ'!G13&amp;"mL"))))</f>
        <v>#N/A</v>
      </c>
    </row>
    <row r="14" spans="1:30">
      <c r="A14" s="175">
        <f>'FR PD 001 V1'!G18</f>
        <v>0</v>
      </c>
      <c r="B14" s="175" t="e">
        <f>VLOOKUP(A14,ESTANDAR!A:B,2,0)</f>
        <v>#N/A</v>
      </c>
      <c r="C14" s="175" t="e">
        <f>VLOOKUP(A14,ESTANDAR!A:D,4,0)</f>
        <v>#N/A</v>
      </c>
      <c r="D14" s="184" t="e">
        <f>IF('FORMATO DIL'!B$6="NEO+PED",VLOOKUP(A14,ESTANDAR!A:G,6,0),VLOOKUP(A14,ESTANDAR!A:G,7,0))</f>
        <v>#N/A</v>
      </c>
      <c r="E14" s="175" t="str">
        <f>'FR PD 001 V1'!L18</f>
        <v>ERROR</v>
      </c>
      <c r="F14" s="175">
        <f>'FR PD 001 V1'!J18</f>
        <v>0</v>
      </c>
      <c r="G14" s="175">
        <f>ROUND('FR PD 001 V1'!M18,2)</f>
        <v>0</v>
      </c>
      <c r="H14" s="178" t="e">
        <f ca="1">'FR PD 001 V1'!P18</f>
        <v>#N/A</v>
      </c>
      <c r="I14" s="175" t="str">
        <f>'FR PD 001 V1'!O18</f>
        <v/>
      </c>
      <c r="J14" s="175" t="str">
        <f>LEFT('FR PD 001 V1'!B18,30)</f>
        <v/>
      </c>
      <c r="K14" s="175">
        <f>'FR PD 001 V1'!C18</f>
        <v>0</v>
      </c>
      <c r="L14" s="175" t="str">
        <f>'FORMATO DIL'!B$7</f>
        <v>JGARCIA</v>
      </c>
      <c r="M14" s="175" t="str">
        <f>'FORMATO DIL'!B$8</f>
        <v>ADELTORO</v>
      </c>
      <c r="N14" s="175" t="str">
        <f>'FORMATO DIL'!B$2</f>
        <v>C.JPC/SEXTO NTE/SCOOP</v>
      </c>
      <c r="O14" s="175" t="str">
        <f>'FR PD 001 V1'!E18</f>
        <v>NA</v>
      </c>
      <c r="P14" s="181" t="e">
        <f t="shared" si="0"/>
        <v>#N/A</v>
      </c>
      <c r="Q14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ADULTO"),AA14,IF(LEFT(R14,3)="INF",Y14,IF(OR(B14="INSULINA NPH",B14="INSULINA CRISTALINA",B14="PENICILINA CRIST."),B14&amp;" "&amp;C14&amp;" "&amp;D14&amp;"U.I./mL",B14&amp;" "&amp;C14&amp;" "&amp;D14&amp;"mg/mL")))</f>
        <v>#N/A</v>
      </c>
      <c r="R14" s="4">
        <f>IF(OR('FR PD 001 V1'!S18="JER 1mL",'FR PD 001 V1'!S18="JER 3mL",'FR PD 001 V1'!S18="JER 5mL",'FR PD 001 V1'!S18="JER 10mL",'FR PD 001 V1'!S18="JER 20mL",'FR PD 001 V1'!S18="JER 50mL"),"JERINGA",'FR PD 001 V1'!S18)</f>
        <v>0</v>
      </c>
      <c r="S14" s="4" t="e">
        <f>IF(OR('FORMATO DIL'!$A$1="MN_HOSPITAL MEISSEN/UCI NEO",'FORMATO DIL'!$A$1="MP_HOSPITAL MEISSEN/PED",'FORMATO DIL'!$A$1="MA_HOSPITAL MEISSEN/UCI ADULTO"),'FORMATO DIL'!O24,IF(VLOOKUP(A14,ESTANDAR!$A$2:$O$682,15,0)=0,"      -------",VLOOKUP(A14,ESTANDAR!$A$2:$O$682,15,0)))</f>
        <v>#N/A</v>
      </c>
      <c r="T14" s="4" t="e">
        <f t="shared" ca="1" si="1"/>
        <v>#N/A</v>
      </c>
      <c r="U14" s="4" t="e">
        <f>IF(AND('FORMATO DIL'!U24&gt;0,'FORMATO DIL'!V24&gt;0),"Do: "&amp;F14&amp;V14&amp;"  VolTotal: "&amp;'FORMATO DIL'!U24&amp;"mL"&amp;" a "&amp;'FORMATO DIL'!V24&amp;"mL/h","Do: "&amp;F14&amp;V14&amp;"  VolDo: "&amp;G14&amp;"mL")</f>
        <v>#N/A</v>
      </c>
      <c r="V14" s="4" t="e">
        <f t="shared" si="2"/>
        <v>#N/A</v>
      </c>
      <c r="W14" s="4" t="e">
        <f>"Conc:  "&amp;IF('FORMATO DIL'!L24&gt;0,IF(OR(B14="GONADOTROPINA CORIONICA",B14="HEPARINA",B14="INSULINA CRISTALINA",B14="INSULINA NPH",B14="PENICILINA CRIST.",B14="POLIMIXINA B"),'FORMATO DIL'!L24&amp;"U.I/mL",'FORMATO DIL'!L24&amp;"mg/mL"),'DATOS ETIQ'!C14)</f>
        <v>#N/A</v>
      </c>
      <c r="X14" s="4" t="e">
        <f>IF(OR('FORMATO DIL'!U24&gt;0,'FORMATO DIL'!V24&gt;0),"  VOL TOTAL:  "&amp;'FORMATO DIL'!U24&amp;"mL"&amp;" a "&amp;'FORMATO DIL'!V24&amp;"mL/h",ROUND((F14/E14),1))</f>
        <v>#VALUE!</v>
      </c>
      <c r="Y14" s="4" t="e">
        <f>B14&amp;" INF SSN 0.9% "&amp;'FR PD 001 V1'!N18</f>
        <v>#N/A</v>
      </c>
      <c r="Z14" s="4" t="str">
        <f>"ID :"&amp;K14&amp;"   F. Nac:  "&amp;UPPER(TEXT('FORMATO DIL'!F24,"ddmmmyy"))</f>
        <v>ID :0   F. Nac:  00ENE00</v>
      </c>
      <c r="AA14" s="4" t="e">
        <f>IF('FORMATO DIL'!L24&lt;&gt;"",IF(OR(B14="INSULINA NPH",B14="INSULINA CRISTALINA",B14="PENICILINA CRIST."),B14&amp;" "&amp;C14&amp;" "&amp;'FORMATO DIL'!L24&amp;"U.I./mL",B14&amp;" "&amp;C14&amp;" "&amp;'FORMATO DIL'!L24&amp;"mg/mL"),IF(OR(B14="INSULINA NPH",B14="INSULINA CRISTALINA",B14="PENICILINA CRIST."),B14&amp;" "&amp;C14&amp;" "&amp;D14&amp;"U.I./mL",B14&amp;" "&amp;C14&amp;" "&amp;D14&amp;"mg/mL"))</f>
        <v>#N/A</v>
      </c>
      <c r="AB14" s="4" t="e">
        <f>+VLOOKUP(A14,ESTANDAR!$A$2:$K$645,11,0)</f>
        <v>#N/A</v>
      </c>
      <c r="AC14" s="4" t="e">
        <f>IF(AND('FORMATO DIL'!U24&gt;0,'FORMATO DIL'!V24&gt;0),"Do: "&amp;F14&amp;V14&amp;"  VolTotal: "&amp;'FORMATO DIL'!U24&amp;"mL"&amp;" a "&amp;'FORMATO DIL'!V24&amp;"mL/h",IF('FORMATO DIL'!U24&gt;0,"Do: "&amp;F14&amp;V14&amp;"  VolTotal: "&amp;'FORMATO DIL'!U24&amp;"mL","Do: "&amp;F14&amp;V14&amp;"  VolDo: "&amp;G14&amp;"mL"))</f>
        <v>#N/A</v>
      </c>
      <c r="AD14" s="4" t="e">
        <f>IF(OR('FORMATO DIL'!$A$1="MN_HOSPITAL MEISSEN/UCI NEO",'FORMATO DIL'!$A$1="MP_HOSPITAL MEISSEN/PED",'FORMATO DIL'!$A$1="MA_HOSPITAL MEISSEN/UCI ADULTO"),AC14,IF(AND('FORMATO DIL'!$V$9&lt;&gt;"",'FORMATO DIL'!U24&lt;&gt;""),"Do: "&amp;'FR PD 001 V1'!J18&amp;"mg   VolDo: "&amp;'FORMATO DIL'!U24&amp;"mL",IF(AND('FORMATO DIL'!$U$9&lt;&gt;"",'FORMATO DIL'!U24&lt;&gt;""),"Do: "&amp;'FR PD 001 V1'!J18&amp;"mg   VolDo: "&amp;'DATOS ETIQ'!G14&amp;"mL  "&amp;"VolTotal:  "&amp;'FORMATO DIL'!U24&amp;"mL",IF('DATOS ETIQ'!P14=1,"Do: "&amp;'DATOS ETIQ'!F14&amp;'DATOS ETIQ'!V14&amp;"   VolDo: "&amp;'DATOS ETIQ'!G14&amp;"mL","Dilución 1/"&amp;'DATOS ETIQ'!P14&amp;"  "&amp;'DATOS ETIQ'!E14&amp;'DATOS ETIQ'!V14&amp;"/mL   Do: "&amp;'DATOS ETIQ'!F14&amp;'DATOS ETIQ'!V14&amp;"   VolDo: "&amp;'DATOS ETIQ'!G14&amp;"mL"))))</f>
        <v>#N/A</v>
      </c>
    </row>
    <row r="15" spans="1:30">
      <c r="A15" s="175">
        <f>'FR PD 001 V1'!G19</f>
        <v>0</v>
      </c>
      <c r="B15" s="175" t="e">
        <f>VLOOKUP(A15,ESTANDAR!A:B,2,0)</f>
        <v>#N/A</v>
      </c>
      <c r="C15" s="175" t="e">
        <f>VLOOKUP(A15,ESTANDAR!A:D,4,0)</f>
        <v>#N/A</v>
      </c>
      <c r="D15" s="184" t="e">
        <f>IF('FORMATO DIL'!B$6="NEO+PED",VLOOKUP(A15,ESTANDAR!A:G,6,0),VLOOKUP(A15,ESTANDAR!A:G,7,0))</f>
        <v>#N/A</v>
      </c>
      <c r="E15" s="175" t="str">
        <f>'FR PD 001 V1'!L19</f>
        <v>ERROR</v>
      </c>
      <c r="F15" s="175">
        <f>'FR PD 001 V1'!J19</f>
        <v>0</v>
      </c>
      <c r="G15" s="175">
        <f>ROUND('FR PD 001 V1'!M19,2)</f>
        <v>0</v>
      </c>
      <c r="H15" s="178" t="e">
        <f ca="1">'FR PD 001 V1'!P19</f>
        <v>#N/A</v>
      </c>
      <c r="I15" s="175" t="str">
        <f>'FR PD 001 V1'!O19</f>
        <v/>
      </c>
      <c r="J15" s="175" t="str">
        <f>LEFT('FR PD 001 V1'!B19,30)</f>
        <v/>
      </c>
      <c r="K15" s="175">
        <f>'FR PD 001 V1'!C19</f>
        <v>0</v>
      </c>
      <c r="L15" s="175" t="str">
        <f>'FORMATO DIL'!B$7</f>
        <v>JGARCIA</v>
      </c>
      <c r="M15" s="175" t="str">
        <f>'FORMATO DIL'!B$8</f>
        <v>ADELTORO</v>
      </c>
      <c r="N15" s="175" t="str">
        <f>'FORMATO DIL'!B$2</f>
        <v>C.JPC/SEXTO NTE/SCOOP</v>
      </c>
      <c r="O15" s="175" t="str">
        <f>'FR PD 001 V1'!E19</f>
        <v>NA</v>
      </c>
      <c r="P15" s="181" t="e">
        <f t="shared" si="0"/>
        <v>#N/A</v>
      </c>
      <c r="Q15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ADULTO"),AA15,IF(LEFT(R15,3)="INF",Y15,IF(OR(B15="INSULINA NPH",B15="INSULINA CRISTALINA",B15="PENICILINA CRIST."),B15&amp;" "&amp;C15&amp;" "&amp;D15&amp;"U.I./mL",B15&amp;" "&amp;C15&amp;" "&amp;D15&amp;"mg/mL")))</f>
        <v>#N/A</v>
      </c>
      <c r="R15" s="4">
        <f>IF(OR('FR PD 001 V1'!S19="JER 1mL",'FR PD 001 V1'!S19="JER 3mL",'FR PD 001 V1'!S19="JER 5mL",'FR PD 001 V1'!S19="JER 10mL",'FR PD 001 V1'!S19="JER 20mL",'FR PD 001 V1'!S19="JER 50mL"),"JERINGA",'FR PD 001 V1'!S19)</f>
        <v>0</v>
      </c>
      <c r="S15" s="4" t="e">
        <f>IF(OR('FORMATO DIL'!$A$1="MN_HOSPITAL MEISSEN/UCI NEO",'FORMATO DIL'!$A$1="MP_HOSPITAL MEISSEN/PED",'FORMATO DIL'!$A$1="MA_HOSPITAL MEISSEN/UCI ADULTO"),'FORMATO DIL'!O25,IF(VLOOKUP(A15,ESTANDAR!$A$2:$O$682,15,0)=0,"      -------",VLOOKUP(A15,ESTANDAR!$A$2:$O$682,15,0)))</f>
        <v>#N/A</v>
      </c>
      <c r="T15" s="4" t="e">
        <f t="shared" ca="1" si="1"/>
        <v>#N/A</v>
      </c>
      <c r="U15" s="4" t="e">
        <f>IF(AND('FORMATO DIL'!U25&gt;0,'FORMATO DIL'!V25&gt;0),"Do: "&amp;F15&amp;V15&amp;"  VolTotal: "&amp;'FORMATO DIL'!U25&amp;"mL"&amp;" a "&amp;'FORMATO DIL'!V25&amp;"mL/h","Do: "&amp;F15&amp;V15&amp;"  VolDo: "&amp;G15&amp;"mL")</f>
        <v>#N/A</v>
      </c>
      <c r="V15" s="4" t="e">
        <f t="shared" si="2"/>
        <v>#N/A</v>
      </c>
      <c r="W15" s="4" t="e">
        <f>"Conc:  "&amp;IF('FORMATO DIL'!L25&gt;0,IF(OR(B15="GONADOTROPINA CORIONICA",B15="HEPARINA",B15="INSULINA CRISTALINA",B15="INSULINA NPH",B15="PENICILINA CRIST.",B15="POLIMIXINA B"),'FORMATO DIL'!L25&amp;"U.I/mL",'FORMATO DIL'!L25&amp;"mg/mL"),'DATOS ETIQ'!C15)</f>
        <v>#N/A</v>
      </c>
      <c r="X15" s="4" t="e">
        <f>IF(OR('FORMATO DIL'!U25&gt;0,'FORMATO DIL'!V25&gt;0),"  VOL TOTAL:  "&amp;'FORMATO DIL'!U25&amp;"mL"&amp;" a "&amp;'FORMATO DIL'!V25&amp;"mL/h",ROUND((F15/E15),1))</f>
        <v>#VALUE!</v>
      </c>
      <c r="Y15" s="4" t="e">
        <f>B15&amp;" INF SSN 0.9% "&amp;'FR PD 001 V1'!N19</f>
        <v>#N/A</v>
      </c>
      <c r="Z15" s="4" t="str">
        <f>"ID :"&amp;K15&amp;"   F. Nac:  "&amp;UPPER(TEXT('FORMATO DIL'!F25,"ddmmmyy"))</f>
        <v>ID :0   F. Nac:  00ENE00</v>
      </c>
      <c r="AA15" s="4" t="e">
        <f>IF('FORMATO DIL'!L25&lt;&gt;"",IF(OR(B15="INSULINA NPH",B15="INSULINA CRISTALINA",B15="PENICILINA CRIST."),B15&amp;" "&amp;C15&amp;" "&amp;'FORMATO DIL'!L25&amp;"U.I./mL",B15&amp;" "&amp;C15&amp;" "&amp;'FORMATO DIL'!L25&amp;"mg/mL"),IF(OR(B15="INSULINA NPH",B15="INSULINA CRISTALINA",B15="PENICILINA CRIST."),B15&amp;" "&amp;C15&amp;" "&amp;D15&amp;"U.I./mL",B15&amp;" "&amp;C15&amp;" "&amp;D15&amp;"mg/mL"))</f>
        <v>#N/A</v>
      </c>
      <c r="AB15" s="4" t="e">
        <f>+VLOOKUP(A15,ESTANDAR!$A$2:$K$645,11,0)</f>
        <v>#N/A</v>
      </c>
      <c r="AC15" s="4" t="e">
        <f>IF(AND('FORMATO DIL'!U25&gt;0,'FORMATO DIL'!V25&gt;0),"Do: "&amp;F15&amp;V15&amp;"  VolTotal: "&amp;'FORMATO DIL'!U25&amp;"mL"&amp;" a "&amp;'FORMATO DIL'!V25&amp;"mL/h",IF('FORMATO DIL'!U25&gt;0,"Do: "&amp;F15&amp;V15&amp;"  VolTotal: "&amp;'FORMATO DIL'!U25&amp;"mL","Do: "&amp;F15&amp;V15&amp;"  VolDo: "&amp;G15&amp;"mL"))</f>
        <v>#N/A</v>
      </c>
      <c r="AD15" s="4" t="e">
        <f>IF(OR('FORMATO DIL'!$A$1="MN_HOSPITAL MEISSEN/UCI NEO",'FORMATO DIL'!$A$1="MP_HOSPITAL MEISSEN/PED",'FORMATO DIL'!$A$1="MA_HOSPITAL MEISSEN/UCI ADULTO"),AC15,IF(AND('FORMATO DIL'!$V$9&lt;&gt;"",'FORMATO DIL'!U25&lt;&gt;""),"Do: "&amp;'FR PD 001 V1'!J19&amp;"mg   VolDo: "&amp;'FORMATO DIL'!U25&amp;"mL",IF(AND('FORMATO DIL'!$U$9&lt;&gt;"",'FORMATO DIL'!U25&lt;&gt;""),"Do: "&amp;'FR PD 001 V1'!J19&amp;"mg   VolDo: "&amp;'DATOS ETIQ'!G15&amp;"mL  "&amp;"VolTotal:  "&amp;'FORMATO DIL'!U25&amp;"mL",IF('DATOS ETIQ'!P15=1,"Do: "&amp;'DATOS ETIQ'!F15&amp;'DATOS ETIQ'!V15&amp;"   VolDo: "&amp;'DATOS ETIQ'!G15&amp;"mL","Dilución 1/"&amp;'DATOS ETIQ'!P15&amp;"  "&amp;'DATOS ETIQ'!E15&amp;'DATOS ETIQ'!V15&amp;"/mL   Do: "&amp;'DATOS ETIQ'!F15&amp;'DATOS ETIQ'!V15&amp;"   VolDo: "&amp;'DATOS ETIQ'!G15&amp;"mL"))))</f>
        <v>#N/A</v>
      </c>
    </row>
    <row r="16" spans="1:30">
      <c r="A16" s="175">
        <f>'FR PD 001 V1'!G20</f>
        <v>0</v>
      </c>
      <c r="B16" s="175" t="e">
        <f>VLOOKUP(A16,ESTANDAR!A:B,2,0)</f>
        <v>#N/A</v>
      </c>
      <c r="C16" s="175" t="e">
        <f>VLOOKUP(A16,ESTANDAR!A:D,4,0)</f>
        <v>#N/A</v>
      </c>
      <c r="D16" s="184" t="e">
        <f>IF('FORMATO DIL'!B$6="NEO+PED",VLOOKUP(A16,ESTANDAR!A:G,6,0),VLOOKUP(A16,ESTANDAR!A:G,7,0))</f>
        <v>#N/A</v>
      </c>
      <c r="E16" s="175" t="str">
        <f>'FR PD 001 V1'!L20</f>
        <v>ERROR</v>
      </c>
      <c r="F16" s="175">
        <f>'FR PD 001 V1'!J20</f>
        <v>0</v>
      </c>
      <c r="G16" s="175">
        <f>ROUND('FR PD 001 V1'!M20,2)</f>
        <v>0</v>
      </c>
      <c r="H16" s="178" t="e">
        <f ca="1">'FR PD 001 V1'!P20</f>
        <v>#N/A</v>
      </c>
      <c r="I16" s="175" t="str">
        <f>'FR PD 001 V1'!O20</f>
        <v/>
      </c>
      <c r="J16" s="175" t="str">
        <f>LEFT('FR PD 001 V1'!B20,30)</f>
        <v/>
      </c>
      <c r="K16" s="175">
        <f>'FR PD 001 V1'!C20</f>
        <v>0</v>
      </c>
      <c r="L16" s="175" t="str">
        <f>'FORMATO DIL'!B$7</f>
        <v>JGARCIA</v>
      </c>
      <c r="M16" s="175" t="str">
        <f>'FORMATO DIL'!B$8</f>
        <v>ADELTORO</v>
      </c>
      <c r="N16" s="175" t="str">
        <f>'FORMATO DIL'!B$2</f>
        <v>C.JPC/SEXTO NTE/SCOOP</v>
      </c>
      <c r="O16" s="175" t="str">
        <f>'FR PD 001 V1'!E20</f>
        <v>NA</v>
      </c>
      <c r="P16" s="181" t="e">
        <f t="shared" si="0"/>
        <v>#N/A</v>
      </c>
      <c r="Q16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ADULTO"),AA16,IF(LEFT(R16,3)="INF",Y16,IF(OR(B16="INSULINA NPH",B16="INSULINA CRISTALINA",B16="PENICILINA CRIST."),B16&amp;" "&amp;C16&amp;" "&amp;D16&amp;"U.I./mL",B16&amp;" "&amp;C16&amp;" "&amp;D16&amp;"mg/mL")))</f>
        <v>#N/A</v>
      </c>
      <c r="R16" s="4">
        <f>IF(OR('FR PD 001 V1'!S20="JER 1mL",'FR PD 001 V1'!S20="JER 3mL",'FR PD 001 V1'!S20="JER 5mL",'FR PD 001 V1'!S20="JER 10mL",'FR PD 001 V1'!S20="JER 20mL",'FR PD 001 V1'!S20="JER 50mL"),"JERINGA",'FR PD 001 V1'!S20)</f>
        <v>0</v>
      </c>
      <c r="S16" s="4" t="e">
        <f>IF(OR('FORMATO DIL'!$A$1="MN_HOSPITAL MEISSEN/UCI NEO",'FORMATO DIL'!$A$1="MP_HOSPITAL MEISSEN/PED",'FORMATO DIL'!$A$1="MA_HOSPITAL MEISSEN/UCI ADULTO"),'FORMATO DIL'!O26,IF(VLOOKUP(A16,ESTANDAR!$A$2:$O$682,15,0)=0,"      -------",VLOOKUP(A16,ESTANDAR!$A$2:$O$682,15,0)))</f>
        <v>#N/A</v>
      </c>
      <c r="T16" s="4" t="e">
        <f t="shared" ca="1" si="1"/>
        <v>#N/A</v>
      </c>
      <c r="U16" s="4" t="e">
        <f>IF(AND('FORMATO DIL'!U26&gt;0,'FORMATO DIL'!V26&gt;0),"Do: "&amp;F16&amp;V16&amp;"  VolTotal: "&amp;'FORMATO DIL'!U26&amp;"mL"&amp;" a "&amp;'FORMATO DIL'!V26&amp;"mL/h","Do: "&amp;F16&amp;V16&amp;"  VolDo: "&amp;G16&amp;"mL")</f>
        <v>#N/A</v>
      </c>
      <c r="V16" s="4" t="e">
        <f t="shared" si="2"/>
        <v>#N/A</v>
      </c>
      <c r="W16" s="4" t="e">
        <f>"Conc:  "&amp;IF('FORMATO DIL'!L26&gt;0,IF(OR(B16="GONADOTROPINA CORIONICA",B16="HEPARINA",B16="INSULINA CRISTALINA",B16="INSULINA NPH",B16="PENICILINA CRIST.",B16="POLIMIXINA B"),'FORMATO DIL'!L26&amp;"U.I/mL",'FORMATO DIL'!L26&amp;"mg/mL"),'DATOS ETIQ'!C16)</f>
        <v>#N/A</v>
      </c>
      <c r="X16" s="4" t="e">
        <f>IF(OR('FORMATO DIL'!U26&gt;0,'FORMATO DIL'!V26&gt;0),"  VOL TOTAL:  "&amp;'FORMATO DIL'!U26&amp;"mL"&amp;" a "&amp;'FORMATO DIL'!V26&amp;"mL/h",ROUND((F16/E16),1))</f>
        <v>#VALUE!</v>
      </c>
      <c r="Y16" s="4" t="e">
        <f>B16&amp;" INF SSN 0.9% "&amp;'FR PD 001 V1'!N20</f>
        <v>#N/A</v>
      </c>
      <c r="Z16" s="4" t="str">
        <f>"ID :"&amp;K16&amp;"   F. Nac:  "&amp;UPPER(TEXT('FORMATO DIL'!F26,"ddmmmyy"))</f>
        <v>ID :0   F. Nac:  00ENE00</v>
      </c>
      <c r="AA16" s="4" t="e">
        <f>IF('FORMATO DIL'!L26&lt;&gt;"",IF(OR(B16="INSULINA NPH",B16="INSULINA CRISTALINA",B16="PENICILINA CRIST."),B16&amp;" "&amp;C16&amp;" "&amp;'FORMATO DIL'!L26&amp;"U.I./mL",B16&amp;" "&amp;C16&amp;" "&amp;'FORMATO DIL'!L26&amp;"mg/mL"),IF(OR(B16="INSULINA NPH",B16="INSULINA CRISTALINA",B16="PENICILINA CRIST."),B16&amp;" "&amp;C16&amp;" "&amp;D16&amp;"U.I./mL",B16&amp;" "&amp;C16&amp;" "&amp;D16&amp;"mg/mL"))</f>
        <v>#N/A</v>
      </c>
      <c r="AB16" s="4" t="e">
        <f>+VLOOKUP(A16,ESTANDAR!$A$2:$K$645,11,0)</f>
        <v>#N/A</v>
      </c>
      <c r="AC16" s="4" t="e">
        <f>IF(AND('FORMATO DIL'!U26&gt;0,'FORMATO DIL'!V26&gt;0),"Do: "&amp;F16&amp;V16&amp;"  VolTotal: "&amp;'FORMATO DIL'!U26&amp;"mL"&amp;" a "&amp;'FORMATO DIL'!V26&amp;"mL/h",IF('FORMATO DIL'!U26&gt;0,"Do: "&amp;F16&amp;V16&amp;"  VolTotal: "&amp;'FORMATO DIL'!U26&amp;"mL","Do: "&amp;F16&amp;V16&amp;"  VolDo: "&amp;G16&amp;"mL"))</f>
        <v>#N/A</v>
      </c>
      <c r="AD16" s="4" t="e">
        <f>IF(OR('FORMATO DIL'!$A$1="MN_HOSPITAL MEISSEN/UCI NEO",'FORMATO DIL'!$A$1="MP_HOSPITAL MEISSEN/PED",'FORMATO DIL'!$A$1="MA_HOSPITAL MEISSEN/UCI ADULTO"),AC16,IF(AND('FORMATO DIL'!$V$9&lt;&gt;"",'FORMATO DIL'!U26&lt;&gt;""),"Do: "&amp;'FR PD 001 V1'!J20&amp;"mg   VolDo: "&amp;'FORMATO DIL'!U26&amp;"mL",IF(AND('FORMATO DIL'!$U$9&lt;&gt;"",'FORMATO DIL'!U26&lt;&gt;""),"Do: "&amp;'FR PD 001 V1'!J20&amp;"mg   VolDo: "&amp;'DATOS ETIQ'!G16&amp;"mL  "&amp;"VolTotal:  "&amp;'FORMATO DIL'!U26&amp;"mL",IF('DATOS ETIQ'!P16=1,"Do: "&amp;'DATOS ETIQ'!F16&amp;'DATOS ETIQ'!V16&amp;"   VolDo: "&amp;'DATOS ETIQ'!G16&amp;"mL","Dilución 1/"&amp;'DATOS ETIQ'!P16&amp;"  "&amp;'DATOS ETIQ'!E16&amp;'DATOS ETIQ'!V16&amp;"/mL   Do: "&amp;'DATOS ETIQ'!F16&amp;'DATOS ETIQ'!V16&amp;"   VolDo: "&amp;'DATOS ETIQ'!G16&amp;"mL"))))</f>
        <v>#N/A</v>
      </c>
    </row>
    <row r="17" spans="1:30">
      <c r="A17" s="175">
        <f>'FR PD 001 V1'!G21</f>
        <v>0</v>
      </c>
      <c r="B17" s="175" t="e">
        <f>VLOOKUP(A17,ESTANDAR!A:B,2,0)</f>
        <v>#N/A</v>
      </c>
      <c r="C17" s="175" t="e">
        <f>VLOOKUP(A17,ESTANDAR!A:D,4,0)</f>
        <v>#N/A</v>
      </c>
      <c r="D17" s="184" t="e">
        <f>IF('FORMATO DIL'!B$6="NEO+PED",VLOOKUP(A17,ESTANDAR!A:G,6,0),VLOOKUP(A17,ESTANDAR!A:G,7,0))</f>
        <v>#N/A</v>
      </c>
      <c r="E17" s="175" t="str">
        <f>'FR PD 001 V1'!L21</f>
        <v>ERROR</v>
      </c>
      <c r="F17" s="175">
        <f>'FR PD 001 V1'!J21</f>
        <v>0</v>
      </c>
      <c r="G17" s="175">
        <f>ROUND('FR PD 001 V1'!M21,2)</f>
        <v>0</v>
      </c>
      <c r="H17" s="178" t="e">
        <f ca="1">'FR PD 001 V1'!P21</f>
        <v>#N/A</v>
      </c>
      <c r="I17" s="175" t="str">
        <f>'FR PD 001 V1'!O21</f>
        <v/>
      </c>
      <c r="J17" s="175" t="str">
        <f>LEFT('FR PD 001 V1'!B21,30)</f>
        <v/>
      </c>
      <c r="K17" s="175">
        <f>'FR PD 001 V1'!C21</f>
        <v>0</v>
      </c>
      <c r="L17" s="175" t="str">
        <f>'FORMATO DIL'!B$7</f>
        <v>JGARCIA</v>
      </c>
      <c r="M17" s="175" t="str">
        <f>'FORMATO DIL'!B$8</f>
        <v>ADELTORO</v>
      </c>
      <c r="N17" s="175" t="str">
        <f>'FORMATO DIL'!B$2</f>
        <v>C.JPC/SEXTO NTE/SCOOP</v>
      </c>
      <c r="O17" s="175" t="str">
        <f>'FR PD 001 V1'!E21</f>
        <v>NA</v>
      </c>
      <c r="P17" s="181" t="e">
        <f t="shared" si="0"/>
        <v>#N/A</v>
      </c>
      <c r="Q17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ADULTO"),AA17,IF(LEFT(R17,3)="INF",Y17,IF(OR(B17="INSULINA NPH",B17="INSULINA CRISTALINA",B17="PENICILINA CRIST."),B17&amp;" "&amp;C17&amp;" "&amp;D17&amp;"U.I./mL",B17&amp;" "&amp;C17&amp;" "&amp;D17&amp;"mg/mL")))</f>
        <v>#N/A</v>
      </c>
      <c r="R17" s="4">
        <f>IF(OR('FR PD 001 V1'!S21="JER 1mL",'FR PD 001 V1'!S21="JER 3mL",'FR PD 001 V1'!S21="JER 5mL",'FR PD 001 V1'!S21="JER 10mL",'FR PD 001 V1'!S21="JER 20mL",'FR PD 001 V1'!S21="JER 50mL"),"JERINGA",'FR PD 001 V1'!S21)</f>
        <v>0</v>
      </c>
      <c r="S17" s="4" t="e">
        <f>IF(OR('FORMATO DIL'!$A$1="MN_HOSPITAL MEISSEN/UCI NEO",'FORMATO DIL'!$A$1="MP_HOSPITAL MEISSEN/PED",'FORMATO DIL'!$A$1="MA_HOSPITAL MEISSEN/UCI ADULTO"),'FORMATO DIL'!O27,IF(VLOOKUP(A17,ESTANDAR!$A$2:$O$682,15,0)=0,"      -------",VLOOKUP(A17,ESTANDAR!$A$2:$O$682,15,0)))</f>
        <v>#N/A</v>
      </c>
      <c r="T17" s="4" t="e">
        <f ca="1">CONCATENATE(DAY(H17),"/",MONTH(H17),"/",YEAR(H17))</f>
        <v>#N/A</v>
      </c>
      <c r="U17" s="4" t="e">
        <f>IF(AND('FORMATO DIL'!U27&gt;0,'FORMATO DIL'!V27&gt;0),"Do: "&amp;F17&amp;V17&amp;"  VolTotal: "&amp;'FORMATO DIL'!U27&amp;"mL"&amp;" a "&amp;'FORMATO DIL'!V27&amp;"mL/h","Do: "&amp;F17&amp;V17&amp;"  VolDo: "&amp;G17&amp;"mL")</f>
        <v>#N/A</v>
      </c>
      <c r="V17" s="4" t="e">
        <f t="shared" si="2"/>
        <v>#N/A</v>
      </c>
      <c r="W17" s="4" t="e">
        <f>"Conc:  "&amp;IF('FORMATO DIL'!L27&gt;0,IF(OR(B17="GONADOTROPINA CORIONICA",B17="HEPARINA",B17="INSULINA CRISTALINA",B17="INSULINA NPH",B17="PENICILINA CRIST.",B17="POLIMIXINA B"),'FORMATO DIL'!L27&amp;"U.I/mL",'FORMATO DIL'!L27&amp;"mg/mL"),'DATOS ETIQ'!C17)</f>
        <v>#N/A</v>
      </c>
      <c r="X17" s="4" t="e">
        <f>IF(OR('FORMATO DIL'!U27&gt;0,'FORMATO DIL'!V27&gt;0),"  VOL TOTAL:  "&amp;'FORMATO DIL'!U27&amp;"mL"&amp;" a "&amp;'FORMATO DIL'!V27&amp;"mL/h",ROUND((F17/E17),1))</f>
        <v>#VALUE!</v>
      </c>
      <c r="Y17" s="4" t="e">
        <f>B17&amp;" INF SSN 0.9% "&amp;'FR PD 001 V1'!N21</f>
        <v>#N/A</v>
      </c>
      <c r="Z17" s="4" t="str">
        <f>"ID :"&amp;K17&amp;"   F. Nac:  "&amp;UPPER(TEXT('FORMATO DIL'!F27,"ddmmmyy"))</f>
        <v>ID :0   F. Nac:  00ENE00</v>
      </c>
      <c r="AA17" s="4" t="e">
        <f>IF('FORMATO DIL'!L27&lt;&gt;"",IF(OR(B17="INSULINA NPH",B17="INSULINA CRISTALINA",B17="PENICILINA CRIST."),B17&amp;" "&amp;C17&amp;" "&amp;'FORMATO DIL'!L27&amp;"U.I./mL",B17&amp;" "&amp;C17&amp;" "&amp;'FORMATO DIL'!L27&amp;"mg/mL"),IF(OR(B17="INSULINA NPH",B17="INSULINA CRISTALINA",B17="PENICILINA CRIST."),B17&amp;" "&amp;C17&amp;" "&amp;D17&amp;"U.I./mL",B17&amp;" "&amp;C17&amp;" "&amp;D17&amp;"mg/mL"))</f>
        <v>#N/A</v>
      </c>
      <c r="AB17" s="4" t="e">
        <f>+VLOOKUP(A17,ESTANDAR!$A$2:$K$645,11,0)</f>
        <v>#N/A</v>
      </c>
      <c r="AC17" s="4" t="e">
        <f>IF(AND('FORMATO DIL'!U27&gt;0,'FORMATO DIL'!V27&gt;0),"Do: "&amp;F17&amp;V17&amp;"  VolTotal: "&amp;'FORMATO DIL'!U27&amp;"mL"&amp;" a "&amp;'FORMATO DIL'!V27&amp;"mL/h",IF('FORMATO DIL'!U27&gt;0,"Do: "&amp;F17&amp;V17&amp;"  VolTotal: "&amp;'FORMATO DIL'!U27&amp;"mL","Do: "&amp;F17&amp;V17&amp;"  VolDo: "&amp;G17&amp;"mL"))</f>
        <v>#N/A</v>
      </c>
      <c r="AD17" s="4" t="e">
        <f>IF(OR('FORMATO DIL'!$A$1="MN_HOSPITAL MEISSEN/UCI NEO",'FORMATO DIL'!$A$1="MP_HOSPITAL MEISSEN/PED",'FORMATO DIL'!$A$1="MA_HOSPITAL MEISSEN/UCI ADULTO"),AC17,IF(AND('FORMATO DIL'!$V$9&lt;&gt;"",'FORMATO DIL'!U27&lt;&gt;""),"Do: "&amp;'FR PD 001 V1'!J21&amp;"mg   VolDo: "&amp;'FORMATO DIL'!U27&amp;"mL",IF(AND('FORMATO DIL'!$U$9&lt;&gt;"",'FORMATO DIL'!U27&lt;&gt;""),"Do: "&amp;'FR PD 001 V1'!J21&amp;"mg   VolDo: "&amp;'DATOS ETIQ'!G17&amp;"mL  "&amp;"VolTotal:  "&amp;'FORMATO DIL'!U27&amp;"mL",IF('DATOS ETIQ'!P17=1,"Do: "&amp;'DATOS ETIQ'!F17&amp;'DATOS ETIQ'!V17&amp;"   VolDo: "&amp;'DATOS ETIQ'!G17&amp;"mL","Dilución 1/"&amp;'DATOS ETIQ'!P17&amp;"  "&amp;'DATOS ETIQ'!E17&amp;'DATOS ETIQ'!V17&amp;"/mL   Do: "&amp;'DATOS ETIQ'!F17&amp;'DATOS ETIQ'!V17&amp;"   VolDo: "&amp;'DATOS ETIQ'!G17&amp;"mL"))))</f>
        <v>#N/A</v>
      </c>
    </row>
    <row r="18" spans="1:30">
      <c r="A18" s="175">
        <f>'FR PD 001 V1'!G22</f>
        <v>0</v>
      </c>
      <c r="B18" s="175" t="e">
        <f>VLOOKUP(A18,ESTANDAR!A:B,2,0)</f>
        <v>#N/A</v>
      </c>
      <c r="C18" s="175" t="e">
        <f>VLOOKUP(A18,ESTANDAR!A:D,4,0)</f>
        <v>#N/A</v>
      </c>
      <c r="D18" s="184" t="e">
        <f>IF('FORMATO DIL'!B$6="NEO+PED",VLOOKUP(A18,ESTANDAR!A:G,6,0),VLOOKUP(A18,ESTANDAR!A:G,7,0))</f>
        <v>#N/A</v>
      </c>
      <c r="E18" s="175" t="str">
        <f>'FR PD 001 V1'!L22</f>
        <v>ERROR</v>
      </c>
      <c r="F18" s="175">
        <f>'FR PD 001 V1'!J22</f>
        <v>0</v>
      </c>
      <c r="G18" s="175">
        <f>ROUND('FR PD 001 V1'!M22,2)</f>
        <v>0</v>
      </c>
      <c r="H18" s="178" t="e">
        <f ca="1">'FR PD 001 V1'!P22</f>
        <v>#N/A</v>
      </c>
      <c r="I18" s="175" t="str">
        <f>'FR PD 001 V1'!O22</f>
        <v/>
      </c>
      <c r="J18" s="175" t="str">
        <f>LEFT('FR PD 001 V1'!B22,30)</f>
        <v/>
      </c>
      <c r="K18" s="175">
        <f>'FR PD 001 V1'!C22</f>
        <v>0</v>
      </c>
      <c r="L18" s="175" t="str">
        <f>'FORMATO DIL'!B$7</f>
        <v>JGARCIA</v>
      </c>
      <c r="M18" s="175" t="str">
        <f>'FORMATO DIL'!B$8</f>
        <v>ADELTORO</v>
      </c>
      <c r="N18" s="175" t="str">
        <f>'FORMATO DIL'!B$2</f>
        <v>C.JPC/SEXTO NTE/SCOOP</v>
      </c>
      <c r="O18" s="175" t="str">
        <f>'FR PD 001 V1'!E22</f>
        <v>NA</v>
      </c>
      <c r="P18" s="181" t="e">
        <f t="shared" si="0"/>
        <v>#N/A</v>
      </c>
      <c r="Q18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ADULTO"),AA18,IF(LEFT(R18,3)="INF",Y18,IF(OR(B18="INSULINA NPH",B18="INSULINA CRISTALINA",B18="PENICILINA CRIST."),B18&amp;" "&amp;C18&amp;" "&amp;D18&amp;"U.I./mL",B18&amp;" "&amp;C18&amp;" "&amp;D18&amp;"mg/mL")))</f>
        <v>#N/A</v>
      </c>
      <c r="R18" s="4">
        <f>IF(OR('FR PD 001 V1'!S22="JER 1mL",'FR PD 001 V1'!S22="JER 3mL",'FR PD 001 V1'!S22="JER 5mL",'FR PD 001 V1'!S22="JER 10mL",'FR PD 001 V1'!S22="JER 20mL",'FR PD 001 V1'!S22="JER 50mL"),"JERINGA",'FR PD 001 V1'!S22)</f>
        <v>0</v>
      </c>
      <c r="S18" s="4" t="e">
        <f>IF(OR('FORMATO DIL'!$A$1="MN_HOSPITAL MEISSEN/UCI NEO",'FORMATO DIL'!$A$1="MP_HOSPITAL MEISSEN/PED",'FORMATO DIL'!$A$1="MA_HOSPITAL MEISSEN/UCI ADULTO"),'FORMATO DIL'!O28,IF(VLOOKUP(A18,ESTANDAR!$A$2:$O$682,15,0)=0,"      -------",VLOOKUP(A18,ESTANDAR!$A$2:$O$682,15,0)))</f>
        <v>#N/A</v>
      </c>
      <c r="T18" s="4" t="e">
        <f t="shared" ca="1" si="1"/>
        <v>#N/A</v>
      </c>
      <c r="U18" s="4" t="e">
        <f>IF(AND('FORMATO DIL'!U28&gt;0,'FORMATO DIL'!V28&gt;0),"Do: "&amp;F18&amp;V18&amp;"  VolTotal: "&amp;'FORMATO DIL'!U28&amp;"mL"&amp;" a "&amp;'FORMATO DIL'!V28&amp;"mL/h","Do: "&amp;F18&amp;V18&amp;"  VolDo: "&amp;G18&amp;"mL")</f>
        <v>#N/A</v>
      </c>
      <c r="V18" s="4" t="e">
        <f t="shared" si="2"/>
        <v>#N/A</v>
      </c>
      <c r="W18" s="4" t="e">
        <f>"Conc:  "&amp;IF('FORMATO DIL'!L28&gt;0,IF(OR(B18="GONADOTROPINA CORIONICA",B18="HEPARINA",B18="INSULINA CRISTALINA",B18="INSULINA NPH",B18="PENICILINA CRIST.",B18="POLIMIXINA B"),'FORMATO DIL'!L28&amp;"U.I/mL",'FORMATO DIL'!L28&amp;"mg/mL"),'DATOS ETIQ'!C18)</f>
        <v>#N/A</v>
      </c>
      <c r="X18" s="4" t="e">
        <f>IF(OR('FORMATO DIL'!U28&gt;0,'FORMATO DIL'!V28&gt;0),"  VOL TOTAL:  "&amp;'FORMATO DIL'!U28&amp;"mL"&amp;" a "&amp;'FORMATO DIL'!V28&amp;"mL/h",ROUND((F18/E18),1))</f>
        <v>#VALUE!</v>
      </c>
      <c r="Y18" s="4" t="e">
        <f>B18&amp;" INF SSN 0.9% "&amp;'FR PD 001 V1'!N22</f>
        <v>#N/A</v>
      </c>
      <c r="Z18" s="4" t="str">
        <f>"ID :"&amp;K18&amp;"   F. Nac:  "&amp;UPPER(TEXT('FORMATO DIL'!F28,"ddmmmyy"))</f>
        <v>ID :0   F. Nac:  00ENE00</v>
      </c>
      <c r="AA18" s="4" t="e">
        <f>IF('FORMATO DIL'!L28&lt;&gt;"",IF(OR(B18="INSULINA NPH",B18="INSULINA CRISTALINA",B18="PENICILINA CRIST."),B18&amp;" "&amp;C18&amp;" "&amp;'FORMATO DIL'!L28&amp;"U.I./mL",B18&amp;" "&amp;C18&amp;" "&amp;'FORMATO DIL'!L28&amp;"mg/mL"),IF(OR(B18="INSULINA NPH",B18="INSULINA CRISTALINA",B18="PENICILINA CRIST."),B18&amp;" "&amp;C18&amp;" "&amp;D18&amp;"U.I./mL",B18&amp;" "&amp;C18&amp;" "&amp;D18&amp;"mg/mL"))</f>
        <v>#N/A</v>
      </c>
      <c r="AB18" s="4" t="e">
        <f>+VLOOKUP(A18,ESTANDAR!$A$2:$K$645,11,0)</f>
        <v>#N/A</v>
      </c>
      <c r="AC18" s="4" t="e">
        <f>IF(AND('FORMATO DIL'!U28&gt;0,'FORMATO DIL'!V28&gt;0),"Do: "&amp;F18&amp;V18&amp;"  VolTotal: "&amp;'FORMATO DIL'!U28&amp;"mL"&amp;" a "&amp;'FORMATO DIL'!V28&amp;"mL/h",IF('FORMATO DIL'!U28&gt;0,"Do: "&amp;F18&amp;V18&amp;"  VolTotal: "&amp;'FORMATO DIL'!U28&amp;"mL","Do: "&amp;F18&amp;V18&amp;"  VolDo: "&amp;G18&amp;"mL"))</f>
        <v>#N/A</v>
      </c>
      <c r="AD18" s="4" t="e">
        <f>IF(OR('FORMATO DIL'!$A$1="MN_HOSPITAL MEISSEN/UCI NEO",'FORMATO DIL'!$A$1="MP_HOSPITAL MEISSEN/PED",'FORMATO DIL'!$A$1="MA_HOSPITAL MEISSEN/UCI ADULTO"),AC18,IF(AND('FORMATO DIL'!$V$9&lt;&gt;"",'FORMATO DIL'!U28&lt;&gt;""),"Do: "&amp;'FR PD 001 V1'!J22&amp;"mg   VolDo: "&amp;'FORMATO DIL'!U28&amp;"mL",IF(AND('FORMATO DIL'!$U$9&lt;&gt;"",'FORMATO DIL'!U28&lt;&gt;""),"Do: "&amp;'FR PD 001 V1'!J22&amp;"mg   VolDo: "&amp;'DATOS ETIQ'!G18&amp;"mL  "&amp;"VolTotal:  "&amp;'FORMATO DIL'!U28&amp;"mL",IF('DATOS ETIQ'!P18=1,"Do: "&amp;'DATOS ETIQ'!F18&amp;'DATOS ETIQ'!V18&amp;"   VolDo: "&amp;'DATOS ETIQ'!G18&amp;"mL","Dilución 1/"&amp;'DATOS ETIQ'!P18&amp;"  "&amp;'DATOS ETIQ'!E18&amp;'DATOS ETIQ'!V18&amp;"/mL   Do: "&amp;'DATOS ETIQ'!F18&amp;'DATOS ETIQ'!V18&amp;"   VolDo: "&amp;'DATOS ETIQ'!G18&amp;"mL"))))</f>
        <v>#N/A</v>
      </c>
    </row>
    <row r="19" spans="1:30">
      <c r="A19" s="175">
        <f>'FR PD 001 V1'!G23</f>
        <v>0</v>
      </c>
      <c r="B19" s="175" t="e">
        <f>VLOOKUP(A19,ESTANDAR!A:B,2,0)</f>
        <v>#N/A</v>
      </c>
      <c r="C19" s="175" t="e">
        <f>VLOOKUP(A19,ESTANDAR!A:D,4,0)</f>
        <v>#N/A</v>
      </c>
      <c r="D19" s="184" t="e">
        <f>IF('FORMATO DIL'!B$6="NEO+PED",VLOOKUP(A19,ESTANDAR!A:G,6,0),VLOOKUP(A19,ESTANDAR!A:G,7,0))</f>
        <v>#N/A</v>
      </c>
      <c r="E19" s="175" t="str">
        <f>'FR PD 001 V1'!L23</f>
        <v>ERROR</v>
      </c>
      <c r="F19" s="175">
        <f>'FR PD 001 V1'!J23</f>
        <v>0</v>
      </c>
      <c r="G19" s="175">
        <f>ROUND('FR PD 001 V1'!M23,2)</f>
        <v>0</v>
      </c>
      <c r="H19" s="178" t="e">
        <f ca="1">'FR PD 001 V1'!P23</f>
        <v>#N/A</v>
      </c>
      <c r="I19" s="175" t="str">
        <f>'FR PD 001 V1'!O23</f>
        <v/>
      </c>
      <c r="J19" s="175" t="str">
        <f>LEFT('FR PD 001 V1'!B23,30)</f>
        <v/>
      </c>
      <c r="K19" s="175">
        <f>'FR PD 001 V1'!C23</f>
        <v>0</v>
      </c>
      <c r="L19" s="175" t="str">
        <f>'FORMATO DIL'!B$7</f>
        <v>JGARCIA</v>
      </c>
      <c r="M19" s="175" t="str">
        <f>'FORMATO DIL'!B$8</f>
        <v>ADELTORO</v>
      </c>
      <c r="N19" s="175" t="str">
        <f>'FORMATO DIL'!B$2</f>
        <v>C.JPC/SEXTO NTE/SCOOP</v>
      </c>
      <c r="O19" s="175" t="str">
        <f>'FR PD 001 V1'!E23</f>
        <v>NA</v>
      </c>
      <c r="P19" s="181" t="e">
        <f t="shared" si="0"/>
        <v>#N/A</v>
      </c>
      <c r="Q19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ADULTO"),AA19,IF(LEFT(R19,3)="INF",Y19,IF(OR(B19="INSULINA NPH",B19="INSULINA CRISTALINA",B19="PENICILINA CRIST."),B19&amp;" "&amp;C19&amp;" "&amp;D19&amp;"U.I./mL",B19&amp;" "&amp;C19&amp;" "&amp;D19&amp;"mg/mL")))</f>
        <v>#N/A</v>
      </c>
      <c r="R19" s="4">
        <f>IF(OR('FR PD 001 V1'!S23="JER 1mL",'FR PD 001 V1'!S23="JER 3mL",'FR PD 001 V1'!S23="JER 5mL",'FR PD 001 V1'!S23="JER 10mL",'FR PD 001 V1'!S23="JER 20mL",'FR PD 001 V1'!S23="JER 50mL"),"JERINGA",'FR PD 001 V1'!S23)</f>
        <v>0</v>
      </c>
      <c r="S19" s="4" t="e">
        <f>IF(OR('FORMATO DIL'!$A$1="MN_HOSPITAL MEISSEN/UCI NEO",'FORMATO DIL'!$A$1="MP_HOSPITAL MEISSEN/PED",'FORMATO DIL'!$A$1="MA_HOSPITAL MEISSEN/UCI ADULTO"),'FORMATO DIL'!O29,IF(VLOOKUP(A19,ESTANDAR!$A$2:$O$682,15,0)=0,"      -------",VLOOKUP(A19,ESTANDAR!$A$2:$O$682,15,0)))</f>
        <v>#N/A</v>
      </c>
      <c r="T19" s="4" t="e">
        <f t="shared" ca="1" si="1"/>
        <v>#N/A</v>
      </c>
      <c r="U19" s="4" t="e">
        <f>IF(AND('FORMATO DIL'!U29&gt;0,'FORMATO DIL'!V29&gt;0),"Do: "&amp;F19&amp;V19&amp;"  VolTotal: "&amp;'FORMATO DIL'!U29&amp;"mL"&amp;" a "&amp;'FORMATO DIL'!V29&amp;"mL/h","Do: "&amp;F19&amp;V19&amp;"  VolDo: "&amp;G19&amp;"mL")</f>
        <v>#N/A</v>
      </c>
      <c r="V19" s="4" t="e">
        <f t="shared" si="2"/>
        <v>#N/A</v>
      </c>
      <c r="W19" s="4" t="e">
        <f>"Conc:  "&amp;IF('FORMATO DIL'!L29&gt;0,IF(OR(B19="GONADOTROPINA CORIONICA",B19="HEPARINA",B19="INSULINA CRISTALINA",B19="INSULINA NPH",B19="PENICILINA CRIST.",B19="POLIMIXINA B"),'FORMATO DIL'!L29&amp;"U.I/mL",'FORMATO DIL'!L29&amp;"mg/mL"),'DATOS ETIQ'!C19)</f>
        <v>#N/A</v>
      </c>
      <c r="X19" s="4" t="e">
        <f>IF(OR('FORMATO DIL'!U29&gt;0,'FORMATO DIL'!V29&gt;0),"  VOL TOTAL:  "&amp;'FORMATO DIL'!U29&amp;"mL"&amp;" a "&amp;'FORMATO DIL'!V29&amp;"mL/h",ROUND((F19/E19),1))</f>
        <v>#VALUE!</v>
      </c>
      <c r="Y19" s="4" t="e">
        <f>B19&amp;" INF SSN 0.9% "&amp;'FR PD 001 V1'!N23</f>
        <v>#N/A</v>
      </c>
      <c r="Z19" s="4" t="str">
        <f>"ID :"&amp;K19&amp;"   F. Nac:  "&amp;UPPER(TEXT('FORMATO DIL'!F29,"ddmmmyy"))</f>
        <v>ID :0   F. Nac:  00ENE00</v>
      </c>
      <c r="AA19" s="4" t="e">
        <f>IF('FORMATO DIL'!L29&lt;&gt;"",IF(OR(B19="INSULINA NPH",B19="INSULINA CRISTALINA",B19="PENICILINA CRIST."),B19&amp;" "&amp;C19&amp;" "&amp;'FORMATO DIL'!L29&amp;"U.I./mL",B19&amp;" "&amp;C19&amp;" "&amp;'FORMATO DIL'!L29&amp;"mg/mL"),IF(OR(B19="INSULINA NPH",B19="INSULINA CRISTALINA",B19="PENICILINA CRIST."),B19&amp;" "&amp;C19&amp;" "&amp;D19&amp;"U.I./mL",B19&amp;" "&amp;C19&amp;" "&amp;D19&amp;"mg/mL"))</f>
        <v>#N/A</v>
      </c>
      <c r="AB19" s="4" t="e">
        <f>+VLOOKUP(A19,ESTANDAR!$A$2:$K$645,11,0)</f>
        <v>#N/A</v>
      </c>
      <c r="AC19" s="4" t="e">
        <f>IF(AND('FORMATO DIL'!U29&gt;0,'FORMATO DIL'!V29&gt;0),"Do: "&amp;F19&amp;V19&amp;"  VolTotal: "&amp;'FORMATO DIL'!U29&amp;"mL"&amp;" a "&amp;'FORMATO DIL'!V29&amp;"mL/h",IF('FORMATO DIL'!U29&gt;0,"Do: "&amp;F19&amp;V19&amp;"  VolTotal: "&amp;'FORMATO DIL'!U29&amp;"mL","Do: "&amp;F19&amp;V19&amp;"  VolDo: "&amp;G19&amp;"mL"))</f>
        <v>#N/A</v>
      </c>
      <c r="AD19" s="4" t="e">
        <f>IF(OR('FORMATO DIL'!$A$1="MN_HOSPITAL MEISSEN/UCI NEO",'FORMATO DIL'!$A$1="MP_HOSPITAL MEISSEN/PED",'FORMATO DIL'!$A$1="MA_HOSPITAL MEISSEN/UCI ADULTO"),AC19,IF(AND('FORMATO DIL'!$V$9&lt;&gt;"",'FORMATO DIL'!U29&lt;&gt;""),"Do: "&amp;'FR PD 001 V1'!J23&amp;"mg   VolDo: "&amp;'FORMATO DIL'!U29&amp;"mL",IF(AND('FORMATO DIL'!$U$9&lt;&gt;"",'FORMATO DIL'!U29&lt;&gt;""),"Do: "&amp;'FR PD 001 V1'!J23&amp;"mg   VolDo: "&amp;'DATOS ETIQ'!G19&amp;"mL  "&amp;"VolTotal:  "&amp;'FORMATO DIL'!U29&amp;"mL",IF('DATOS ETIQ'!P19=1,"Do: "&amp;'DATOS ETIQ'!F19&amp;'DATOS ETIQ'!V19&amp;"   VolDo: "&amp;'DATOS ETIQ'!G19&amp;"mL","Dilución 1/"&amp;'DATOS ETIQ'!P19&amp;"  "&amp;'DATOS ETIQ'!E19&amp;'DATOS ETIQ'!V19&amp;"/mL   Do: "&amp;'DATOS ETIQ'!F19&amp;'DATOS ETIQ'!V19&amp;"   VolDo: "&amp;'DATOS ETIQ'!G19&amp;"mL"))))</f>
        <v>#N/A</v>
      </c>
    </row>
    <row r="20" spans="1:30">
      <c r="A20" s="175">
        <f>'FR PD 001 V1'!G24</f>
        <v>0</v>
      </c>
      <c r="B20" s="175" t="e">
        <f>VLOOKUP(A20,ESTANDAR!A:B,2,0)</f>
        <v>#N/A</v>
      </c>
      <c r="C20" s="175" t="e">
        <f>VLOOKUP(A20,ESTANDAR!A:D,4,0)</f>
        <v>#N/A</v>
      </c>
      <c r="D20" s="184" t="e">
        <f>IF('FORMATO DIL'!B$6="NEO+PED",VLOOKUP(A20,ESTANDAR!A:G,6,0),VLOOKUP(A20,ESTANDAR!A:G,7,0))</f>
        <v>#N/A</v>
      </c>
      <c r="E20" s="175" t="str">
        <f>'FR PD 001 V1'!L24</f>
        <v>ERROR</v>
      </c>
      <c r="F20" s="175">
        <f>'FR PD 001 V1'!J24</f>
        <v>0</v>
      </c>
      <c r="G20" s="175">
        <f>ROUND('FR PD 001 V1'!M24,2)</f>
        <v>0</v>
      </c>
      <c r="H20" s="178" t="e">
        <f ca="1">'FR PD 001 V1'!P24</f>
        <v>#N/A</v>
      </c>
      <c r="I20" s="175" t="str">
        <f>'FR PD 001 V1'!O24</f>
        <v/>
      </c>
      <c r="J20" s="175" t="str">
        <f>LEFT('FR PD 001 V1'!B24,30)</f>
        <v/>
      </c>
      <c r="K20" s="175">
        <f>'FR PD 001 V1'!C24</f>
        <v>0</v>
      </c>
      <c r="L20" s="175" t="str">
        <f>'FORMATO DIL'!B$7</f>
        <v>JGARCIA</v>
      </c>
      <c r="M20" s="175" t="str">
        <f>'FORMATO DIL'!B$8</f>
        <v>ADELTORO</v>
      </c>
      <c r="N20" s="175" t="str">
        <f>'FORMATO DIL'!B$2</f>
        <v>C.JPC/SEXTO NTE/SCOOP</v>
      </c>
      <c r="O20" s="175" t="str">
        <f>'FR PD 001 V1'!E24</f>
        <v>NA</v>
      </c>
      <c r="P20" s="181" t="e">
        <f t="shared" si="0"/>
        <v>#N/A</v>
      </c>
      <c r="Q20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ADULTO"),AA20,IF(LEFT(R20,3)="INF",Y20,IF(OR(B20="INSULINA NPH",B20="INSULINA CRISTALINA",B20="PENICILINA CRIST."),B20&amp;" "&amp;C20&amp;" "&amp;D20&amp;"U.I./mL",B20&amp;" "&amp;C20&amp;" "&amp;D20&amp;"mg/mL")))</f>
        <v>#N/A</v>
      </c>
      <c r="R20" s="4">
        <f>IF(OR('FR PD 001 V1'!S24="JER 1mL",'FR PD 001 V1'!S24="JER 3mL",'FR PD 001 V1'!S24="JER 5mL",'FR PD 001 V1'!S24="JER 10mL",'FR PD 001 V1'!S24="JER 20mL",'FR PD 001 V1'!S24="JER 50mL"),"JERINGA",'FR PD 001 V1'!S24)</f>
        <v>0</v>
      </c>
      <c r="S20" s="4" t="e">
        <f>IF(OR('FORMATO DIL'!$A$1="MN_HOSPITAL MEISSEN/UCI NEO",'FORMATO DIL'!$A$1="MP_HOSPITAL MEISSEN/PED",'FORMATO DIL'!$A$1="MA_HOSPITAL MEISSEN/UCI ADULTO"),'FORMATO DIL'!O30,IF(VLOOKUP(A20,ESTANDAR!$A$2:$O$682,15,0)=0,"      -------",VLOOKUP(A20,ESTANDAR!$A$2:$O$682,15,0)))</f>
        <v>#N/A</v>
      </c>
      <c r="T20" s="4" t="e">
        <f t="shared" ca="1" si="1"/>
        <v>#N/A</v>
      </c>
      <c r="U20" s="4" t="e">
        <f>IF(AND('FORMATO DIL'!U30&gt;0,'FORMATO DIL'!V30&gt;0),"Do: "&amp;F20&amp;V20&amp;"  VolTotal: "&amp;'FORMATO DIL'!U30&amp;"mL"&amp;" a "&amp;'FORMATO DIL'!V30&amp;"mL/h","Do: "&amp;F20&amp;V20&amp;"  VolDo: "&amp;G20&amp;"mL")</f>
        <v>#N/A</v>
      </c>
      <c r="V20" s="4" t="e">
        <f t="shared" si="2"/>
        <v>#N/A</v>
      </c>
      <c r="W20" s="4" t="e">
        <f>"Conc:  "&amp;IF('FORMATO DIL'!L30&gt;0,IF(OR(B20="GONADOTROPINA CORIONICA",B20="HEPARINA",B20="INSULINA CRISTALINA",B20="INSULINA NPH",B20="PENICILINA CRIST.",B20="POLIMIXINA B"),'FORMATO DIL'!L30&amp;"U.I/mL",'FORMATO DIL'!L30&amp;"mg/mL"),'DATOS ETIQ'!C20)</f>
        <v>#N/A</v>
      </c>
      <c r="X20" s="4" t="e">
        <f>IF(OR('FORMATO DIL'!U30&gt;0,'FORMATO DIL'!V30&gt;0),"  VOL TOTAL:  "&amp;'FORMATO DIL'!U30&amp;"mL"&amp;" a "&amp;'FORMATO DIL'!V30&amp;"mL/h",ROUND((F20/E20),1))</f>
        <v>#VALUE!</v>
      </c>
      <c r="Y20" s="4" t="e">
        <f>B20&amp;" INF SSN 0.9% "&amp;'FR PD 001 V1'!N24</f>
        <v>#N/A</v>
      </c>
      <c r="Z20" s="4" t="str">
        <f>"ID :"&amp;K20&amp;"   F. Nac:  "&amp;UPPER(TEXT('FORMATO DIL'!F30,"ddmmmyy"))</f>
        <v>ID :0   F. Nac:  00ENE00</v>
      </c>
      <c r="AA20" s="4" t="e">
        <f>IF('FORMATO DIL'!L30&lt;&gt;"",IF(OR(B20="INSULINA NPH",B20="INSULINA CRISTALINA",B20="PENICILINA CRIST."),B20&amp;" "&amp;C20&amp;" "&amp;'FORMATO DIL'!L30&amp;"U.I./mL",B20&amp;" "&amp;C20&amp;" "&amp;'FORMATO DIL'!L30&amp;"mg/mL"),IF(OR(B20="INSULINA NPH",B20="INSULINA CRISTALINA",B20="PENICILINA CRIST."),B20&amp;" "&amp;C20&amp;" "&amp;D20&amp;"U.I./mL",B20&amp;" "&amp;C20&amp;" "&amp;D20&amp;"mg/mL"))</f>
        <v>#N/A</v>
      </c>
      <c r="AB20" s="4" t="e">
        <f>+VLOOKUP(A20,ESTANDAR!$A$2:$K$645,11,0)</f>
        <v>#N/A</v>
      </c>
      <c r="AC20" s="4" t="e">
        <f>IF(AND('FORMATO DIL'!U30&gt;0,'FORMATO DIL'!V30&gt;0),"Do: "&amp;F20&amp;V20&amp;"  VolTotal: "&amp;'FORMATO DIL'!U30&amp;"mL"&amp;" a "&amp;'FORMATO DIL'!V30&amp;"mL/h",IF('FORMATO DIL'!U30&gt;0,"Do: "&amp;F20&amp;V20&amp;"  VolTotal: "&amp;'FORMATO DIL'!U30&amp;"mL","Do: "&amp;F20&amp;V20&amp;"  VolDo: "&amp;G20&amp;"mL"))</f>
        <v>#N/A</v>
      </c>
      <c r="AD20" s="4" t="e">
        <f>IF(OR('FORMATO DIL'!$A$1="MN_HOSPITAL MEISSEN/UCI NEO",'FORMATO DIL'!$A$1="MP_HOSPITAL MEISSEN/PED",'FORMATO DIL'!$A$1="MA_HOSPITAL MEISSEN/UCI ADULTO"),AC20,IF(AND('FORMATO DIL'!$V$9&lt;&gt;"",'FORMATO DIL'!U30&lt;&gt;""),"Do: "&amp;'FR PD 001 V1'!J24&amp;"mg   VolDo: "&amp;'FORMATO DIL'!U30&amp;"mL",IF(AND('FORMATO DIL'!$U$9&lt;&gt;"",'FORMATO DIL'!U30&lt;&gt;""),"Do: "&amp;'FR PD 001 V1'!J24&amp;"mg   VolDo: "&amp;'DATOS ETIQ'!G20&amp;"mL  "&amp;"VolTotal:  "&amp;'FORMATO DIL'!U30&amp;"mL",IF('DATOS ETIQ'!P20=1,"Do: "&amp;'DATOS ETIQ'!F20&amp;'DATOS ETIQ'!V20&amp;"   VolDo: "&amp;'DATOS ETIQ'!G20&amp;"mL","Dilución 1/"&amp;'DATOS ETIQ'!P20&amp;"  "&amp;'DATOS ETIQ'!E20&amp;'DATOS ETIQ'!V20&amp;"/mL   Do: "&amp;'DATOS ETIQ'!F20&amp;'DATOS ETIQ'!V20&amp;"   VolDo: "&amp;'DATOS ETIQ'!G20&amp;"mL"))))</f>
        <v>#N/A</v>
      </c>
    </row>
    <row r="21" spans="1:30">
      <c r="A21" s="175">
        <f>'FR PD 001 V1'!G25</f>
        <v>0</v>
      </c>
      <c r="B21" s="175" t="e">
        <f>VLOOKUP(A21,ESTANDAR!A:B,2,0)</f>
        <v>#N/A</v>
      </c>
      <c r="C21" s="175" t="e">
        <f>VLOOKUP(A21,ESTANDAR!A:D,4,0)</f>
        <v>#N/A</v>
      </c>
      <c r="D21" s="184" t="e">
        <f>IF('FORMATO DIL'!B$6="NEO+PED",VLOOKUP(A21,ESTANDAR!A:G,6,0),VLOOKUP(A21,ESTANDAR!A:G,7,0))</f>
        <v>#N/A</v>
      </c>
      <c r="E21" s="175" t="str">
        <f>'FR PD 001 V1'!L25</f>
        <v>ERROR</v>
      </c>
      <c r="F21" s="175">
        <f>'FR PD 001 V1'!J25</f>
        <v>0</v>
      </c>
      <c r="G21" s="175">
        <f>ROUND('FR PD 001 V1'!M25,2)</f>
        <v>0</v>
      </c>
      <c r="H21" s="178" t="e">
        <f ca="1">'FR PD 001 V1'!P25</f>
        <v>#N/A</v>
      </c>
      <c r="I21" s="175" t="str">
        <f>'FR PD 001 V1'!O25</f>
        <v/>
      </c>
      <c r="J21" s="175" t="str">
        <f>LEFT('FR PD 001 V1'!B25,30)</f>
        <v/>
      </c>
      <c r="K21" s="175">
        <f>'FR PD 001 V1'!C25</f>
        <v>0</v>
      </c>
      <c r="L21" s="175" t="str">
        <f>'FORMATO DIL'!B$7</f>
        <v>JGARCIA</v>
      </c>
      <c r="M21" s="175" t="str">
        <f>'FORMATO DIL'!B$8</f>
        <v>ADELTORO</v>
      </c>
      <c r="N21" s="175" t="str">
        <f>'FORMATO DIL'!B$2</f>
        <v>C.JPC/SEXTO NTE/SCOOP</v>
      </c>
      <c r="O21" s="175" t="str">
        <f>'FR PD 001 V1'!E25</f>
        <v>NA</v>
      </c>
      <c r="P21" s="181" t="e">
        <f t="shared" si="0"/>
        <v>#N/A</v>
      </c>
      <c r="Q21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ADULTO"),AA21,IF(LEFT(R21,3)="INF",Y21,IF(OR(B21="INSULINA NPH",B21="INSULINA CRISTALINA",B21="PENICILINA CRIST."),B21&amp;" "&amp;C21&amp;" "&amp;D21&amp;"U.I./mL",B21&amp;" "&amp;C21&amp;" "&amp;D21&amp;"mg/mL")))</f>
        <v>#N/A</v>
      </c>
      <c r="R21" s="4">
        <f>IF(OR('FR PD 001 V1'!S25="JER 1mL",'FR PD 001 V1'!S25="JER 3mL",'FR PD 001 V1'!S25="JER 5mL",'FR PD 001 V1'!S25="JER 10mL",'FR PD 001 V1'!S25="JER 20mL",'FR PD 001 V1'!S25="JER 50mL"),"JERINGA",'FR PD 001 V1'!S25)</f>
        <v>0</v>
      </c>
      <c r="S21" s="4" t="e">
        <f>IF(OR('FORMATO DIL'!$A$1="MN_HOSPITAL MEISSEN/UCI NEO",'FORMATO DIL'!$A$1="MP_HOSPITAL MEISSEN/PED",'FORMATO DIL'!$A$1="MA_HOSPITAL MEISSEN/UCI ADULTO"),'FORMATO DIL'!O31,IF(VLOOKUP(A21,ESTANDAR!$A$2:$O$682,15,0)=0,"      -------",VLOOKUP(A21,ESTANDAR!$A$2:$O$682,15,0)))</f>
        <v>#N/A</v>
      </c>
      <c r="T21" s="4" t="e">
        <f t="shared" ca="1" si="1"/>
        <v>#N/A</v>
      </c>
      <c r="U21" s="4" t="e">
        <f>IF(AND('FORMATO DIL'!U31&gt;0,'FORMATO DIL'!V31&gt;0),"Do: "&amp;F21&amp;V21&amp;"  VolTotal: "&amp;'FORMATO DIL'!U31&amp;"mL"&amp;" a "&amp;'FORMATO DIL'!V31&amp;"mL/h","Do: "&amp;F21&amp;V21&amp;"  VolDo: "&amp;G21&amp;"mL")</f>
        <v>#N/A</v>
      </c>
      <c r="V21" s="4" t="e">
        <f t="shared" si="2"/>
        <v>#N/A</v>
      </c>
      <c r="W21" s="4" t="e">
        <f>"Conc:  "&amp;IF('FORMATO DIL'!L31&gt;0,IF(OR(B21="GONADOTROPINA CORIONICA",B21="HEPARINA",B21="INSULINA CRISTALINA",B21="INSULINA NPH",B21="PENICILINA CRIST.",B21="POLIMIXINA B"),'FORMATO DIL'!L31&amp;"U.I/mL",'FORMATO DIL'!L31&amp;"mg/mL"),'DATOS ETIQ'!C21)</f>
        <v>#N/A</v>
      </c>
      <c r="X21" s="4" t="e">
        <f>IF(OR('FORMATO DIL'!U31&gt;0,'FORMATO DIL'!V31&gt;0),"  VOL TOTAL:  "&amp;'FORMATO DIL'!U31&amp;"mL"&amp;" a "&amp;'FORMATO DIL'!V31&amp;"mL/h",ROUND((F21/E21),1))</f>
        <v>#VALUE!</v>
      </c>
      <c r="Y21" s="4" t="e">
        <f>B21&amp;" INF SSN 0.9% "&amp;'FR PD 001 V1'!N25</f>
        <v>#N/A</v>
      </c>
      <c r="Z21" s="4" t="str">
        <f>"ID :"&amp;K21&amp;"   F. Nac:  "&amp;UPPER(TEXT('FORMATO DIL'!F31,"ddmmmyy"))</f>
        <v>ID :0   F. Nac:  00ENE00</v>
      </c>
      <c r="AA21" s="4" t="e">
        <f>IF('FORMATO DIL'!L31&lt;&gt;"",IF(OR(B21="INSULINA NPH",B21="INSULINA CRISTALINA",B21="PENICILINA CRIST."),B21&amp;" "&amp;C21&amp;" "&amp;'FORMATO DIL'!L31&amp;"U.I./mL",B21&amp;" "&amp;C21&amp;" "&amp;'FORMATO DIL'!L31&amp;"mg/mL"),IF(OR(B21="INSULINA NPH",B21="INSULINA CRISTALINA",B21="PENICILINA CRIST."),B21&amp;" "&amp;C21&amp;" "&amp;D21&amp;"U.I./mL",B21&amp;" "&amp;C21&amp;" "&amp;D21&amp;"mg/mL"))</f>
        <v>#N/A</v>
      </c>
      <c r="AB21" s="4" t="e">
        <f>+VLOOKUP(A21,ESTANDAR!$A$2:$K$645,11,0)</f>
        <v>#N/A</v>
      </c>
      <c r="AC21" s="4" t="e">
        <f>IF(AND('FORMATO DIL'!U31&gt;0,'FORMATO DIL'!V31&gt;0),"Do: "&amp;F21&amp;V21&amp;"  VolTotal: "&amp;'FORMATO DIL'!U31&amp;"mL"&amp;" a "&amp;'FORMATO DIL'!V31&amp;"mL/h",IF('FORMATO DIL'!U31&gt;0,"Do: "&amp;F21&amp;V21&amp;"  VolTotal: "&amp;'FORMATO DIL'!U31&amp;"mL","Do: "&amp;F21&amp;V21&amp;"  VolDo: "&amp;G21&amp;"mL"))</f>
        <v>#N/A</v>
      </c>
      <c r="AD21" s="4" t="e">
        <f>IF(OR('FORMATO DIL'!$A$1="MN_HOSPITAL MEISSEN/UCI NEO",'FORMATO DIL'!$A$1="MP_HOSPITAL MEISSEN/PED",'FORMATO DIL'!$A$1="MA_HOSPITAL MEISSEN/UCI ADULTO"),AC21,IF(AND('FORMATO DIL'!$V$9&lt;&gt;"",'FORMATO DIL'!U31&lt;&gt;""),"Do: "&amp;'FR PD 001 V1'!J25&amp;"mg   VolDo: "&amp;'FORMATO DIL'!U31&amp;"mL",IF(AND('FORMATO DIL'!$U$9&lt;&gt;"",'FORMATO DIL'!U31&lt;&gt;""),"Do: "&amp;'FR PD 001 V1'!J25&amp;"mg   VolDo: "&amp;'DATOS ETIQ'!G21&amp;"mL  "&amp;"VolTotal:  "&amp;'FORMATO DIL'!U31&amp;"mL",IF('DATOS ETIQ'!P21=1,"Do: "&amp;'DATOS ETIQ'!F21&amp;'DATOS ETIQ'!V21&amp;"   VolDo: "&amp;'DATOS ETIQ'!G21&amp;"mL","Dilución 1/"&amp;'DATOS ETIQ'!P21&amp;"  "&amp;'DATOS ETIQ'!E21&amp;'DATOS ETIQ'!V21&amp;"/mL   Do: "&amp;'DATOS ETIQ'!F21&amp;'DATOS ETIQ'!V21&amp;"   VolDo: "&amp;'DATOS ETIQ'!G21&amp;"mL"))))</f>
        <v>#N/A</v>
      </c>
    </row>
    <row r="22" spans="1:30">
      <c r="A22" s="175">
        <f>'FR PD 001 V1'!G26</f>
        <v>0</v>
      </c>
      <c r="B22" s="175" t="e">
        <f>VLOOKUP(A22,ESTANDAR!A:B,2,0)</f>
        <v>#N/A</v>
      </c>
      <c r="C22" s="175" t="e">
        <f>VLOOKUP(A22,ESTANDAR!A:D,4,0)</f>
        <v>#N/A</v>
      </c>
      <c r="D22" s="184" t="e">
        <f>IF('FORMATO DIL'!B$6="NEO+PED",VLOOKUP(A22,ESTANDAR!A:G,6,0),VLOOKUP(A22,ESTANDAR!A:G,7,0))</f>
        <v>#N/A</v>
      </c>
      <c r="E22" s="175" t="str">
        <f>'FR PD 001 V1'!L26</f>
        <v>ERROR</v>
      </c>
      <c r="F22" s="175">
        <f>'FR PD 001 V1'!J26</f>
        <v>0</v>
      </c>
      <c r="G22" s="175">
        <f>ROUND('FR PD 001 V1'!M26,2)</f>
        <v>0</v>
      </c>
      <c r="H22" s="178" t="e">
        <f ca="1">'FR PD 001 V1'!P26</f>
        <v>#N/A</v>
      </c>
      <c r="I22" s="175" t="str">
        <f>'FR PD 001 V1'!O26</f>
        <v/>
      </c>
      <c r="J22" s="175" t="str">
        <f>LEFT('FR PD 001 V1'!B26,30)</f>
        <v/>
      </c>
      <c r="K22" s="175">
        <f>'FR PD 001 V1'!C26</f>
        <v>0</v>
      </c>
      <c r="L22" s="175" t="str">
        <f>'FORMATO DIL'!B$7</f>
        <v>JGARCIA</v>
      </c>
      <c r="M22" s="175" t="str">
        <f>'FORMATO DIL'!B$8</f>
        <v>ADELTORO</v>
      </c>
      <c r="N22" s="175" t="str">
        <f>'FORMATO DIL'!B$2</f>
        <v>C.JPC/SEXTO NTE/SCOOP</v>
      </c>
      <c r="O22" s="175" t="str">
        <f>'FR PD 001 V1'!E26</f>
        <v>NA</v>
      </c>
      <c r="P22" s="181" t="e">
        <f t="shared" si="0"/>
        <v>#N/A</v>
      </c>
      <c r="Q22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ADULTO"),AA22,IF(LEFT(R22,3)="INF",Y22,IF(OR(B22="INSULINA NPH",B22="INSULINA CRISTALINA",B22="PENICILINA CRIST."),B22&amp;" "&amp;C22&amp;" "&amp;D22&amp;"U.I./mL",B22&amp;" "&amp;C22&amp;" "&amp;D22&amp;"mg/mL")))</f>
        <v>#N/A</v>
      </c>
      <c r="R22" s="4">
        <f>IF(OR('FR PD 001 V1'!S26="JER 1mL",'FR PD 001 V1'!S26="JER 3mL",'FR PD 001 V1'!S26="JER 5mL",'FR PD 001 V1'!S26="JER 10mL",'FR PD 001 V1'!S26="JER 20mL",'FR PD 001 V1'!S26="JER 50mL"),"JERINGA",'FR PD 001 V1'!S26)</f>
        <v>0</v>
      </c>
      <c r="S22" s="4" t="e">
        <f>IF(OR('FORMATO DIL'!$A$1="MN_HOSPITAL MEISSEN/UCI NEO",'FORMATO DIL'!$A$1="MP_HOSPITAL MEISSEN/PED",'FORMATO DIL'!$A$1="MA_HOSPITAL MEISSEN/UCI ADULTO"),'FORMATO DIL'!O32,IF(VLOOKUP(A22,ESTANDAR!$A$2:$O$682,15,0)=0,"      -------",VLOOKUP(A22,ESTANDAR!$A$2:$O$682,15,0)))</f>
        <v>#N/A</v>
      </c>
      <c r="T22" s="4" t="e">
        <f t="shared" ca="1" si="1"/>
        <v>#N/A</v>
      </c>
      <c r="U22" s="4" t="e">
        <f>IF(AND('FORMATO DIL'!U32&gt;0,'FORMATO DIL'!V32&gt;0),"Do: "&amp;F22&amp;V22&amp;"  VolTotal: "&amp;'FORMATO DIL'!U32&amp;"mL"&amp;" a "&amp;'FORMATO DIL'!V32&amp;"mL/h","Do: "&amp;F22&amp;V22&amp;"  VolDo: "&amp;G22&amp;"mL")</f>
        <v>#N/A</v>
      </c>
      <c r="V22" s="4" t="e">
        <f t="shared" si="2"/>
        <v>#N/A</v>
      </c>
      <c r="W22" s="4" t="e">
        <f>"Conc:  "&amp;IF('FORMATO DIL'!L32&gt;0,IF(OR(B22="GONADOTROPINA CORIONICA",B22="HEPARINA",B22="INSULINA CRISTALINA",B22="INSULINA NPH",B22="PENICILINA CRIST.",B22="POLIMIXINA B"),'FORMATO DIL'!L32&amp;"U.I/mL",'FORMATO DIL'!L32&amp;"mg/mL"),'DATOS ETIQ'!C22)</f>
        <v>#N/A</v>
      </c>
      <c r="X22" s="4" t="e">
        <f>IF(OR('FORMATO DIL'!U32&gt;0,'FORMATO DIL'!V32&gt;0),"  VOL TOTAL:  "&amp;'FORMATO DIL'!U32&amp;"mL"&amp;" a "&amp;'FORMATO DIL'!V32&amp;"mL/h",ROUND((F22/E22),1))</f>
        <v>#VALUE!</v>
      </c>
      <c r="Y22" s="4" t="e">
        <f>B22&amp;" INF SSN 0.9% "&amp;'FR PD 001 V1'!N26</f>
        <v>#N/A</v>
      </c>
      <c r="Z22" s="4" t="str">
        <f>"ID :"&amp;K22&amp;"   F. Nac:  "&amp;UPPER(TEXT('FORMATO DIL'!F32,"ddmmmyy"))</f>
        <v>ID :0   F. Nac:  00ENE00</v>
      </c>
      <c r="AA22" s="4" t="e">
        <f>IF('FORMATO DIL'!L32&lt;&gt;"",IF(OR(B22="INSULINA NPH",B22="INSULINA CRISTALINA",B22="PENICILINA CRIST."),B22&amp;" "&amp;C22&amp;" "&amp;'FORMATO DIL'!L32&amp;"U.I./mL",B22&amp;" "&amp;C22&amp;" "&amp;'FORMATO DIL'!L32&amp;"mg/mL"),IF(OR(B22="INSULINA NPH",B22="INSULINA CRISTALINA",B22="PENICILINA CRIST."),B22&amp;" "&amp;C22&amp;" "&amp;D22&amp;"U.I./mL",B22&amp;" "&amp;C22&amp;" "&amp;D22&amp;"mg/mL"))</f>
        <v>#N/A</v>
      </c>
      <c r="AB22" s="4" t="e">
        <f>+VLOOKUP(A22,ESTANDAR!$A$2:$K$645,11,0)</f>
        <v>#N/A</v>
      </c>
      <c r="AC22" s="4" t="e">
        <f>IF(AND('FORMATO DIL'!U32&gt;0,'FORMATO DIL'!V32&gt;0),"Do: "&amp;F22&amp;V22&amp;"  VolTotal: "&amp;'FORMATO DIL'!U32&amp;"mL"&amp;" a "&amp;'FORMATO DIL'!V32&amp;"mL/h",IF('FORMATO DIL'!U32&gt;0,"Do: "&amp;F22&amp;V22&amp;"  VolTotal: "&amp;'FORMATO DIL'!U32&amp;"mL","Do: "&amp;F22&amp;V22&amp;"  VolDo: "&amp;G22&amp;"mL"))</f>
        <v>#N/A</v>
      </c>
      <c r="AD22" s="4" t="e">
        <f>IF(OR('FORMATO DIL'!$A$1="MN_HOSPITAL MEISSEN/UCI NEO",'FORMATO DIL'!$A$1="MP_HOSPITAL MEISSEN/PED",'FORMATO DIL'!$A$1="MA_HOSPITAL MEISSEN/UCI ADULTO"),AC22,IF(AND('FORMATO DIL'!$V$9&lt;&gt;"",'FORMATO DIL'!U32&lt;&gt;""),"Do: "&amp;'FR PD 001 V1'!J26&amp;"mg   VolDo: "&amp;'FORMATO DIL'!U32&amp;"mL",IF(AND('FORMATO DIL'!$U$9&lt;&gt;"",'FORMATO DIL'!U32&lt;&gt;""),"Do: "&amp;'FR PD 001 V1'!J26&amp;"mg   VolDo: "&amp;'DATOS ETIQ'!G22&amp;"mL  "&amp;"VolTotal:  "&amp;'FORMATO DIL'!U32&amp;"mL",IF('DATOS ETIQ'!P22=1,"Do: "&amp;'DATOS ETIQ'!F22&amp;'DATOS ETIQ'!V22&amp;"   VolDo: "&amp;'DATOS ETIQ'!G22&amp;"mL","Dilución 1/"&amp;'DATOS ETIQ'!P22&amp;"  "&amp;'DATOS ETIQ'!E22&amp;'DATOS ETIQ'!V22&amp;"/mL   Do: "&amp;'DATOS ETIQ'!F22&amp;'DATOS ETIQ'!V22&amp;"   VolDo: "&amp;'DATOS ETIQ'!G22&amp;"mL"))))</f>
        <v>#N/A</v>
      </c>
    </row>
    <row r="23" spans="1:30">
      <c r="A23" s="175">
        <f>'FR PD 001 V1'!G27</f>
        <v>0</v>
      </c>
      <c r="B23" s="175" t="e">
        <f>VLOOKUP(A23,ESTANDAR!A:B,2,0)</f>
        <v>#N/A</v>
      </c>
      <c r="C23" s="175" t="e">
        <f>VLOOKUP(A23,ESTANDAR!A:D,4,0)</f>
        <v>#N/A</v>
      </c>
      <c r="D23" s="184" t="e">
        <f>IF('FORMATO DIL'!B$6="NEO+PED",VLOOKUP(A23,ESTANDAR!A:G,6,0),VLOOKUP(A23,ESTANDAR!A:G,7,0))</f>
        <v>#N/A</v>
      </c>
      <c r="E23" s="175" t="str">
        <f>'FR PD 001 V1'!L27</f>
        <v>ERROR</v>
      </c>
      <c r="F23" s="175">
        <f>'FR PD 001 V1'!J27</f>
        <v>0</v>
      </c>
      <c r="G23" s="175">
        <f>ROUND('FR PD 001 V1'!M27,2)</f>
        <v>0</v>
      </c>
      <c r="H23" s="178" t="e">
        <f ca="1">'FR PD 001 V1'!P27</f>
        <v>#N/A</v>
      </c>
      <c r="I23" s="175" t="str">
        <f>'FR PD 001 V1'!O27</f>
        <v/>
      </c>
      <c r="J23" s="175" t="str">
        <f>LEFT('FR PD 001 V1'!B27,30)</f>
        <v/>
      </c>
      <c r="K23" s="175">
        <f>'FR PD 001 V1'!C27</f>
        <v>0</v>
      </c>
      <c r="L23" s="175" t="str">
        <f>'FORMATO DIL'!B$7</f>
        <v>JGARCIA</v>
      </c>
      <c r="M23" s="175" t="str">
        <f>'FORMATO DIL'!B$8</f>
        <v>ADELTORO</v>
      </c>
      <c r="N23" s="175" t="str">
        <f>'FORMATO DIL'!B$2</f>
        <v>C.JPC/SEXTO NTE/SCOOP</v>
      </c>
      <c r="O23" s="175" t="str">
        <f>'FR PD 001 V1'!E27</f>
        <v>NA</v>
      </c>
      <c r="P23" s="181" t="e">
        <f t="shared" si="0"/>
        <v>#N/A</v>
      </c>
      <c r="Q23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ADULTO"),AA23,IF(LEFT(R23,3)="INF",Y23,IF(OR(B23="INSULINA NPH",B23="INSULINA CRISTALINA",B23="PENICILINA CRIST."),B23&amp;" "&amp;C23&amp;" "&amp;D23&amp;"U.I./mL",B23&amp;" "&amp;C23&amp;" "&amp;D23&amp;"mg/mL")))</f>
        <v>#N/A</v>
      </c>
      <c r="R23" s="4">
        <f>IF(OR('FR PD 001 V1'!S27="JER 1mL",'FR PD 001 V1'!S27="JER 3mL",'FR PD 001 V1'!S27="JER 5mL",'FR PD 001 V1'!S27="JER 10mL",'FR PD 001 V1'!S27="JER 20mL",'FR PD 001 V1'!S27="JER 50mL"),"JERINGA",'FR PD 001 V1'!S27)</f>
        <v>0</v>
      </c>
      <c r="S23" s="4" t="e">
        <f>IF(OR('FORMATO DIL'!$A$1="MN_HOSPITAL MEISSEN/UCI NEO",'FORMATO DIL'!$A$1="MP_HOSPITAL MEISSEN/PED",'FORMATO DIL'!$A$1="MA_HOSPITAL MEISSEN/UCI ADULTO"),'FORMATO DIL'!O33,IF(VLOOKUP(A23,ESTANDAR!$A$2:$O$682,15,0)=0,"      -------",VLOOKUP(A23,ESTANDAR!$A$2:$O$682,15,0)))</f>
        <v>#N/A</v>
      </c>
      <c r="T23" s="4" t="e">
        <f t="shared" ca="1" si="1"/>
        <v>#N/A</v>
      </c>
      <c r="U23" s="4" t="e">
        <f>IF(AND('FORMATO DIL'!U33&gt;0,'FORMATO DIL'!V33&gt;0),"Do: "&amp;F23&amp;V23&amp;"  VolTotal: "&amp;'FORMATO DIL'!U33&amp;"mL"&amp;" a "&amp;'FORMATO DIL'!V33&amp;"mL/h","Do: "&amp;F23&amp;V23&amp;"  VolDo: "&amp;G23&amp;"mL")</f>
        <v>#N/A</v>
      </c>
      <c r="V23" s="4" t="e">
        <f t="shared" si="2"/>
        <v>#N/A</v>
      </c>
      <c r="W23" s="4" t="e">
        <f>"Conc:  "&amp;IF('FORMATO DIL'!L33&gt;0,IF(OR(B23="GONADOTROPINA CORIONICA",B23="HEPARINA",B23="INSULINA CRISTALINA",B23="INSULINA NPH",B23="PENICILINA CRIST.",B23="POLIMIXINA B"),'FORMATO DIL'!L33&amp;"U.I/mL",'FORMATO DIL'!L33&amp;"mg/mL"),'DATOS ETIQ'!C23)</f>
        <v>#N/A</v>
      </c>
      <c r="X23" s="4" t="e">
        <f>IF(OR('FORMATO DIL'!U33&gt;0,'FORMATO DIL'!V33&gt;0),"  VOL TOTAL:  "&amp;'FORMATO DIL'!U33&amp;"mL"&amp;" a "&amp;'FORMATO DIL'!V33&amp;"mL/h",ROUND((F23/E23),1))</f>
        <v>#VALUE!</v>
      </c>
      <c r="Y23" s="4" t="e">
        <f>B23&amp;" INF SSN 0.9% "&amp;'FR PD 001 V1'!N27</f>
        <v>#N/A</v>
      </c>
      <c r="Z23" s="4" t="str">
        <f>"ID :"&amp;K23&amp;"   F. Nac:  "&amp;UPPER(TEXT('FORMATO DIL'!F33,"ddmmmyy"))</f>
        <v>ID :0   F. Nac:  00ENE00</v>
      </c>
      <c r="AA23" s="4" t="e">
        <f>IF('FORMATO DIL'!L33&lt;&gt;"",IF(OR(B23="INSULINA NPH",B23="INSULINA CRISTALINA",B23="PENICILINA CRIST."),B23&amp;" "&amp;C23&amp;" "&amp;'FORMATO DIL'!L33&amp;"U.I./mL",B23&amp;" "&amp;C23&amp;" "&amp;'FORMATO DIL'!L33&amp;"mg/mL"),IF(OR(B23="INSULINA NPH",B23="INSULINA CRISTALINA",B23="PENICILINA CRIST."),B23&amp;" "&amp;C23&amp;" "&amp;D23&amp;"U.I./mL",B23&amp;" "&amp;C23&amp;" "&amp;D23&amp;"mg/mL"))</f>
        <v>#N/A</v>
      </c>
      <c r="AB23" s="4" t="e">
        <f>+VLOOKUP(A23,ESTANDAR!$A$2:$K$645,11,0)</f>
        <v>#N/A</v>
      </c>
      <c r="AC23" s="4" t="e">
        <f>IF(AND('FORMATO DIL'!U33&gt;0,'FORMATO DIL'!V33&gt;0),"Do: "&amp;F23&amp;V23&amp;"  VolTotal: "&amp;'FORMATO DIL'!U33&amp;"mL"&amp;" a "&amp;'FORMATO DIL'!V33&amp;"mL/h",IF('FORMATO DIL'!U33&gt;0,"Do: "&amp;F23&amp;V23&amp;"  VolTotal: "&amp;'FORMATO DIL'!U33&amp;"mL","Do: "&amp;F23&amp;V23&amp;"  VolDo: "&amp;G23&amp;"mL"))</f>
        <v>#N/A</v>
      </c>
      <c r="AD23" s="4" t="e">
        <f>IF(OR('FORMATO DIL'!$A$1="MN_HOSPITAL MEISSEN/UCI NEO",'FORMATO DIL'!$A$1="MP_HOSPITAL MEISSEN/PED",'FORMATO DIL'!$A$1="MA_HOSPITAL MEISSEN/UCI ADULTO"),AC23,IF(AND('FORMATO DIL'!$V$9&lt;&gt;"",'FORMATO DIL'!U33&lt;&gt;""),"Do: "&amp;'FR PD 001 V1'!J27&amp;"mg   VolDo: "&amp;'FORMATO DIL'!U33&amp;"mL",IF(AND('FORMATO DIL'!$U$9&lt;&gt;"",'FORMATO DIL'!U33&lt;&gt;""),"Do: "&amp;'FR PD 001 V1'!J27&amp;"mg   VolDo: "&amp;'DATOS ETIQ'!G23&amp;"mL  "&amp;"VolTotal:  "&amp;'FORMATO DIL'!U33&amp;"mL",IF('DATOS ETIQ'!P23=1,"Do: "&amp;'DATOS ETIQ'!F23&amp;'DATOS ETIQ'!V23&amp;"   VolDo: "&amp;'DATOS ETIQ'!G23&amp;"mL","Dilución 1/"&amp;'DATOS ETIQ'!P23&amp;"  "&amp;'DATOS ETIQ'!E23&amp;'DATOS ETIQ'!V23&amp;"/mL   Do: "&amp;'DATOS ETIQ'!F23&amp;'DATOS ETIQ'!V23&amp;"   VolDo: "&amp;'DATOS ETIQ'!G23&amp;"mL"))))</f>
        <v>#N/A</v>
      </c>
    </row>
    <row r="24" spans="1:30">
      <c r="A24" s="175">
        <f>'FR PD 001 V1'!G28</f>
        <v>0</v>
      </c>
      <c r="B24" s="175" t="e">
        <f>VLOOKUP(A24,ESTANDAR!A:B,2,0)</f>
        <v>#N/A</v>
      </c>
      <c r="C24" s="175" t="e">
        <f>VLOOKUP(A24,ESTANDAR!A:D,4,0)</f>
        <v>#N/A</v>
      </c>
      <c r="D24" s="184" t="e">
        <f>IF('FORMATO DIL'!B$6="NEO+PED",VLOOKUP(A24,ESTANDAR!A:G,6,0),VLOOKUP(A24,ESTANDAR!A:G,7,0))</f>
        <v>#N/A</v>
      </c>
      <c r="E24" s="175" t="str">
        <f>'FR PD 001 V1'!L28</f>
        <v>ERROR</v>
      </c>
      <c r="F24" s="175">
        <f>'FR PD 001 V1'!J28</f>
        <v>0</v>
      </c>
      <c r="G24" s="175">
        <f>ROUND('FR PD 001 V1'!M28,2)</f>
        <v>0</v>
      </c>
      <c r="H24" s="178" t="e">
        <f ca="1">'FR PD 001 V1'!P28</f>
        <v>#N/A</v>
      </c>
      <c r="I24" s="175" t="str">
        <f>'FR PD 001 V1'!O28</f>
        <v/>
      </c>
      <c r="J24" s="175" t="str">
        <f>LEFT('FR PD 001 V1'!B28,30)</f>
        <v/>
      </c>
      <c r="K24" s="175">
        <f>'FR PD 001 V1'!C28</f>
        <v>0</v>
      </c>
      <c r="L24" s="175" t="str">
        <f>'FORMATO DIL'!B$7</f>
        <v>JGARCIA</v>
      </c>
      <c r="M24" s="175" t="str">
        <f>'FORMATO DIL'!B$8</f>
        <v>ADELTORO</v>
      </c>
      <c r="N24" s="175" t="str">
        <f>'FORMATO DIL'!B$2</f>
        <v>C.JPC/SEXTO NTE/SCOOP</v>
      </c>
      <c r="O24" s="175" t="str">
        <f>'FR PD 001 V1'!E28</f>
        <v>NA</v>
      </c>
      <c r="P24" s="181" t="e">
        <f t="shared" si="0"/>
        <v>#N/A</v>
      </c>
      <c r="Q24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ADULTO"),AA24,IF(LEFT(R24,3)="INF",Y24,IF(OR(B24="INSULINA NPH",B24="INSULINA CRISTALINA",B24="PENICILINA CRIST."),B24&amp;" "&amp;C24&amp;" "&amp;D24&amp;"U.I./mL",B24&amp;" "&amp;C24&amp;" "&amp;D24&amp;"mg/mL")))</f>
        <v>#N/A</v>
      </c>
      <c r="R24" s="4">
        <f>IF(OR('FR PD 001 V1'!S28="JER 1mL",'FR PD 001 V1'!S28="JER 3mL",'FR PD 001 V1'!S28="JER 5mL",'FR PD 001 V1'!S28="JER 10mL",'FR PD 001 V1'!S28="JER 20mL",'FR PD 001 V1'!S28="JER 50mL"),"JERINGA",'FR PD 001 V1'!S28)</f>
        <v>0</v>
      </c>
      <c r="S24" s="4" t="e">
        <f>IF(OR('FORMATO DIL'!$A$1="MN_HOSPITAL MEISSEN/UCI NEO",'FORMATO DIL'!$A$1="MP_HOSPITAL MEISSEN/PED",'FORMATO DIL'!$A$1="MA_HOSPITAL MEISSEN/UCI ADULTO"),'FORMATO DIL'!O34,IF(VLOOKUP(A24,ESTANDAR!$A$2:$O$682,15,0)=0,"      -------",VLOOKUP(A24,ESTANDAR!$A$2:$O$682,15,0)))</f>
        <v>#N/A</v>
      </c>
      <c r="T24" s="4" t="e">
        <f t="shared" ca="1" si="1"/>
        <v>#N/A</v>
      </c>
      <c r="U24" s="4" t="e">
        <f>IF(AND('FORMATO DIL'!U34&gt;0,'FORMATO DIL'!V34&gt;0),"Do: "&amp;F24&amp;V24&amp;"  VolTotal: "&amp;'FORMATO DIL'!U34&amp;"mL"&amp;" a "&amp;'FORMATO DIL'!V34&amp;"mL/h","Do: "&amp;F24&amp;V24&amp;"  VolDo: "&amp;G24&amp;"mL")</f>
        <v>#N/A</v>
      </c>
      <c r="V24" s="4" t="e">
        <f t="shared" si="2"/>
        <v>#N/A</v>
      </c>
      <c r="W24" s="4" t="e">
        <f>"Conc:  "&amp;IF('FORMATO DIL'!L34&gt;0,IF(OR(B24="GONADOTROPINA CORIONICA",B24="HEPARINA",B24="INSULINA CRISTALINA",B24="INSULINA NPH",B24="PENICILINA CRIST.",B24="POLIMIXINA B"),'FORMATO DIL'!L34&amp;"U.I/mL",'FORMATO DIL'!L34&amp;"mg/mL"),'DATOS ETIQ'!C24)</f>
        <v>#N/A</v>
      </c>
      <c r="X24" s="4" t="e">
        <f>IF(OR('FORMATO DIL'!U34&gt;0,'FORMATO DIL'!V34&gt;0),"  VOL TOTAL:  "&amp;'FORMATO DIL'!U34&amp;"mL"&amp;" a "&amp;'FORMATO DIL'!V34&amp;"mL/h",ROUND((F24/E24),1))</f>
        <v>#VALUE!</v>
      </c>
      <c r="Y24" s="4" t="e">
        <f>B24&amp;" INF SSN 0.9% "&amp;'FR PD 001 V1'!N28</f>
        <v>#N/A</v>
      </c>
      <c r="Z24" s="4" t="str">
        <f>"ID :"&amp;K24&amp;"   F. Nac:  "&amp;UPPER(TEXT('FORMATO DIL'!F34,"ddmmmyy"))</f>
        <v>ID :0   F. Nac:  00ENE00</v>
      </c>
      <c r="AA24" s="4" t="e">
        <f>IF('FORMATO DIL'!L34&lt;&gt;"",IF(OR(B24="INSULINA NPH",B24="INSULINA CRISTALINA",B24="PENICILINA CRIST."),B24&amp;" "&amp;C24&amp;" "&amp;'FORMATO DIL'!L34&amp;"U.I./mL",B24&amp;" "&amp;C24&amp;" "&amp;'FORMATO DIL'!L34&amp;"mg/mL"),IF(OR(B24="INSULINA NPH",B24="INSULINA CRISTALINA",B24="PENICILINA CRIST."),B24&amp;" "&amp;C24&amp;" "&amp;D24&amp;"U.I./mL",B24&amp;" "&amp;C24&amp;" "&amp;D24&amp;"mg/mL"))</f>
        <v>#N/A</v>
      </c>
      <c r="AB24" s="4" t="e">
        <f>+VLOOKUP(A24,ESTANDAR!$A$2:$K$645,11,0)</f>
        <v>#N/A</v>
      </c>
      <c r="AC24" s="4" t="e">
        <f>IF(AND('FORMATO DIL'!U34&gt;0,'FORMATO DIL'!V34&gt;0),"Do: "&amp;F24&amp;V24&amp;"  VolTotal: "&amp;'FORMATO DIL'!U34&amp;"mL"&amp;" a "&amp;'FORMATO DIL'!V34&amp;"mL/h",IF('FORMATO DIL'!U34&gt;0,"Do: "&amp;F24&amp;V24&amp;"  VolTotal: "&amp;'FORMATO DIL'!U34&amp;"mL","Do: "&amp;F24&amp;V24&amp;"  VolDo: "&amp;G24&amp;"mL"))</f>
        <v>#N/A</v>
      </c>
      <c r="AD24" s="4" t="e">
        <f>IF(OR('FORMATO DIL'!$A$1="MN_HOSPITAL MEISSEN/UCI NEO",'FORMATO DIL'!$A$1="MP_HOSPITAL MEISSEN/PED",'FORMATO DIL'!$A$1="MA_HOSPITAL MEISSEN/UCI ADULTO"),AC24,IF(AND('FORMATO DIL'!$V$9&lt;&gt;"",'FORMATO DIL'!U34&lt;&gt;""),"Do: "&amp;'FR PD 001 V1'!J28&amp;"mg   VolDo: "&amp;'FORMATO DIL'!U34&amp;"mL",IF(AND('FORMATO DIL'!$U$9&lt;&gt;"",'FORMATO DIL'!U34&lt;&gt;""),"Do: "&amp;'FR PD 001 V1'!J28&amp;"mg   VolDo: "&amp;'DATOS ETIQ'!G24&amp;"mL  "&amp;"VolTotal:  "&amp;'FORMATO DIL'!U34&amp;"mL",IF('DATOS ETIQ'!P24=1,"Do: "&amp;'DATOS ETIQ'!F24&amp;'DATOS ETIQ'!V24&amp;"   VolDo: "&amp;'DATOS ETIQ'!G24&amp;"mL","Dilución 1/"&amp;'DATOS ETIQ'!P24&amp;"  "&amp;'DATOS ETIQ'!E24&amp;'DATOS ETIQ'!V24&amp;"/mL   Do: "&amp;'DATOS ETIQ'!F24&amp;'DATOS ETIQ'!V24&amp;"   VolDo: "&amp;'DATOS ETIQ'!G24&amp;"mL"))))</f>
        <v>#N/A</v>
      </c>
    </row>
    <row r="25" spans="1:30">
      <c r="A25" s="175">
        <f>'FR PD 001 V1'!G29</f>
        <v>0</v>
      </c>
      <c r="B25" s="175" t="e">
        <f>VLOOKUP(A25,ESTANDAR!A:B,2,0)</f>
        <v>#N/A</v>
      </c>
      <c r="C25" s="175" t="e">
        <f>VLOOKUP(A25,ESTANDAR!A:D,4,0)</f>
        <v>#N/A</v>
      </c>
      <c r="D25" s="184" t="e">
        <f>IF('FORMATO DIL'!B$6="NEO+PED",VLOOKUP(A25,ESTANDAR!A:G,6,0),VLOOKUP(A25,ESTANDAR!A:G,7,0))</f>
        <v>#N/A</v>
      </c>
      <c r="E25" s="175" t="str">
        <f>'FR PD 001 V1'!L29</f>
        <v>ERROR</v>
      </c>
      <c r="F25" s="175">
        <f>'FR PD 001 V1'!J29</f>
        <v>0</v>
      </c>
      <c r="G25" s="175">
        <f>ROUND('FR PD 001 V1'!M29,2)</f>
        <v>0</v>
      </c>
      <c r="H25" s="178" t="e">
        <f ca="1">'FR PD 001 V1'!P29</f>
        <v>#N/A</v>
      </c>
      <c r="I25" s="175" t="str">
        <f>'FR PD 001 V1'!O29</f>
        <v/>
      </c>
      <c r="J25" s="175" t="str">
        <f>LEFT('FR PD 001 V1'!B29,30)</f>
        <v/>
      </c>
      <c r="K25" s="175">
        <f>'FR PD 001 V1'!C29</f>
        <v>0</v>
      </c>
      <c r="L25" s="175" t="str">
        <f>'FORMATO DIL'!B$7</f>
        <v>JGARCIA</v>
      </c>
      <c r="M25" s="175" t="str">
        <f>'FORMATO DIL'!B$8</f>
        <v>ADELTORO</v>
      </c>
      <c r="N25" s="175" t="str">
        <f>'FORMATO DIL'!B$2</f>
        <v>C.JPC/SEXTO NTE/SCOOP</v>
      </c>
      <c r="O25" s="175" t="str">
        <f>'FR PD 001 V1'!E29</f>
        <v>NA</v>
      </c>
      <c r="P25" s="181" t="e">
        <f t="shared" si="0"/>
        <v>#N/A</v>
      </c>
      <c r="Q25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ADULTO"),AA25,IF(LEFT(R25,3)="INF",Y25,IF(OR(B25="INSULINA NPH",B25="INSULINA CRISTALINA",B25="PENICILINA CRIST."),B25&amp;" "&amp;C25&amp;" "&amp;D25&amp;"U.I./mL",B25&amp;" "&amp;C25&amp;" "&amp;D25&amp;"mg/mL")))</f>
        <v>#N/A</v>
      </c>
      <c r="R25" s="4">
        <f>IF(OR('FR PD 001 V1'!S29="JER 1mL",'FR PD 001 V1'!S29="JER 3mL",'FR PD 001 V1'!S29="JER 5mL",'FR PD 001 V1'!S29="JER 10mL",'FR PD 001 V1'!S29="JER 20mL",'FR PD 001 V1'!S29="JER 50mL"),"JERINGA",'FR PD 001 V1'!S29)</f>
        <v>0</v>
      </c>
      <c r="S25" s="4" t="e">
        <f>IF(OR('FORMATO DIL'!$A$1="MN_HOSPITAL MEISSEN/UCI NEO",'FORMATO DIL'!$A$1="MP_HOSPITAL MEISSEN/PED",'FORMATO DIL'!$A$1="MA_HOSPITAL MEISSEN/UCI ADULTO"),'FORMATO DIL'!O35,IF(VLOOKUP(A25,ESTANDAR!$A$2:$O$682,15,0)=0,"      -------",VLOOKUP(A25,ESTANDAR!$A$2:$O$682,15,0)))</f>
        <v>#N/A</v>
      </c>
      <c r="T25" s="4" t="e">
        <f t="shared" ca="1" si="1"/>
        <v>#N/A</v>
      </c>
      <c r="U25" s="4" t="e">
        <f>IF(AND('FORMATO DIL'!U35&gt;0,'FORMATO DIL'!V35&gt;0),"Do: "&amp;F25&amp;V25&amp;"  VolTotal: "&amp;'FORMATO DIL'!U35&amp;"mL"&amp;" a "&amp;'FORMATO DIL'!V35&amp;"mL/h","Do: "&amp;F25&amp;V25&amp;"  VolDo: "&amp;G25&amp;"mL")</f>
        <v>#N/A</v>
      </c>
      <c r="V25" s="4" t="e">
        <f t="shared" si="2"/>
        <v>#N/A</v>
      </c>
      <c r="W25" s="4" t="e">
        <f>"Conc:  "&amp;IF('FORMATO DIL'!L35&gt;0,IF(OR(B25="GONADOTROPINA CORIONICA",B25="HEPARINA",B25="INSULINA CRISTALINA",B25="INSULINA NPH",B25="PENICILINA CRIST.",B25="POLIMIXINA B"),'FORMATO DIL'!L35&amp;"U.I/mL",'FORMATO DIL'!L35&amp;"mg/mL"),'DATOS ETIQ'!C25)</f>
        <v>#N/A</v>
      </c>
      <c r="X25" s="4" t="e">
        <f>IF(OR('FORMATO DIL'!U35&gt;0,'FORMATO DIL'!V35&gt;0),"  VOL TOTAL:  "&amp;'FORMATO DIL'!U35&amp;"mL"&amp;" a "&amp;'FORMATO DIL'!V35&amp;"mL/h",ROUND((F25/E25),1))</f>
        <v>#VALUE!</v>
      </c>
      <c r="Y25" s="4" t="e">
        <f>B25&amp;" INF SSN 0.9% "&amp;'FR PD 001 V1'!N29</f>
        <v>#N/A</v>
      </c>
      <c r="Z25" s="4" t="str">
        <f>"ID :"&amp;K25&amp;"   F. Nac:  "&amp;UPPER(TEXT('FORMATO DIL'!F35,"ddmmmyy"))</f>
        <v>ID :0   F. Nac:  00ENE00</v>
      </c>
      <c r="AA25" s="4" t="e">
        <f>IF('FORMATO DIL'!L35&lt;&gt;"",IF(OR(B25="INSULINA NPH",B25="INSULINA CRISTALINA",B25="PENICILINA CRIST."),B25&amp;" "&amp;C25&amp;" "&amp;'FORMATO DIL'!L35&amp;"U.I./mL",B25&amp;" "&amp;C25&amp;" "&amp;'FORMATO DIL'!L35&amp;"mg/mL"),IF(OR(B25="INSULINA NPH",B25="INSULINA CRISTALINA",B25="PENICILINA CRIST."),B25&amp;" "&amp;C25&amp;" "&amp;D25&amp;"U.I./mL",B25&amp;" "&amp;C25&amp;" "&amp;D25&amp;"mg/mL"))</f>
        <v>#N/A</v>
      </c>
      <c r="AB25" s="4" t="e">
        <f>+VLOOKUP(A25,ESTANDAR!$A$2:$K$645,11,0)</f>
        <v>#N/A</v>
      </c>
      <c r="AC25" s="4" t="e">
        <f>IF(AND('FORMATO DIL'!U35&gt;0,'FORMATO DIL'!V35&gt;0),"Do: "&amp;F25&amp;V25&amp;"  VolTotal: "&amp;'FORMATO DIL'!U35&amp;"mL"&amp;" a "&amp;'FORMATO DIL'!V35&amp;"mL/h",IF('FORMATO DIL'!U35&gt;0,"Do: "&amp;F25&amp;V25&amp;"  VolTotal: "&amp;'FORMATO DIL'!U35&amp;"mL","Do: "&amp;F25&amp;V25&amp;"  VolDo: "&amp;G25&amp;"mL"))</f>
        <v>#N/A</v>
      </c>
      <c r="AD25" s="4" t="e">
        <f>IF(OR('FORMATO DIL'!$A$1="MN_HOSPITAL MEISSEN/UCI NEO",'FORMATO DIL'!$A$1="MP_HOSPITAL MEISSEN/PED",'FORMATO DIL'!$A$1="MA_HOSPITAL MEISSEN/UCI ADULTO"),AC25,IF(AND('FORMATO DIL'!$V$9&lt;&gt;"",'FORMATO DIL'!U35&lt;&gt;""),"Do: "&amp;'FR PD 001 V1'!J29&amp;"mg   VolDo: "&amp;'FORMATO DIL'!U35&amp;"mL",IF(AND('FORMATO DIL'!$U$9&lt;&gt;"",'FORMATO DIL'!U35&lt;&gt;""),"Do: "&amp;'FR PD 001 V1'!J29&amp;"mg   VolDo: "&amp;'DATOS ETIQ'!G25&amp;"mL  "&amp;"VolTotal:  "&amp;'FORMATO DIL'!U35&amp;"mL",IF('DATOS ETIQ'!P25=1,"Do: "&amp;'DATOS ETIQ'!F25&amp;'DATOS ETIQ'!V25&amp;"   VolDo: "&amp;'DATOS ETIQ'!G25&amp;"mL","Dilución 1/"&amp;'DATOS ETIQ'!P25&amp;"  "&amp;'DATOS ETIQ'!E25&amp;'DATOS ETIQ'!V25&amp;"/mL   Do: "&amp;'DATOS ETIQ'!F25&amp;'DATOS ETIQ'!V25&amp;"   VolDo: "&amp;'DATOS ETIQ'!G25&amp;"mL"))))</f>
        <v>#N/A</v>
      </c>
    </row>
    <row r="26" spans="1:30">
      <c r="A26" s="175">
        <f>'FR PD 001 V1'!G30</f>
        <v>0</v>
      </c>
      <c r="B26" s="175" t="e">
        <f>VLOOKUP(A26,ESTANDAR!A:B,2,0)</f>
        <v>#N/A</v>
      </c>
      <c r="C26" s="175" t="e">
        <f>VLOOKUP(A26,ESTANDAR!A:D,4,0)</f>
        <v>#N/A</v>
      </c>
      <c r="D26" s="184" t="e">
        <f>IF('FORMATO DIL'!B$6="NEO+PED",VLOOKUP(A26,ESTANDAR!A:G,6,0),VLOOKUP(A26,ESTANDAR!A:G,7,0))</f>
        <v>#N/A</v>
      </c>
      <c r="E26" s="175" t="str">
        <f>'FR PD 001 V1'!L30</f>
        <v>ERROR</v>
      </c>
      <c r="F26" s="175">
        <f>'FR PD 001 V1'!J30</f>
        <v>0</v>
      </c>
      <c r="G26" s="175">
        <f>ROUND('FR PD 001 V1'!M30,2)</f>
        <v>0</v>
      </c>
      <c r="H26" s="178" t="e">
        <f ca="1">'FR PD 001 V1'!P30</f>
        <v>#N/A</v>
      </c>
      <c r="I26" s="175" t="str">
        <f>'FR PD 001 V1'!O30</f>
        <v/>
      </c>
      <c r="J26" s="175" t="str">
        <f>LEFT('FR PD 001 V1'!B30,30)</f>
        <v/>
      </c>
      <c r="K26" s="175">
        <f>'FR PD 001 V1'!C30</f>
        <v>0</v>
      </c>
      <c r="L26" s="175" t="str">
        <f>'FORMATO DIL'!B$7</f>
        <v>JGARCIA</v>
      </c>
      <c r="M26" s="175" t="str">
        <f>'FORMATO DIL'!B$8</f>
        <v>ADELTORO</v>
      </c>
      <c r="N26" s="175" t="str">
        <f>'FORMATO DIL'!B$2</f>
        <v>C.JPC/SEXTO NTE/SCOOP</v>
      </c>
      <c r="O26" s="175" t="str">
        <f>'FR PD 001 V1'!E30</f>
        <v>NA</v>
      </c>
      <c r="P26" s="181" t="e">
        <f t="shared" si="0"/>
        <v>#N/A</v>
      </c>
      <c r="Q26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ADULTO"),AA26,IF(LEFT(R26,3)="INF",Y26,IF(OR(B26="INSULINA NPH",B26="INSULINA CRISTALINA",B26="PENICILINA CRIST."),B26&amp;" "&amp;C26&amp;" "&amp;D26&amp;"U.I./mL",B26&amp;" "&amp;C26&amp;" "&amp;D26&amp;"mg/mL")))</f>
        <v>#N/A</v>
      </c>
      <c r="R26" s="4">
        <f>IF(OR('FR PD 001 V1'!S30="JER 1mL",'FR PD 001 V1'!S30="JER 3mL",'FR PD 001 V1'!S30="JER 5mL",'FR PD 001 V1'!S30="JER 10mL",'FR PD 001 V1'!S30="JER 20mL",'FR PD 001 V1'!S30="JER 50mL"),"JERINGA",'FR PD 001 V1'!S30)</f>
        <v>0</v>
      </c>
      <c r="S26" s="4" t="e">
        <f>IF(OR('FORMATO DIL'!$A$1="MN_HOSPITAL MEISSEN/UCI NEO",'FORMATO DIL'!$A$1="MP_HOSPITAL MEISSEN/PED",'FORMATO DIL'!$A$1="MA_HOSPITAL MEISSEN/UCI ADULTO"),'FORMATO DIL'!O36,IF(VLOOKUP(A26,ESTANDAR!$A$2:$O$682,15,0)=0,"      -------",VLOOKUP(A26,ESTANDAR!$A$2:$O$682,15,0)))</f>
        <v>#N/A</v>
      </c>
      <c r="T26" s="4" t="e">
        <f t="shared" ca="1" si="1"/>
        <v>#N/A</v>
      </c>
      <c r="U26" s="4" t="e">
        <f>IF(AND('FORMATO DIL'!U36&gt;0,'FORMATO DIL'!V36&gt;0),"Do: "&amp;F26&amp;V26&amp;"  VolTotal: "&amp;'FORMATO DIL'!U36&amp;"mL"&amp;" a "&amp;'FORMATO DIL'!V36&amp;"mL/h","Do: "&amp;F26&amp;V26&amp;"  VolDo: "&amp;G26&amp;"mL")</f>
        <v>#N/A</v>
      </c>
      <c r="V26" s="4" t="e">
        <f t="shared" si="2"/>
        <v>#N/A</v>
      </c>
      <c r="W26" s="4" t="e">
        <f>"Conc:  "&amp;IF('FORMATO DIL'!L36&gt;0,IF(OR(B26="GONADOTROPINA CORIONICA",B26="HEPARINA",B26="INSULINA CRISTALINA",B26="INSULINA NPH",B26="PENICILINA CRIST.",B26="POLIMIXINA B"),'FORMATO DIL'!L36&amp;"U.I/mL",'FORMATO DIL'!L36&amp;"mg/mL"),'DATOS ETIQ'!C26)</f>
        <v>#N/A</v>
      </c>
      <c r="X26" s="4" t="e">
        <f>IF(OR('FORMATO DIL'!U36&gt;0,'FORMATO DIL'!V36&gt;0),"  VOL TOTAL:  "&amp;'FORMATO DIL'!U36&amp;"mL"&amp;" a "&amp;'FORMATO DIL'!V36&amp;"mL/h",ROUND((F26/E26),1))</f>
        <v>#VALUE!</v>
      </c>
      <c r="Y26" s="4" t="e">
        <f>B26&amp;" INF SSN 0.9% "&amp;'FR PD 001 V1'!N30</f>
        <v>#N/A</v>
      </c>
      <c r="Z26" s="4" t="str">
        <f>"ID :"&amp;K26&amp;"   F. Nac:  "&amp;UPPER(TEXT('FORMATO DIL'!F36,"ddmmmyy"))</f>
        <v>ID :0   F. Nac:  00ENE00</v>
      </c>
      <c r="AA26" s="4" t="e">
        <f>IF('FORMATO DIL'!L36&lt;&gt;"",IF(OR(B26="INSULINA NPH",B26="INSULINA CRISTALINA",B26="PENICILINA CRIST."),B26&amp;" "&amp;C26&amp;" "&amp;'FORMATO DIL'!L36&amp;"U.I./mL",B26&amp;" "&amp;C26&amp;" "&amp;'FORMATO DIL'!L36&amp;"mg/mL"),IF(OR(B26="INSULINA NPH",B26="INSULINA CRISTALINA",B26="PENICILINA CRIST."),B26&amp;" "&amp;C26&amp;" "&amp;D26&amp;"U.I./mL",B26&amp;" "&amp;C26&amp;" "&amp;D26&amp;"mg/mL"))</f>
        <v>#N/A</v>
      </c>
      <c r="AB26" s="4" t="e">
        <f>+VLOOKUP(A26,ESTANDAR!$A$2:$K$645,11,0)</f>
        <v>#N/A</v>
      </c>
      <c r="AC26" s="4" t="e">
        <f>IF(AND('FORMATO DIL'!U36&gt;0,'FORMATO DIL'!V36&gt;0),"Do: "&amp;F26&amp;V26&amp;"  VolTotal: "&amp;'FORMATO DIL'!U36&amp;"mL"&amp;" a "&amp;'FORMATO DIL'!V36&amp;"mL/h",IF('FORMATO DIL'!U36&gt;0,"Do: "&amp;F26&amp;V26&amp;"  VolTotal: "&amp;'FORMATO DIL'!U36&amp;"mL","Do: "&amp;F26&amp;V26&amp;"  VolDo: "&amp;G26&amp;"mL"))</f>
        <v>#N/A</v>
      </c>
      <c r="AD26" s="4" t="e">
        <f>IF(OR('FORMATO DIL'!$A$1="MN_HOSPITAL MEISSEN/UCI NEO",'FORMATO DIL'!$A$1="MP_HOSPITAL MEISSEN/PED",'FORMATO DIL'!$A$1="MA_HOSPITAL MEISSEN/UCI ADULTO"),AC26,IF(AND('FORMATO DIL'!$V$9&lt;&gt;"",'FORMATO DIL'!U36&lt;&gt;""),"Do: "&amp;'FR PD 001 V1'!J30&amp;"mg   VolDo: "&amp;'FORMATO DIL'!U36&amp;"mL",IF(AND('FORMATO DIL'!$U$9&lt;&gt;"",'FORMATO DIL'!U36&lt;&gt;""),"Do: "&amp;'FR PD 001 V1'!J30&amp;"mg   VolDo: "&amp;'DATOS ETIQ'!G26&amp;"mL  "&amp;"VolTotal:  "&amp;'FORMATO DIL'!U36&amp;"mL",IF('DATOS ETIQ'!P26=1,"Do: "&amp;'DATOS ETIQ'!F26&amp;'DATOS ETIQ'!V26&amp;"   VolDo: "&amp;'DATOS ETIQ'!G26&amp;"mL","Dilución 1/"&amp;'DATOS ETIQ'!P26&amp;"  "&amp;'DATOS ETIQ'!E26&amp;'DATOS ETIQ'!V26&amp;"/mL   Do: "&amp;'DATOS ETIQ'!F26&amp;'DATOS ETIQ'!V26&amp;"   VolDo: "&amp;'DATOS ETIQ'!G26&amp;"mL"))))</f>
        <v>#N/A</v>
      </c>
    </row>
    <row r="27" spans="1:30">
      <c r="A27" s="175">
        <f>'FR PD 001 V1'!G31</f>
        <v>0</v>
      </c>
      <c r="B27" s="175" t="e">
        <f>VLOOKUP(A27,ESTANDAR!A:B,2,0)</f>
        <v>#N/A</v>
      </c>
      <c r="C27" s="175" t="e">
        <f>VLOOKUP(A27,ESTANDAR!A:D,4,0)</f>
        <v>#N/A</v>
      </c>
      <c r="D27" s="184" t="e">
        <f>IF('FORMATO DIL'!B$6="NEO+PED",VLOOKUP(A27,ESTANDAR!A:G,6,0),VLOOKUP(A27,ESTANDAR!A:G,7,0))</f>
        <v>#N/A</v>
      </c>
      <c r="E27" s="175" t="str">
        <f>'FR PD 001 V1'!L31</f>
        <v>ERROR</v>
      </c>
      <c r="F27" s="175">
        <f>'FR PD 001 V1'!J31</f>
        <v>0</v>
      </c>
      <c r="G27" s="175">
        <f>ROUND('FR PD 001 V1'!M31,2)</f>
        <v>0</v>
      </c>
      <c r="H27" s="178" t="e">
        <f ca="1">'FR PD 001 V1'!P31</f>
        <v>#N/A</v>
      </c>
      <c r="I27" s="175" t="str">
        <f>'FR PD 001 V1'!O31</f>
        <v/>
      </c>
      <c r="J27" s="175" t="str">
        <f>LEFT('FR PD 001 V1'!B31,30)</f>
        <v/>
      </c>
      <c r="K27" s="175">
        <f>'FR PD 001 V1'!C31</f>
        <v>0</v>
      </c>
      <c r="L27" s="175" t="str">
        <f>'FORMATO DIL'!B$7</f>
        <v>JGARCIA</v>
      </c>
      <c r="M27" s="175" t="str">
        <f>'FORMATO DIL'!B$8</f>
        <v>ADELTORO</v>
      </c>
      <c r="N27" s="175" t="str">
        <f>'FORMATO DIL'!B$2</f>
        <v>C.JPC/SEXTO NTE/SCOOP</v>
      </c>
      <c r="O27" s="175" t="str">
        <f>'FR PD 001 V1'!E31</f>
        <v>NA</v>
      </c>
      <c r="P27" s="181" t="e">
        <f t="shared" si="0"/>
        <v>#N/A</v>
      </c>
      <c r="Q27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ADULTO"),AA27,IF(LEFT(R27,3)="INF",Y27,IF(OR(B27="INSULINA NPH",B27="INSULINA CRISTALINA",B27="PENICILINA CRIST."),B27&amp;" "&amp;C27&amp;" "&amp;D27&amp;"U.I./mL",B27&amp;" "&amp;C27&amp;" "&amp;D27&amp;"mg/mL")))</f>
        <v>#N/A</v>
      </c>
      <c r="R27" s="4">
        <f>IF(OR('FR PD 001 V1'!S31="JER 1mL",'FR PD 001 V1'!S31="JER 3mL",'FR PD 001 V1'!S31="JER 5mL",'FR PD 001 V1'!S31="JER 10mL",'FR PD 001 V1'!S31="JER 20mL",'FR PD 001 V1'!S31="JER 50mL"),"JERINGA",'FR PD 001 V1'!S31)</f>
        <v>0</v>
      </c>
      <c r="S27" s="4" t="e">
        <f>IF(OR('FORMATO DIL'!$A$1="MN_HOSPITAL MEISSEN/UCI NEO",'FORMATO DIL'!$A$1="MP_HOSPITAL MEISSEN/PED",'FORMATO DIL'!$A$1="MA_HOSPITAL MEISSEN/UCI ADULTO"),'FORMATO DIL'!O37,IF(VLOOKUP(A27,ESTANDAR!$A$2:$O$682,15,0)=0,"      -------",VLOOKUP(A27,ESTANDAR!$A$2:$O$682,15,0)))</f>
        <v>#N/A</v>
      </c>
      <c r="T27" s="4" t="e">
        <f t="shared" ca="1" si="1"/>
        <v>#N/A</v>
      </c>
      <c r="U27" s="4" t="e">
        <f>IF(AND('FORMATO DIL'!U37&gt;0,'FORMATO DIL'!V37&gt;0),"Do: "&amp;F27&amp;V27&amp;"  VolTotal: "&amp;'FORMATO DIL'!U37&amp;"mL"&amp;" a "&amp;'FORMATO DIL'!V37&amp;"mL/h","Do: "&amp;F27&amp;V27&amp;"  VolDo: "&amp;G27&amp;"mL")</f>
        <v>#N/A</v>
      </c>
      <c r="V27" s="4" t="e">
        <f t="shared" si="2"/>
        <v>#N/A</v>
      </c>
      <c r="W27" s="4" t="e">
        <f>"Conc:  "&amp;IF('FORMATO DIL'!L37&gt;0,IF(OR(B27="GONADOTROPINA CORIONICA",B27="HEPARINA",B27="INSULINA CRISTALINA",B27="INSULINA NPH",B27="PENICILINA CRIST.",B27="POLIMIXINA B"),'FORMATO DIL'!L37&amp;"U.I/mL",'FORMATO DIL'!L37&amp;"mg/mL"),'DATOS ETIQ'!C27)</f>
        <v>#N/A</v>
      </c>
      <c r="X27" s="4" t="e">
        <f>IF(OR('FORMATO DIL'!U37&gt;0,'FORMATO DIL'!V37&gt;0),"  VOL TOTAL:  "&amp;'FORMATO DIL'!U37&amp;"mL"&amp;" a "&amp;'FORMATO DIL'!V37&amp;"mL/h",ROUND((F27/E27),1))</f>
        <v>#VALUE!</v>
      </c>
      <c r="Y27" s="4" t="e">
        <f>B27&amp;" INF SSN 0.9% "&amp;'FR PD 001 V1'!N31</f>
        <v>#N/A</v>
      </c>
      <c r="Z27" s="4" t="str">
        <f>"ID :"&amp;K27&amp;"   F. Nac:  "&amp;UPPER(TEXT('FORMATO DIL'!F37,"ddmmmyy"))</f>
        <v>ID :0   F. Nac:  00ENE00</v>
      </c>
      <c r="AA27" s="4" t="e">
        <f>IF('FORMATO DIL'!L37&lt;&gt;"",IF(OR(B27="INSULINA NPH",B27="INSULINA CRISTALINA",B27="PENICILINA CRIST."),B27&amp;" "&amp;C27&amp;" "&amp;'FORMATO DIL'!L37&amp;"U.I./mL",B27&amp;" "&amp;C27&amp;" "&amp;'FORMATO DIL'!L37&amp;"mg/mL"),IF(OR(B27="INSULINA NPH",B27="INSULINA CRISTALINA",B27="PENICILINA CRIST."),B27&amp;" "&amp;C27&amp;" "&amp;D27&amp;"U.I./mL",B27&amp;" "&amp;C27&amp;" "&amp;D27&amp;"mg/mL"))</f>
        <v>#N/A</v>
      </c>
      <c r="AB27" s="4" t="e">
        <f>+VLOOKUP(A27,ESTANDAR!$A$2:$K$645,11,0)</f>
        <v>#N/A</v>
      </c>
      <c r="AC27" s="4" t="e">
        <f>IF(AND('FORMATO DIL'!U37&gt;0,'FORMATO DIL'!V37&gt;0),"Do: "&amp;F27&amp;V27&amp;"  VolTotal: "&amp;'FORMATO DIL'!U37&amp;"mL"&amp;" a "&amp;'FORMATO DIL'!V37&amp;"mL/h",IF('FORMATO DIL'!U37&gt;0,"Do: "&amp;F27&amp;V27&amp;"  VolTotal: "&amp;'FORMATO DIL'!U37&amp;"mL","Do: "&amp;F27&amp;V27&amp;"  VolDo: "&amp;G27&amp;"mL"))</f>
        <v>#N/A</v>
      </c>
      <c r="AD27" s="4" t="e">
        <f>IF(OR('FORMATO DIL'!$A$1="MN_HOSPITAL MEISSEN/UCI NEO",'FORMATO DIL'!$A$1="MP_HOSPITAL MEISSEN/PED",'FORMATO DIL'!$A$1="MA_HOSPITAL MEISSEN/UCI ADULTO"),AC27,IF(AND('FORMATO DIL'!$V$9&lt;&gt;"",'FORMATO DIL'!U37&lt;&gt;""),"Do: "&amp;'FR PD 001 V1'!J31&amp;"mg   VolDo: "&amp;'FORMATO DIL'!U37&amp;"mL",IF(AND('FORMATO DIL'!$U$9&lt;&gt;"",'FORMATO DIL'!U37&lt;&gt;""),"Do: "&amp;'FR PD 001 V1'!J31&amp;"mg   VolDo: "&amp;'DATOS ETIQ'!G27&amp;"mL  "&amp;"VolTotal:  "&amp;'FORMATO DIL'!U37&amp;"mL",IF('DATOS ETIQ'!P27=1,"Do: "&amp;'DATOS ETIQ'!F27&amp;'DATOS ETIQ'!V27&amp;"   VolDo: "&amp;'DATOS ETIQ'!G27&amp;"mL","Dilución 1/"&amp;'DATOS ETIQ'!P27&amp;"  "&amp;'DATOS ETIQ'!E27&amp;'DATOS ETIQ'!V27&amp;"/mL   Do: "&amp;'DATOS ETIQ'!F27&amp;'DATOS ETIQ'!V27&amp;"   VolDo: "&amp;'DATOS ETIQ'!G27&amp;"mL"))))</f>
        <v>#N/A</v>
      </c>
    </row>
    <row r="28" spans="1:30">
      <c r="A28" s="175">
        <f>'FR PD 001 V1'!G32</f>
        <v>0</v>
      </c>
      <c r="B28" s="175" t="e">
        <f>VLOOKUP(A28,ESTANDAR!A:B,2,0)</f>
        <v>#N/A</v>
      </c>
      <c r="C28" s="175" t="e">
        <f>VLOOKUP(A28,ESTANDAR!A:D,4,0)</f>
        <v>#N/A</v>
      </c>
      <c r="D28" s="184" t="e">
        <f>IF('FORMATO DIL'!B$6="NEO+PED",VLOOKUP(A28,ESTANDAR!A:G,6,0),VLOOKUP(A28,ESTANDAR!A:G,7,0))</f>
        <v>#N/A</v>
      </c>
      <c r="E28" s="175" t="str">
        <f>'FR PD 001 V1'!L32</f>
        <v>ERROR</v>
      </c>
      <c r="F28" s="175">
        <f>'FR PD 001 V1'!J32</f>
        <v>0</v>
      </c>
      <c r="G28" s="175">
        <f>ROUND('FR PD 001 V1'!M32,2)</f>
        <v>0</v>
      </c>
      <c r="H28" s="178" t="e">
        <f ca="1">'FR PD 001 V1'!P32</f>
        <v>#N/A</v>
      </c>
      <c r="I28" s="175" t="str">
        <f>'FR PD 001 V1'!O32</f>
        <v/>
      </c>
      <c r="J28" s="175" t="str">
        <f>LEFT('FR PD 001 V1'!B32,30)</f>
        <v/>
      </c>
      <c r="K28" s="175">
        <f>'FR PD 001 V1'!C32</f>
        <v>0</v>
      </c>
      <c r="L28" s="175" t="str">
        <f>'FORMATO DIL'!B$7</f>
        <v>JGARCIA</v>
      </c>
      <c r="M28" s="175" t="str">
        <f>'FORMATO DIL'!B$8</f>
        <v>ADELTORO</v>
      </c>
      <c r="N28" s="175" t="str">
        <f>'FORMATO DIL'!B$2</f>
        <v>C.JPC/SEXTO NTE/SCOOP</v>
      </c>
      <c r="O28" s="175" t="str">
        <f>'FR PD 001 V1'!E32</f>
        <v>NA</v>
      </c>
      <c r="P28" s="181" t="e">
        <f t="shared" si="0"/>
        <v>#N/A</v>
      </c>
      <c r="Q28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ADULTO"),AA28,IF(LEFT(R28,3)="INF",Y28,IF(OR(B28="INSULINA NPH",B28="INSULINA CRISTALINA",B28="PENICILINA CRIST."),B28&amp;" "&amp;C28&amp;" "&amp;D28&amp;"U.I./mL",B28&amp;" "&amp;C28&amp;" "&amp;D28&amp;"mg/mL")))</f>
        <v>#N/A</v>
      </c>
      <c r="R28" s="4">
        <f>IF(OR('FR PD 001 V1'!S32="JER 1mL",'FR PD 001 V1'!S32="JER 3mL",'FR PD 001 V1'!S32="JER 5mL",'FR PD 001 V1'!S32="JER 10mL",'FR PD 001 V1'!S32="JER 20mL",'FR PD 001 V1'!S32="JER 50mL"),"JERINGA",'FR PD 001 V1'!S32)</f>
        <v>0</v>
      </c>
      <c r="S28" s="4" t="e">
        <f>IF(OR('FORMATO DIL'!$A$1="MN_HOSPITAL MEISSEN/UCI NEO",'FORMATO DIL'!$A$1="MP_HOSPITAL MEISSEN/PED",'FORMATO DIL'!$A$1="MA_HOSPITAL MEISSEN/UCI ADULTO"),'FORMATO DIL'!O38,IF(VLOOKUP(A28,ESTANDAR!$A$2:$O$682,15,0)=0,"      -------",VLOOKUP(A28,ESTANDAR!$A$2:$O$682,15,0)))</f>
        <v>#N/A</v>
      </c>
      <c r="T28" s="4" t="e">
        <f t="shared" ca="1" si="1"/>
        <v>#N/A</v>
      </c>
      <c r="U28" s="4" t="e">
        <f>IF(AND('FORMATO DIL'!U38&gt;0,'FORMATO DIL'!V38&gt;0),"Do: "&amp;F28&amp;V28&amp;"  VolTotal: "&amp;'FORMATO DIL'!U38&amp;"mL"&amp;" a "&amp;'FORMATO DIL'!V38&amp;"mL/h","Do: "&amp;F28&amp;V28&amp;"  VolDo: "&amp;G28&amp;"mL")</f>
        <v>#N/A</v>
      </c>
      <c r="V28" s="4" t="e">
        <f t="shared" si="2"/>
        <v>#N/A</v>
      </c>
      <c r="W28" s="4" t="e">
        <f>"Conc:  "&amp;IF('FORMATO DIL'!L38&gt;0,IF(OR(B28="GONADOTROPINA CORIONICA",B28="HEPARINA",B28="INSULINA CRISTALINA",B28="INSULINA NPH",B28="PENICILINA CRIST.",B28="POLIMIXINA B"),'FORMATO DIL'!L38&amp;"U.I/mL",'FORMATO DIL'!L38&amp;"mg/mL"),'DATOS ETIQ'!C28)</f>
        <v>#N/A</v>
      </c>
      <c r="X28" s="4" t="e">
        <f>IF(OR('FORMATO DIL'!U38&gt;0,'FORMATO DIL'!V38&gt;0),"  VOL TOTAL:  "&amp;'FORMATO DIL'!U38&amp;"mL"&amp;" a "&amp;'FORMATO DIL'!V38&amp;"mL/h",ROUND((F28/E28),1))</f>
        <v>#VALUE!</v>
      </c>
      <c r="Y28" s="4" t="e">
        <f>B28&amp;" INF SSN 0.9% "&amp;'FR PD 001 V1'!N32</f>
        <v>#N/A</v>
      </c>
      <c r="Z28" s="4" t="str">
        <f>"ID :"&amp;K28&amp;"   F. Nac:  "&amp;UPPER(TEXT('FORMATO DIL'!F38,"ddmmmyy"))</f>
        <v>ID :0   F. Nac:  00ENE00</v>
      </c>
      <c r="AA28" s="4" t="e">
        <f>IF('FORMATO DIL'!L38&lt;&gt;"",IF(OR(B28="INSULINA NPH",B28="INSULINA CRISTALINA",B28="PENICILINA CRIST."),B28&amp;" "&amp;C28&amp;" "&amp;'FORMATO DIL'!L38&amp;"U.I./mL",B28&amp;" "&amp;C28&amp;" "&amp;'FORMATO DIL'!L38&amp;"mg/mL"),IF(OR(B28="INSULINA NPH",B28="INSULINA CRISTALINA",B28="PENICILINA CRIST."),B28&amp;" "&amp;C28&amp;" "&amp;D28&amp;"U.I./mL",B28&amp;" "&amp;C28&amp;" "&amp;D28&amp;"mg/mL"))</f>
        <v>#N/A</v>
      </c>
      <c r="AB28" s="4" t="e">
        <f>+VLOOKUP(A28,ESTANDAR!$A$2:$K$645,11,0)</f>
        <v>#N/A</v>
      </c>
      <c r="AC28" s="4" t="e">
        <f>IF(AND('FORMATO DIL'!U38&gt;0,'FORMATO DIL'!V38&gt;0),"Do: "&amp;F28&amp;V28&amp;"  VolTotal: "&amp;'FORMATO DIL'!U38&amp;"mL"&amp;" a "&amp;'FORMATO DIL'!V38&amp;"mL/h",IF('FORMATO DIL'!U38&gt;0,"Do: "&amp;F28&amp;V28&amp;"  VolTotal: "&amp;'FORMATO DIL'!U38&amp;"mL","Do: "&amp;F28&amp;V28&amp;"  VolDo: "&amp;G28&amp;"mL"))</f>
        <v>#N/A</v>
      </c>
      <c r="AD28" s="4" t="e">
        <f>IF(OR('FORMATO DIL'!$A$1="MN_HOSPITAL MEISSEN/UCI NEO",'FORMATO DIL'!$A$1="MP_HOSPITAL MEISSEN/PED",'FORMATO DIL'!$A$1="MA_HOSPITAL MEISSEN/UCI ADULTO"),AC28,IF(AND('FORMATO DIL'!$V$9&lt;&gt;"",'FORMATO DIL'!U38&lt;&gt;""),"Do: "&amp;'FR PD 001 V1'!J32&amp;"mg   VolDo: "&amp;'FORMATO DIL'!U38&amp;"mL",IF(AND('FORMATO DIL'!$U$9&lt;&gt;"",'FORMATO DIL'!U38&lt;&gt;""),"Do: "&amp;'FR PD 001 V1'!J32&amp;"mg   VolDo: "&amp;'DATOS ETIQ'!G28&amp;"mL  "&amp;"VolTotal:  "&amp;'FORMATO DIL'!U38&amp;"mL",IF('DATOS ETIQ'!P28=1,"Do: "&amp;'DATOS ETIQ'!F28&amp;'DATOS ETIQ'!V28&amp;"   VolDo: "&amp;'DATOS ETIQ'!G28&amp;"mL","Dilución 1/"&amp;'DATOS ETIQ'!P28&amp;"  "&amp;'DATOS ETIQ'!E28&amp;'DATOS ETIQ'!V28&amp;"/mL   Do: "&amp;'DATOS ETIQ'!F28&amp;'DATOS ETIQ'!V28&amp;"   VolDo: "&amp;'DATOS ETIQ'!G28&amp;"mL"))))</f>
        <v>#N/A</v>
      </c>
    </row>
    <row r="29" spans="1:30">
      <c r="A29" s="175">
        <f>'FR PD 001 V1'!G33</f>
        <v>0</v>
      </c>
      <c r="B29" s="175" t="e">
        <f>VLOOKUP(A29,ESTANDAR!A:B,2,0)</f>
        <v>#N/A</v>
      </c>
      <c r="C29" s="175" t="e">
        <f>VLOOKUP(A29,ESTANDAR!A:D,4,0)</f>
        <v>#N/A</v>
      </c>
      <c r="D29" s="184" t="e">
        <f>IF('FORMATO DIL'!B$6="NEO+PED",VLOOKUP(A29,ESTANDAR!A:G,6,0),VLOOKUP(A29,ESTANDAR!A:G,7,0))</f>
        <v>#N/A</v>
      </c>
      <c r="E29" s="175" t="str">
        <f>'FR PD 001 V1'!L33</f>
        <v>ERROR</v>
      </c>
      <c r="F29" s="175">
        <f>'FR PD 001 V1'!J33</f>
        <v>0</v>
      </c>
      <c r="G29" s="175">
        <f>ROUND('FR PD 001 V1'!M33,2)</f>
        <v>0</v>
      </c>
      <c r="H29" s="178" t="e">
        <f ca="1">'FR PD 001 V1'!P33</f>
        <v>#N/A</v>
      </c>
      <c r="I29" s="175" t="str">
        <f>'FR PD 001 V1'!O33</f>
        <v/>
      </c>
      <c r="J29" s="175" t="str">
        <f>LEFT('FR PD 001 V1'!B33,30)</f>
        <v/>
      </c>
      <c r="K29" s="175">
        <f>'FR PD 001 V1'!C33</f>
        <v>0</v>
      </c>
      <c r="L29" s="175" t="str">
        <f>'FORMATO DIL'!B$7</f>
        <v>JGARCIA</v>
      </c>
      <c r="M29" s="175" t="str">
        <f>'FORMATO DIL'!B$8</f>
        <v>ADELTORO</v>
      </c>
      <c r="N29" s="175" t="str">
        <f>'FORMATO DIL'!B$2</f>
        <v>C.JPC/SEXTO NTE/SCOOP</v>
      </c>
      <c r="O29" s="175" t="str">
        <f>'FR PD 001 V1'!E33</f>
        <v>NA</v>
      </c>
      <c r="P29" s="181" t="e">
        <f t="shared" si="0"/>
        <v>#N/A</v>
      </c>
      <c r="Q29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ADULTO"),AA29,IF(LEFT(R29,3)="INF",Y29,IF(OR(B29="INSULINA NPH",B29="INSULINA CRISTALINA",B29="PENICILINA CRIST."),B29&amp;" "&amp;C29&amp;" "&amp;D29&amp;"U.I./mL",B29&amp;" "&amp;C29&amp;" "&amp;D29&amp;"mg/mL")))</f>
        <v>#N/A</v>
      </c>
      <c r="R29" s="4">
        <f>IF(OR('FR PD 001 V1'!S33="JER 1mL",'FR PD 001 V1'!S33="JER 3mL",'FR PD 001 V1'!S33="JER 5mL",'FR PD 001 V1'!S33="JER 10mL",'FR PD 001 V1'!S33="JER 20mL",'FR PD 001 V1'!S33="JER 50mL"),"JERINGA",'FR PD 001 V1'!S33)</f>
        <v>0</v>
      </c>
      <c r="S29" s="4" t="e">
        <f>IF(OR('FORMATO DIL'!$A$1="MN_HOSPITAL MEISSEN/UCI NEO",'FORMATO DIL'!$A$1="MP_HOSPITAL MEISSEN/PED",'FORMATO DIL'!$A$1="MA_HOSPITAL MEISSEN/UCI ADULTO"),'FORMATO DIL'!O39,IF(VLOOKUP(A29,ESTANDAR!$A$2:$O$682,15,0)=0,"      -------",VLOOKUP(A29,ESTANDAR!$A$2:$O$682,15,0)))</f>
        <v>#N/A</v>
      </c>
      <c r="T29" s="4" t="e">
        <f t="shared" ca="1" si="1"/>
        <v>#N/A</v>
      </c>
      <c r="U29" s="4" t="e">
        <f>IF(AND('FORMATO DIL'!U39&gt;0,'FORMATO DIL'!V39&gt;0),"Do: "&amp;F29&amp;V29&amp;"  VolTotal: "&amp;'FORMATO DIL'!U39&amp;"mL"&amp;" a "&amp;'FORMATO DIL'!V39&amp;"mL/h","Do: "&amp;F29&amp;V29&amp;"  VolDo: "&amp;G29&amp;"mL")</f>
        <v>#N/A</v>
      </c>
      <c r="V29" s="4" t="e">
        <f t="shared" si="2"/>
        <v>#N/A</v>
      </c>
      <c r="W29" s="4" t="e">
        <f>"Conc:  "&amp;IF('FORMATO DIL'!L39&gt;0,IF(OR(B29="GONADOTROPINA CORIONICA",B29="HEPARINA",B29="INSULINA CRISTALINA",B29="INSULINA NPH",B29="PENICILINA CRIST.",B29="POLIMIXINA B"),'FORMATO DIL'!L39&amp;"U.I/mL",'FORMATO DIL'!L39&amp;"mg/mL"),'DATOS ETIQ'!C29)</f>
        <v>#N/A</v>
      </c>
      <c r="X29" s="4" t="e">
        <f>IF(OR('FORMATO DIL'!U39&gt;0,'FORMATO DIL'!V39&gt;0),"  VOL TOTAL:  "&amp;'FORMATO DIL'!U39&amp;"mL"&amp;" a "&amp;'FORMATO DIL'!V39&amp;"mL/h",ROUND((F29/E29),1))</f>
        <v>#VALUE!</v>
      </c>
      <c r="Y29" s="4" t="e">
        <f>B29&amp;" INF SSN 0.9% "&amp;'FR PD 001 V1'!N33</f>
        <v>#N/A</v>
      </c>
      <c r="Z29" s="4" t="str">
        <f>"ID :"&amp;K29&amp;"   F. Nac:  "&amp;UPPER(TEXT('FORMATO DIL'!F39,"ddmmmyy"))</f>
        <v>ID :0   F. Nac:  00ENE00</v>
      </c>
      <c r="AA29" s="4" t="e">
        <f>IF('FORMATO DIL'!L39&lt;&gt;"",IF(OR(B29="INSULINA NPH",B29="INSULINA CRISTALINA",B29="PENICILINA CRIST."),B29&amp;" "&amp;C29&amp;" "&amp;'FORMATO DIL'!L39&amp;"U.I./mL",B29&amp;" "&amp;C29&amp;" "&amp;'FORMATO DIL'!L39&amp;"mg/mL"),IF(OR(B29="INSULINA NPH",B29="INSULINA CRISTALINA",B29="PENICILINA CRIST."),B29&amp;" "&amp;C29&amp;" "&amp;D29&amp;"U.I./mL",B29&amp;" "&amp;C29&amp;" "&amp;D29&amp;"mg/mL"))</f>
        <v>#N/A</v>
      </c>
      <c r="AB29" s="4" t="e">
        <f>+VLOOKUP(A29,ESTANDAR!$A$2:$K$645,11,0)</f>
        <v>#N/A</v>
      </c>
      <c r="AC29" s="4" t="e">
        <f>IF(AND('FORMATO DIL'!U39&gt;0,'FORMATO DIL'!V39&gt;0),"Do: "&amp;F29&amp;V29&amp;"  VolTotal: "&amp;'FORMATO DIL'!U39&amp;"mL"&amp;" a "&amp;'FORMATO DIL'!V39&amp;"mL/h",IF('FORMATO DIL'!U39&gt;0,"Do: "&amp;F29&amp;V29&amp;"  VolTotal: "&amp;'FORMATO DIL'!U39&amp;"mL","Do: "&amp;F29&amp;V29&amp;"  VolDo: "&amp;G29&amp;"mL"))</f>
        <v>#N/A</v>
      </c>
      <c r="AD29" s="4" t="e">
        <f>IF(OR('FORMATO DIL'!$A$1="MN_HOSPITAL MEISSEN/UCI NEO",'FORMATO DIL'!$A$1="MP_HOSPITAL MEISSEN/PED",'FORMATO DIL'!$A$1="MA_HOSPITAL MEISSEN/UCI ADULTO"),AC29,IF(AND('FORMATO DIL'!$V$9&lt;&gt;"",'FORMATO DIL'!U39&lt;&gt;""),"Do: "&amp;'FR PD 001 V1'!J33&amp;"mg   VolDo: "&amp;'FORMATO DIL'!U39&amp;"mL",IF(AND('FORMATO DIL'!$U$9&lt;&gt;"",'FORMATO DIL'!U39&lt;&gt;""),"Do: "&amp;'FR PD 001 V1'!J33&amp;"mg   VolDo: "&amp;'DATOS ETIQ'!G29&amp;"mL  "&amp;"VolTotal:  "&amp;'FORMATO DIL'!U39&amp;"mL",IF('DATOS ETIQ'!P29=1,"Do: "&amp;'DATOS ETIQ'!F29&amp;'DATOS ETIQ'!V29&amp;"   VolDo: "&amp;'DATOS ETIQ'!G29&amp;"mL","Dilución 1/"&amp;'DATOS ETIQ'!P29&amp;"  "&amp;'DATOS ETIQ'!E29&amp;'DATOS ETIQ'!V29&amp;"/mL   Do: "&amp;'DATOS ETIQ'!F29&amp;'DATOS ETIQ'!V29&amp;"   VolDo: "&amp;'DATOS ETIQ'!G29&amp;"mL"))))</f>
        <v>#N/A</v>
      </c>
    </row>
    <row r="30" spans="1:30">
      <c r="A30" s="175">
        <f>'FR PD 001 V1'!G34</f>
        <v>0</v>
      </c>
      <c r="B30" s="175" t="e">
        <f>VLOOKUP(A30,ESTANDAR!A:B,2,0)</f>
        <v>#N/A</v>
      </c>
      <c r="C30" s="175" t="e">
        <f>VLOOKUP(A30,ESTANDAR!A:D,4,0)</f>
        <v>#N/A</v>
      </c>
      <c r="D30" s="184" t="e">
        <f>IF('FORMATO DIL'!B$6="NEO+PED",VLOOKUP(A30,ESTANDAR!A:G,6,0),VLOOKUP(A30,ESTANDAR!A:G,7,0))</f>
        <v>#N/A</v>
      </c>
      <c r="E30" s="175" t="str">
        <f>'FR PD 001 V1'!L34</f>
        <v>ERROR</v>
      </c>
      <c r="F30" s="175">
        <f>'FR PD 001 V1'!J34</f>
        <v>0</v>
      </c>
      <c r="G30" s="175">
        <f>ROUND('FR PD 001 V1'!M34,2)</f>
        <v>0</v>
      </c>
      <c r="H30" s="178" t="e">
        <f ca="1">'FR PD 001 V1'!P34</f>
        <v>#N/A</v>
      </c>
      <c r="I30" s="175" t="str">
        <f>'FR PD 001 V1'!O34</f>
        <v/>
      </c>
      <c r="J30" s="175" t="str">
        <f>LEFT('FR PD 001 V1'!B34,30)</f>
        <v/>
      </c>
      <c r="K30" s="175">
        <f>'FR PD 001 V1'!C34</f>
        <v>0</v>
      </c>
      <c r="L30" s="175" t="str">
        <f>'FORMATO DIL'!B$7</f>
        <v>JGARCIA</v>
      </c>
      <c r="M30" s="175" t="str">
        <f>'FORMATO DIL'!B$8</f>
        <v>ADELTORO</v>
      </c>
      <c r="N30" s="175" t="str">
        <f>'FORMATO DIL'!B$2</f>
        <v>C.JPC/SEXTO NTE/SCOOP</v>
      </c>
      <c r="O30" s="175" t="str">
        <f>'FR PD 001 V1'!E34</f>
        <v>NA</v>
      </c>
      <c r="P30" s="181" t="e">
        <f t="shared" si="0"/>
        <v>#N/A</v>
      </c>
      <c r="Q30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ADULTO"),AA30,IF(LEFT(R30,3)="INF",Y30,IF(OR(B30="INSULINA NPH",B30="INSULINA CRISTALINA",B30="PENICILINA CRIST."),B30&amp;" "&amp;C30&amp;" "&amp;D30&amp;"U.I./mL",B30&amp;" "&amp;C30&amp;" "&amp;D30&amp;"mg/mL")))</f>
        <v>#N/A</v>
      </c>
      <c r="R30" s="4">
        <f>IF(OR('FR PD 001 V1'!S34="JER 1mL",'FR PD 001 V1'!S34="JER 3mL",'FR PD 001 V1'!S34="JER 5mL",'FR PD 001 V1'!S34="JER 10mL",'FR PD 001 V1'!S34="JER 20mL",'FR PD 001 V1'!S34="JER 50mL"),"JERINGA",'FR PD 001 V1'!S34)</f>
        <v>0</v>
      </c>
      <c r="S30" s="4" t="e">
        <f>IF(OR('FORMATO DIL'!$A$1="MN_HOSPITAL MEISSEN/UCI NEO",'FORMATO DIL'!$A$1="MP_HOSPITAL MEISSEN/PED",'FORMATO DIL'!$A$1="MA_HOSPITAL MEISSEN/UCI ADULTO"),'FORMATO DIL'!O40,IF(VLOOKUP(A30,ESTANDAR!$A$2:$O$682,15,0)=0,"      -------",VLOOKUP(A30,ESTANDAR!$A$2:$O$682,15,0)))</f>
        <v>#N/A</v>
      </c>
      <c r="T30" s="4" t="e">
        <f t="shared" ca="1" si="1"/>
        <v>#N/A</v>
      </c>
      <c r="U30" s="4" t="e">
        <f>IF(AND('FORMATO DIL'!U40&gt;0,'FORMATO DIL'!V40&gt;0),"Do: "&amp;F30&amp;V30&amp;"  VolTotal: "&amp;'FORMATO DIL'!U40&amp;"mL"&amp;" a "&amp;'FORMATO DIL'!V40&amp;"mL/h","Do: "&amp;F30&amp;V30&amp;"  VolDo: "&amp;G30&amp;"mL")</f>
        <v>#N/A</v>
      </c>
      <c r="V30" s="4" t="e">
        <f t="shared" si="2"/>
        <v>#N/A</v>
      </c>
      <c r="W30" s="4" t="e">
        <f>"Conc:  "&amp;IF('FORMATO DIL'!L40&gt;0,IF(OR(B30="GONADOTROPINA CORIONICA",B30="HEPARINA",B30="INSULINA CRISTALINA",B30="INSULINA NPH",B30="PENICILINA CRIST.",B30="POLIMIXINA B"),'FORMATO DIL'!L40&amp;"U.I/mL",'FORMATO DIL'!L40&amp;"mg/mL"),'DATOS ETIQ'!C30)</f>
        <v>#N/A</v>
      </c>
      <c r="X30" s="4" t="e">
        <f>IF(OR('FORMATO DIL'!U40&gt;0,'FORMATO DIL'!V40&gt;0),"  VOL TOTAL:  "&amp;'FORMATO DIL'!U40&amp;"mL"&amp;" a "&amp;'FORMATO DIL'!V40&amp;"mL/h",ROUND((F30/E30),1))</f>
        <v>#VALUE!</v>
      </c>
      <c r="Y30" s="4" t="e">
        <f>B30&amp;" INF SSN 0.9% "&amp;'FR PD 001 V1'!N34</f>
        <v>#N/A</v>
      </c>
      <c r="Z30" s="4" t="str">
        <f>"ID :"&amp;K30&amp;"   F. Nac:  "&amp;UPPER(TEXT('FORMATO DIL'!F40,"ddmmmyy"))</f>
        <v>ID :0   F. Nac:  00ENE00</v>
      </c>
      <c r="AA30" s="4" t="e">
        <f>IF('FORMATO DIL'!L40&lt;&gt;"",IF(OR(B30="INSULINA NPH",B30="INSULINA CRISTALINA",B30="PENICILINA CRIST."),B30&amp;" "&amp;C30&amp;" "&amp;'FORMATO DIL'!L40&amp;"U.I./mL",B30&amp;" "&amp;C30&amp;" "&amp;'FORMATO DIL'!L40&amp;"mg/mL"),IF(OR(B30="INSULINA NPH",B30="INSULINA CRISTALINA",B30="PENICILINA CRIST."),B30&amp;" "&amp;C30&amp;" "&amp;D30&amp;"U.I./mL",B30&amp;" "&amp;C30&amp;" "&amp;D30&amp;"mg/mL"))</f>
        <v>#N/A</v>
      </c>
      <c r="AB30" s="4" t="e">
        <f>+VLOOKUP(A30,ESTANDAR!$A$2:$K$645,11,0)</f>
        <v>#N/A</v>
      </c>
      <c r="AC30" s="4" t="e">
        <f>IF(AND('FORMATO DIL'!U40&gt;0,'FORMATO DIL'!V40&gt;0),"Do: "&amp;F30&amp;V30&amp;"  VolTotal: "&amp;'FORMATO DIL'!U40&amp;"mL"&amp;" a "&amp;'FORMATO DIL'!V40&amp;"mL/h",IF('FORMATO DIL'!U40&gt;0,"Do: "&amp;F30&amp;V30&amp;"  VolTotal: "&amp;'FORMATO DIL'!U40&amp;"mL","Do: "&amp;F30&amp;V30&amp;"  VolDo: "&amp;G30&amp;"mL"))</f>
        <v>#N/A</v>
      </c>
      <c r="AD30" s="4" t="e">
        <f>IF(OR('FORMATO DIL'!$A$1="MN_HOSPITAL MEISSEN/UCI NEO",'FORMATO DIL'!$A$1="MP_HOSPITAL MEISSEN/PED",'FORMATO DIL'!$A$1="MA_HOSPITAL MEISSEN/UCI ADULTO"),AC30,IF(AND('FORMATO DIL'!$V$9&lt;&gt;"",'FORMATO DIL'!U40&lt;&gt;""),"Do: "&amp;'FR PD 001 V1'!J34&amp;"mg   VolDo: "&amp;'FORMATO DIL'!U40&amp;"mL",IF(AND('FORMATO DIL'!$U$9&lt;&gt;"",'FORMATO DIL'!U40&lt;&gt;""),"Do: "&amp;'FR PD 001 V1'!J34&amp;"mg   VolDo: "&amp;'DATOS ETIQ'!G30&amp;"mL  "&amp;"VolTotal:  "&amp;'FORMATO DIL'!U40&amp;"mL",IF('DATOS ETIQ'!P30=1,"Do: "&amp;'DATOS ETIQ'!F30&amp;'DATOS ETIQ'!V30&amp;"   VolDo: "&amp;'DATOS ETIQ'!G30&amp;"mL","Dilución 1/"&amp;'DATOS ETIQ'!P30&amp;"  "&amp;'DATOS ETIQ'!E30&amp;'DATOS ETIQ'!V30&amp;"/mL   Do: "&amp;'DATOS ETIQ'!F30&amp;'DATOS ETIQ'!V30&amp;"   VolDo: "&amp;'DATOS ETIQ'!G30&amp;"mL"))))</f>
        <v>#N/A</v>
      </c>
    </row>
    <row r="31" spans="1:30">
      <c r="A31" s="175">
        <f>'FR PD 001 V1'!G35</f>
        <v>0</v>
      </c>
      <c r="B31" s="175" t="e">
        <f>VLOOKUP(A31,ESTANDAR!A:B,2,0)</f>
        <v>#N/A</v>
      </c>
      <c r="C31" s="175" t="e">
        <f>VLOOKUP(A31,ESTANDAR!A:D,4,0)</f>
        <v>#N/A</v>
      </c>
      <c r="D31" s="184" t="e">
        <f>IF('FORMATO DIL'!B$6="NEO+PED",VLOOKUP(A31,ESTANDAR!A:G,6,0),VLOOKUP(A31,ESTANDAR!A:G,7,0))</f>
        <v>#N/A</v>
      </c>
      <c r="E31" s="175" t="str">
        <f>'FR PD 001 V1'!L35</f>
        <v>ERROR</v>
      </c>
      <c r="F31" s="175">
        <f>'FR PD 001 V1'!J35</f>
        <v>0</v>
      </c>
      <c r="G31" s="175">
        <f>ROUND('FR PD 001 V1'!M35,2)</f>
        <v>0</v>
      </c>
      <c r="H31" s="178" t="e">
        <f ca="1">'FR PD 001 V1'!P35</f>
        <v>#N/A</v>
      </c>
      <c r="I31" s="175" t="str">
        <f>'FR PD 001 V1'!O35</f>
        <v/>
      </c>
      <c r="J31" s="175" t="str">
        <f>LEFT('FR PD 001 V1'!B35,30)</f>
        <v/>
      </c>
      <c r="K31" s="175">
        <f>'FR PD 001 V1'!C35</f>
        <v>0</v>
      </c>
      <c r="L31" s="175" t="str">
        <f>'FORMATO DIL'!B$7</f>
        <v>JGARCIA</v>
      </c>
      <c r="M31" s="175" t="str">
        <f>'FORMATO DIL'!B$8</f>
        <v>ADELTORO</v>
      </c>
      <c r="N31" s="175" t="str">
        <f>'FORMATO DIL'!B$2</f>
        <v>C.JPC/SEXTO NTE/SCOOP</v>
      </c>
      <c r="O31" s="175" t="str">
        <f>'FR PD 001 V1'!E35</f>
        <v>NA</v>
      </c>
      <c r="P31" s="181" t="e">
        <f t="shared" si="0"/>
        <v>#N/A</v>
      </c>
      <c r="Q31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ADULTO"),AA31,IF(LEFT(R31,3)="INF",Y31,IF(OR(B31="INSULINA NPH",B31="INSULINA CRISTALINA",B31="PENICILINA CRIST."),B31&amp;" "&amp;C31&amp;" "&amp;D31&amp;"U.I./mL",B31&amp;" "&amp;C31&amp;" "&amp;D31&amp;"mg/mL")))</f>
        <v>#N/A</v>
      </c>
      <c r="R31" s="4">
        <f>IF(OR('FR PD 001 V1'!S35="JER 1mL",'FR PD 001 V1'!S35="JER 3mL",'FR PD 001 V1'!S35="JER 5mL",'FR PD 001 V1'!S35="JER 10mL",'FR PD 001 V1'!S35="JER 20mL",'FR PD 001 V1'!S35="JER 50mL"),"JERINGA",'FR PD 001 V1'!S35)</f>
        <v>0</v>
      </c>
      <c r="S31" s="4" t="e">
        <f>IF(OR('FORMATO DIL'!$A$1="MN_HOSPITAL MEISSEN/UCI NEO",'FORMATO DIL'!$A$1="MP_HOSPITAL MEISSEN/PED",'FORMATO DIL'!$A$1="MA_HOSPITAL MEISSEN/UCI ADULTO"),'FORMATO DIL'!O41,IF(VLOOKUP(A31,ESTANDAR!$A$2:$O$682,15,0)=0,"      -------",VLOOKUP(A31,ESTANDAR!$A$2:$O$682,15,0)))</f>
        <v>#N/A</v>
      </c>
      <c r="T31" s="4" t="e">
        <f t="shared" ca="1" si="1"/>
        <v>#N/A</v>
      </c>
      <c r="U31" s="4" t="e">
        <f>IF(AND('FORMATO DIL'!U41&gt;0,'FORMATO DIL'!V41&gt;0),"Do: "&amp;F31&amp;V31&amp;"  VolTotal: "&amp;'FORMATO DIL'!U41&amp;"mL"&amp;" a "&amp;'FORMATO DIL'!V41&amp;"mL/h","Do: "&amp;F31&amp;V31&amp;"  VolDo: "&amp;G31&amp;"mL")</f>
        <v>#N/A</v>
      </c>
      <c r="V31" s="4" t="e">
        <f t="shared" si="2"/>
        <v>#N/A</v>
      </c>
      <c r="W31" s="4" t="e">
        <f>"Conc:  "&amp;IF('FORMATO DIL'!L41&gt;0,IF(OR(B31="GONADOTROPINA CORIONICA",B31="HEPARINA",B31="INSULINA CRISTALINA",B31="INSULINA NPH",B31="PENICILINA CRIST.",B31="POLIMIXINA B"),'FORMATO DIL'!L41&amp;"U.I/mL",'FORMATO DIL'!L41&amp;"mg/mL"),'DATOS ETIQ'!C31)</f>
        <v>#N/A</v>
      </c>
      <c r="X31" s="4" t="e">
        <f>IF(OR('FORMATO DIL'!U41&gt;0,'FORMATO DIL'!V41&gt;0),"  VOL TOTAL:  "&amp;'FORMATO DIL'!U41&amp;"mL"&amp;" a "&amp;'FORMATO DIL'!V41&amp;"mL/h",ROUND((F31/E31),1))</f>
        <v>#VALUE!</v>
      </c>
      <c r="Y31" s="4" t="e">
        <f>B31&amp;" INF SSN 0.9% "&amp;'FR PD 001 V1'!N35</f>
        <v>#N/A</v>
      </c>
      <c r="Z31" s="4" t="str">
        <f>"ID :"&amp;K31&amp;"   F. Nac:  "&amp;UPPER(TEXT('FORMATO DIL'!F41,"ddmmmyy"))</f>
        <v>ID :0   F. Nac:  00ENE00</v>
      </c>
      <c r="AA31" s="4" t="e">
        <f>IF('FORMATO DIL'!L41&lt;&gt;"",IF(OR(B31="INSULINA NPH",B31="INSULINA CRISTALINA",B31="PENICILINA CRIST."),B31&amp;" "&amp;C31&amp;" "&amp;'FORMATO DIL'!L41&amp;"U.I./mL",B31&amp;" "&amp;C31&amp;" "&amp;'FORMATO DIL'!L41&amp;"mg/mL"),IF(OR(B31="INSULINA NPH",B31="INSULINA CRISTALINA",B31="PENICILINA CRIST."),B31&amp;" "&amp;C31&amp;" "&amp;D31&amp;"U.I./mL",B31&amp;" "&amp;C31&amp;" "&amp;D31&amp;"mg/mL"))</f>
        <v>#N/A</v>
      </c>
      <c r="AB31" s="4" t="e">
        <f>+VLOOKUP(A31,ESTANDAR!$A$2:$K$645,11,0)</f>
        <v>#N/A</v>
      </c>
      <c r="AC31" s="4" t="e">
        <f>IF(AND('FORMATO DIL'!U41&gt;0,'FORMATO DIL'!V41&gt;0),"Do: "&amp;F31&amp;V31&amp;"  VolTotal: "&amp;'FORMATO DIL'!U41&amp;"mL"&amp;" a "&amp;'FORMATO DIL'!V41&amp;"mL/h",IF('FORMATO DIL'!U41&gt;0,"Do: "&amp;F31&amp;V31&amp;"  VolTotal: "&amp;'FORMATO DIL'!U41&amp;"mL","Do: "&amp;F31&amp;V31&amp;"  VolDo: "&amp;G31&amp;"mL"))</f>
        <v>#N/A</v>
      </c>
      <c r="AD31" s="4" t="e">
        <f>IF(OR('FORMATO DIL'!$A$1="MN_HOSPITAL MEISSEN/UCI NEO",'FORMATO DIL'!$A$1="MP_HOSPITAL MEISSEN/PED",'FORMATO DIL'!$A$1="MA_HOSPITAL MEISSEN/UCI ADULTO"),AC31,IF(AND('FORMATO DIL'!$V$9&lt;&gt;"",'FORMATO DIL'!U41&lt;&gt;""),"Do: "&amp;'FR PD 001 V1'!J35&amp;"mg   VolDo: "&amp;'FORMATO DIL'!U41&amp;"mL",IF(AND('FORMATO DIL'!$U$9&lt;&gt;"",'FORMATO DIL'!U41&lt;&gt;""),"Do: "&amp;'FR PD 001 V1'!J35&amp;"mg   VolDo: "&amp;'DATOS ETIQ'!G31&amp;"mL  "&amp;"VolTotal:  "&amp;'FORMATO DIL'!U41&amp;"mL",IF('DATOS ETIQ'!P31=1,"Do: "&amp;'DATOS ETIQ'!F31&amp;'DATOS ETIQ'!V31&amp;"   VolDo: "&amp;'DATOS ETIQ'!G31&amp;"mL","Dilución 1/"&amp;'DATOS ETIQ'!P31&amp;"  "&amp;'DATOS ETIQ'!E31&amp;'DATOS ETIQ'!V31&amp;"/mL   Do: "&amp;'DATOS ETIQ'!F31&amp;'DATOS ETIQ'!V31&amp;"   VolDo: "&amp;'DATOS ETIQ'!G31&amp;"mL"))))</f>
        <v>#N/A</v>
      </c>
    </row>
    <row r="32" spans="1:30">
      <c r="A32" s="175">
        <f>'FR PD 001 V1'!G36</f>
        <v>0</v>
      </c>
      <c r="B32" s="175" t="e">
        <f>VLOOKUP(A32,ESTANDAR!A:B,2,0)</f>
        <v>#N/A</v>
      </c>
      <c r="C32" s="175" t="e">
        <f>VLOOKUP(A32,ESTANDAR!A:D,4,0)</f>
        <v>#N/A</v>
      </c>
      <c r="D32" s="184" t="e">
        <f>IF('FORMATO DIL'!B$6="NEO+PED",VLOOKUP(A32,ESTANDAR!A:G,6,0),VLOOKUP(A32,ESTANDAR!A:G,7,0))</f>
        <v>#N/A</v>
      </c>
      <c r="E32" s="175" t="str">
        <f>'FR PD 001 V1'!L36</f>
        <v>ERROR</v>
      </c>
      <c r="F32" s="175">
        <f>'FR PD 001 V1'!J36</f>
        <v>0</v>
      </c>
      <c r="G32" s="175">
        <f>ROUND('FR PD 001 V1'!M36,2)</f>
        <v>0</v>
      </c>
      <c r="H32" s="178" t="e">
        <f ca="1">'FR PD 001 V1'!P36</f>
        <v>#N/A</v>
      </c>
      <c r="I32" s="175" t="str">
        <f>'FR PD 001 V1'!O36</f>
        <v/>
      </c>
      <c r="J32" s="175" t="str">
        <f>LEFT('FR PD 001 V1'!B36,30)</f>
        <v/>
      </c>
      <c r="K32" s="175">
        <f>'FR PD 001 V1'!C36</f>
        <v>0</v>
      </c>
      <c r="L32" s="175" t="str">
        <f>'FORMATO DIL'!B$7</f>
        <v>JGARCIA</v>
      </c>
      <c r="M32" s="175" t="str">
        <f>'FORMATO DIL'!B$8</f>
        <v>ADELTORO</v>
      </c>
      <c r="N32" s="175" t="str">
        <f>'FORMATO DIL'!B$2</f>
        <v>C.JPC/SEXTO NTE/SCOOP</v>
      </c>
      <c r="O32" s="175" t="str">
        <f>'FR PD 001 V1'!E36</f>
        <v>NA</v>
      </c>
      <c r="P32" s="181" t="e">
        <f t="shared" si="0"/>
        <v>#N/A</v>
      </c>
      <c r="Q32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ADULTO"),AA32,IF(LEFT(R32,3)="INF",Y32,IF(OR(B32="INSULINA NPH",B32="INSULINA CRISTALINA",B32="PENICILINA CRIST."),B32&amp;" "&amp;C32&amp;" "&amp;D32&amp;"U.I./mL",B32&amp;" "&amp;C32&amp;" "&amp;D32&amp;"mg/mL")))</f>
        <v>#N/A</v>
      </c>
      <c r="R32" s="4">
        <f>IF(OR('FR PD 001 V1'!S36="JER 1mL",'FR PD 001 V1'!S36="JER 3mL",'FR PD 001 V1'!S36="JER 5mL",'FR PD 001 V1'!S36="JER 10mL",'FR PD 001 V1'!S36="JER 20mL",'FR PD 001 V1'!S36="JER 50mL"),"JERINGA",'FR PD 001 V1'!S36)</f>
        <v>0</v>
      </c>
      <c r="S32" s="4" t="e">
        <f>IF(OR('FORMATO DIL'!$A$1="MN_HOSPITAL MEISSEN/UCI NEO",'FORMATO DIL'!$A$1="MP_HOSPITAL MEISSEN/PED",'FORMATO DIL'!$A$1="MA_HOSPITAL MEISSEN/UCI ADULTO"),'FORMATO DIL'!O42,IF(VLOOKUP(A32,ESTANDAR!$A$2:$O$682,15,0)=0,"      -------",VLOOKUP(A32,ESTANDAR!$A$2:$O$682,15,0)))</f>
        <v>#N/A</v>
      </c>
      <c r="T32" s="4" t="e">
        <f t="shared" ca="1" si="1"/>
        <v>#N/A</v>
      </c>
      <c r="U32" s="4" t="e">
        <f>IF(AND('FORMATO DIL'!U42&gt;0,'FORMATO DIL'!V42&gt;0),"Do: "&amp;F32&amp;V32&amp;"  VolTotal: "&amp;'FORMATO DIL'!U42&amp;"mL"&amp;" a "&amp;'FORMATO DIL'!V42&amp;"mL/h","Do: "&amp;F32&amp;V32&amp;"  VolDo: "&amp;G32&amp;"mL")</f>
        <v>#N/A</v>
      </c>
      <c r="V32" s="4" t="e">
        <f t="shared" si="2"/>
        <v>#N/A</v>
      </c>
      <c r="W32" s="4" t="e">
        <f>"Conc:  "&amp;IF('FORMATO DIL'!L42&gt;0,IF(OR(B32="GONADOTROPINA CORIONICA",B32="HEPARINA",B32="INSULINA CRISTALINA",B32="INSULINA NPH",B32="PENICILINA CRIST.",B32="POLIMIXINA B"),'FORMATO DIL'!L42&amp;"U.I/mL",'FORMATO DIL'!L42&amp;"mg/mL"),'DATOS ETIQ'!C32)</f>
        <v>#N/A</v>
      </c>
      <c r="X32" s="4" t="e">
        <f>IF(OR('FORMATO DIL'!U42&gt;0,'FORMATO DIL'!V42&gt;0),"  VOL TOTAL:  "&amp;'FORMATO DIL'!U42&amp;"mL"&amp;" a "&amp;'FORMATO DIL'!V42&amp;"mL/h",ROUND((F32/E32),1))</f>
        <v>#VALUE!</v>
      </c>
      <c r="Y32" s="4" t="e">
        <f>B32&amp;" INF SSN 0.9% "&amp;'FR PD 001 V1'!N36</f>
        <v>#N/A</v>
      </c>
      <c r="Z32" s="4" t="str">
        <f>"ID :"&amp;K32&amp;"   F. Nac:  "&amp;UPPER(TEXT('FORMATO DIL'!F42,"ddmmmyy"))</f>
        <v>ID :0   F. Nac:  00ENE00</v>
      </c>
      <c r="AA32" s="4" t="e">
        <f>IF('FORMATO DIL'!L42&lt;&gt;"",IF(OR(B32="INSULINA NPH",B32="INSULINA CRISTALINA",B32="PENICILINA CRIST."),B32&amp;" "&amp;C32&amp;" "&amp;'FORMATO DIL'!L42&amp;"U.I./mL",B32&amp;" "&amp;C32&amp;" "&amp;'FORMATO DIL'!L42&amp;"mg/mL"),IF(OR(B32="INSULINA NPH",B32="INSULINA CRISTALINA",B32="PENICILINA CRIST."),B32&amp;" "&amp;C32&amp;" "&amp;D32&amp;"U.I./mL",B32&amp;" "&amp;C32&amp;" "&amp;D32&amp;"mg/mL"))</f>
        <v>#N/A</v>
      </c>
      <c r="AB32" s="4" t="e">
        <f>+VLOOKUP(A32,ESTANDAR!$A$2:$K$645,11,0)</f>
        <v>#N/A</v>
      </c>
      <c r="AC32" s="4" t="e">
        <f>IF(AND('FORMATO DIL'!U42&gt;0,'FORMATO DIL'!V42&gt;0),"Do: "&amp;F32&amp;V32&amp;"  VolTotal: "&amp;'FORMATO DIL'!U42&amp;"mL"&amp;" a "&amp;'FORMATO DIL'!V42&amp;"mL/h",IF('FORMATO DIL'!U42&gt;0,"Do: "&amp;F32&amp;V32&amp;"  VolTotal: "&amp;'FORMATO DIL'!U42&amp;"mL","Do: "&amp;F32&amp;V32&amp;"  VolDo: "&amp;G32&amp;"mL"))</f>
        <v>#N/A</v>
      </c>
      <c r="AD32" s="4" t="e">
        <f>IF(OR('FORMATO DIL'!$A$1="MN_HOSPITAL MEISSEN/UCI NEO",'FORMATO DIL'!$A$1="MP_HOSPITAL MEISSEN/PED",'FORMATO DIL'!$A$1="MA_HOSPITAL MEISSEN/UCI ADULTO"),AC32,IF(AND('FORMATO DIL'!$V$9&lt;&gt;"",'FORMATO DIL'!U42&lt;&gt;""),"Do: "&amp;'FR PD 001 V1'!J36&amp;"mg   VolDo: "&amp;'FORMATO DIL'!U42&amp;"mL",IF(AND('FORMATO DIL'!$U$9&lt;&gt;"",'FORMATO DIL'!U42&lt;&gt;""),"Do: "&amp;'FR PD 001 V1'!J36&amp;"mg   VolDo: "&amp;'DATOS ETIQ'!G32&amp;"mL  "&amp;"VolTotal:  "&amp;'FORMATO DIL'!U42&amp;"mL",IF('DATOS ETIQ'!P32=1,"Do: "&amp;'DATOS ETIQ'!F32&amp;'DATOS ETIQ'!V32&amp;"   VolDo: "&amp;'DATOS ETIQ'!G32&amp;"mL","Dilución 1/"&amp;'DATOS ETIQ'!P32&amp;"  "&amp;'DATOS ETIQ'!E32&amp;'DATOS ETIQ'!V32&amp;"/mL   Do: "&amp;'DATOS ETIQ'!F32&amp;'DATOS ETIQ'!V32&amp;"   VolDo: "&amp;'DATOS ETIQ'!G32&amp;"mL"))))</f>
        <v>#N/A</v>
      </c>
    </row>
    <row r="33" spans="1:30">
      <c r="A33" s="175">
        <f>'FR PD 001 V1'!G37</f>
        <v>0</v>
      </c>
      <c r="B33" s="175" t="e">
        <f>VLOOKUP(A33,ESTANDAR!A:B,2,0)</f>
        <v>#N/A</v>
      </c>
      <c r="C33" s="175" t="e">
        <f>VLOOKUP(A33,ESTANDAR!A:D,4,0)</f>
        <v>#N/A</v>
      </c>
      <c r="D33" s="184" t="e">
        <f>IF('FORMATO DIL'!B$6="NEO+PED",VLOOKUP(A33,ESTANDAR!A:G,6,0),VLOOKUP(A33,ESTANDAR!A:G,7,0))</f>
        <v>#N/A</v>
      </c>
      <c r="E33" s="175" t="str">
        <f>'FR PD 001 V1'!L37</f>
        <v>ERROR</v>
      </c>
      <c r="F33" s="175">
        <f>'FR PD 001 V1'!J37</f>
        <v>0</v>
      </c>
      <c r="G33" s="175">
        <f>ROUND('FR PD 001 V1'!M37,2)</f>
        <v>0</v>
      </c>
      <c r="H33" s="178" t="e">
        <f ca="1">'FR PD 001 V1'!P37</f>
        <v>#N/A</v>
      </c>
      <c r="I33" s="175" t="str">
        <f>'FR PD 001 V1'!O37</f>
        <v/>
      </c>
      <c r="J33" s="175" t="str">
        <f>LEFT('FR PD 001 V1'!B37,30)</f>
        <v/>
      </c>
      <c r="K33" s="175">
        <f>'FR PD 001 V1'!C37</f>
        <v>0</v>
      </c>
      <c r="L33" s="175" t="str">
        <f>'FORMATO DIL'!B$7</f>
        <v>JGARCIA</v>
      </c>
      <c r="M33" s="175" t="str">
        <f>'FORMATO DIL'!B$8</f>
        <v>ADELTORO</v>
      </c>
      <c r="N33" s="175" t="str">
        <f>'FORMATO DIL'!B$2</f>
        <v>C.JPC/SEXTO NTE/SCOOP</v>
      </c>
      <c r="O33" s="175" t="str">
        <f>'FR PD 001 V1'!E37</f>
        <v>NA</v>
      </c>
      <c r="P33" s="181" t="e">
        <f t="shared" si="0"/>
        <v>#N/A</v>
      </c>
      <c r="Q33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ADULTO"),AA33,IF(LEFT(R33,3)="INF",Y33,IF(OR(B33="INSULINA NPH",B33="INSULINA CRISTALINA",B33="PENICILINA CRIST."),B33&amp;" "&amp;C33&amp;" "&amp;D33&amp;"U.I./mL",B33&amp;" "&amp;C33&amp;" "&amp;D33&amp;"mg/mL")))</f>
        <v>#N/A</v>
      </c>
      <c r="R33" s="4">
        <f>IF(OR('FR PD 001 V1'!S37="JER 1mL",'FR PD 001 V1'!S37="JER 3mL",'FR PD 001 V1'!S37="JER 5mL",'FR PD 001 V1'!S37="JER 10mL",'FR PD 001 V1'!S37="JER 20mL",'FR PD 001 V1'!S37="JER 50mL"),"JERINGA",'FR PD 001 V1'!S37)</f>
        <v>0</v>
      </c>
      <c r="S33" s="4" t="e">
        <f>IF(OR('FORMATO DIL'!$A$1="MN_HOSPITAL MEISSEN/UCI NEO",'FORMATO DIL'!$A$1="MP_HOSPITAL MEISSEN/PED",'FORMATO DIL'!$A$1="MA_HOSPITAL MEISSEN/UCI ADULTO"),'FORMATO DIL'!O43,IF(VLOOKUP(A33,ESTANDAR!$A$2:$O$682,15,0)=0,"      -------",VLOOKUP(A33,ESTANDAR!$A$2:$O$682,15,0)))</f>
        <v>#N/A</v>
      </c>
      <c r="T33" s="4" t="e">
        <f t="shared" ca="1" si="1"/>
        <v>#N/A</v>
      </c>
      <c r="U33" s="4" t="e">
        <f>IF(AND('FORMATO DIL'!U43&gt;0,'FORMATO DIL'!V43&gt;0),"Do: "&amp;F33&amp;V33&amp;"  VolTotal: "&amp;'FORMATO DIL'!U43&amp;"mL"&amp;" a "&amp;'FORMATO DIL'!V43&amp;"mL/h","Do: "&amp;F33&amp;V33&amp;"  VolDo: "&amp;G33&amp;"mL")</f>
        <v>#N/A</v>
      </c>
      <c r="V33" s="4" t="e">
        <f t="shared" si="2"/>
        <v>#N/A</v>
      </c>
      <c r="W33" s="4" t="e">
        <f>"Conc:  "&amp;IF('FORMATO DIL'!L43&gt;0,IF(OR(B33="GONADOTROPINA CORIONICA",B33="HEPARINA",B33="INSULINA CRISTALINA",B33="INSULINA NPH",B33="PENICILINA CRIST.",B33="POLIMIXINA B"),'FORMATO DIL'!L43&amp;"U.I/mL",'FORMATO DIL'!L43&amp;"mg/mL"),'DATOS ETIQ'!C33)</f>
        <v>#N/A</v>
      </c>
      <c r="X33" s="4" t="e">
        <f>IF(OR('FORMATO DIL'!U43&gt;0,'FORMATO DIL'!V43&gt;0),"  VOL TOTAL:  "&amp;'FORMATO DIL'!U43&amp;"mL"&amp;" a "&amp;'FORMATO DIL'!V43&amp;"mL/h",ROUND((F33/E33),1))</f>
        <v>#VALUE!</v>
      </c>
      <c r="Y33" s="4" t="e">
        <f>B33&amp;" INF SSN 0.9% "&amp;'FR PD 001 V1'!N37</f>
        <v>#N/A</v>
      </c>
      <c r="Z33" s="4" t="str">
        <f>"ID :"&amp;K33&amp;"   F. Nac:  "&amp;UPPER(TEXT('FORMATO DIL'!F43,"ddmmmyy"))</f>
        <v>ID :0   F. Nac:  00ENE00</v>
      </c>
      <c r="AA33" s="4" t="e">
        <f>IF('FORMATO DIL'!L43&lt;&gt;"",IF(OR(B33="INSULINA NPH",B33="INSULINA CRISTALINA",B33="PENICILINA CRIST."),B33&amp;" "&amp;C33&amp;" "&amp;'FORMATO DIL'!L43&amp;"U.I./mL",B33&amp;" "&amp;C33&amp;" "&amp;'FORMATO DIL'!L43&amp;"mg/mL"),IF(OR(B33="INSULINA NPH",B33="INSULINA CRISTALINA",B33="PENICILINA CRIST."),B33&amp;" "&amp;C33&amp;" "&amp;D33&amp;"U.I./mL",B33&amp;" "&amp;C33&amp;" "&amp;D33&amp;"mg/mL"))</f>
        <v>#N/A</v>
      </c>
      <c r="AB33" s="4" t="e">
        <f>+VLOOKUP(A33,ESTANDAR!$A$2:$K$645,11,0)</f>
        <v>#N/A</v>
      </c>
      <c r="AC33" s="4" t="e">
        <f>IF(AND('FORMATO DIL'!U43&gt;0,'FORMATO DIL'!V43&gt;0),"Do: "&amp;F33&amp;V33&amp;"  VolTotal: "&amp;'FORMATO DIL'!U43&amp;"mL"&amp;" a "&amp;'FORMATO DIL'!V43&amp;"mL/h",IF('FORMATO DIL'!U43&gt;0,"Do: "&amp;F33&amp;V33&amp;"  VolTotal: "&amp;'FORMATO DIL'!U43&amp;"mL","Do: "&amp;F33&amp;V33&amp;"  VolDo: "&amp;G33&amp;"mL"))</f>
        <v>#N/A</v>
      </c>
      <c r="AD33" s="4" t="e">
        <f>IF(OR('FORMATO DIL'!$A$1="MN_HOSPITAL MEISSEN/UCI NEO",'FORMATO DIL'!$A$1="MP_HOSPITAL MEISSEN/PED",'FORMATO DIL'!$A$1="MA_HOSPITAL MEISSEN/UCI ADULTO"),AC33,IF(AND('FORMATO DIL'!$V$9&lt;&gt;"",'FORMATO DIL'!U43&lt;&gt;""),"Do: "&amp;'FR PD 001 V1'!J37&amp;"mg   VolDo: "&amp;'FORMATO DIL'!U43&amp;"mL",IF(AND('FORMATO DIL'!$U$9&lt;&gt;"",'FORMATO DIL'!U43&lt;&gt;""),"Do: "&amp;'FR PD 001 V1'!J37&amp;"mg   VolDo: "&amp;'DATOS ETIQ'!G33&amp;"mL  "&amp;"VolTotal:  "&amp;'FORMATO DIL'!U43&amp;"mL",IF('DATOS ETIQ'!P33=1,"Do: "&amp;'DATOS ETIQ'!F33&amp;'DATOS ETIQ'!V33&amp;"   VolDo: "&amp;'DATOS ETIQ'!G33&amp;"mL","Dilución 1/"&amp;'DATOS ETIQ'!P33&amp;"  "&amp;'DATOS ETIQ'!E33&amp;'DATOS ETIQ'!V33&amp;"/mL   Do: "&amp;'DATOS ETIQ'!F33&amp;'DATOS ETIQ'!V33&amp;"   VolDo: "&amp;'DATOS ETIQ'!G33&amp;"mL"))))</f>
        <v>#N/A</v>
      </c>
    </row>
    <row r="34" spans="1:30">
      <c r="A34" s="175">
        <f>'FR PD 001 V1'!G38</f>
        <v>0</v>
      </c>
      <c r="B34" s="175" t="e">
        <f>VLOOKUP(A34,ESTANDAR!A:B,2,0)</f>
        <v>#N/A</v>
      </c>
      <c r="C34" s="175" t="e">
        <f>VLOOKUP(A34,ESTANDAR!A:D,4,0)</f>
        <v>#N/A</v>
      </c>
      <c r="D34" s="184" t="e">
        <f>IF('FORMATO DIL'!B$6="NEO+PED",VLOOKUP(A34,ESTANDAR!A:G,6,0),VLOOKUP(A34,ESTANDAR!A:G,7,0))</f>
        <v>#N/A</v>
      </c>
      <c r="E34" s="175" t="str">
        <f>'FR PD 001 V1'!L38</f>
        <v>ERROR</v>
      </c>
      <c r="F34" s="175">
        <f>'FR PD 001 V1'!J38</f>
        <v>0</v>
      </c>
      <c r="G34" s="175">
        <f>ROUND('FR PD 001 V1'!M38,2)</f>
        <v>0</v>
      </c>
      <c r="H34" s="178" t="e">
        <f ca="1">'FR PD 001 V1'!P38</f>
        <v>#N/A</v>
      </c>
      <c r="I34" s="175" t="str">
        <f>'FR PD 001 V1'!O38</f>
        <v/>
      </c>
      <c r="J34" s="175" t="str">
        <f>LEFT('FR PD 001 V1'!B38,30)</f>
        <v/>
      </c>
      <c r="K34" s="175">
        <f>'FR PD 001 V1'!C38</f>
        <v>0</v>
      </c>
      <c r="L34" s="175" t="str">
        <f>'FORMATO DIL'!B$7</f>
        <v>JGARCIA</v>
      </c>
      <c r="M34" s="175" t="str">
        <f>'FORMATO DIL'!B$8</f>
        <v>ADELTORO</v>
      </c>
      <c r="N34" s="175" t="str">
        <f>'FORMATO DIL'!B$2</f>
        <v>C.JPC/SEXTO NTE/SCOOP</v>
      </c>
      <c r="O34" s="175" t="str">
        <f>'FR PD 001 V1'!E38</f>
        <v>NA</v>
      </c>
      <c r="P34" s="181" t="e">
        <f t="shared" si="0"/>
        <v>#N/A</v>
      </c>
      <c r="Q34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ADULTO"),AA34,IF(LEFT(R34,3)="INF",Y34,IF(OR(B34="INSULINA NPH",B34="INSULINA CRISTALINA",B34="PENICILINA CRIST."),B34&amp;" "&amp;C34&amp;" "&amp;D34&amp;"U.I./mL",B34&amp;" "&amp;C34&amp;" "&amp;D34&amp;"mg/mL")))</f>
        <v>#N/A</v>
      </c>
      <c r="R34" s="4">
        <f>IF(OR('FR PD 001 V1'!S38="JER 1mL",'FR PD 001 V1'!S38="JER 3mL",'FR PD 001 V1'!S38="JER 5mL",'FR PD 001 V1'!S38="JER 10mL",'FR PD 001 V1'!S38="JER 20mL",'FR PD 001 V1'!S38="JER 50mL"),"JERINGA",'FR PD 001 V1'!S38)</f>
        <v>0</v>
      </c>
      <c r="S34" s="4" t="e">
        <f>IF(OR('FORMATO DIL'!$A$1="MN_HOSPITAL MEISSEN/UCI NEO",'FORMATO DIL'!$A$1="MP_HOSPITAL MEISSEN/PED",'FORMATO DIL'!$A$1="MA_HOSPITAL MEISSEN/UCI ADULTO"),'FORMATO DIL'!O44,IF(VLOOKUP(A34,ESTANDAR!$A$2:$O$682,15,0)=0,"      -------",VLOOKUP(A34,ESTANDAR!$A$2:$O$682,15,0)))</f>
        <v>#N/A</v>
      </c>
      <c r="T34" s="4" t="e">
        <f t="shared" ca="1" si="1"/>
        <v>#N/A</v>
      </c>
      <c r="U34" s="4" t="e">
        <f>IF(AND('FORMATO DIL'!U44&gt;0,'FORMATO DIL'!V44&gt;0),"Do: "&amp;F34&amp;V34&amp;"  VolTotal: "&amp;'FORMATO DIL'!U44&amp;"mL"&amp;" a "&amp;'FORMATO DIL'!V44&amp;"mL/h","Do: "&amp;F34&amp;V34&amp;"  VolDo: "&amp;G34&amp;"mL")</f>
        <v>#N/A</v>
      </c>
      <c r="V34" s="4" t="e">
        <f t="shared" si="2"/>
        <v>#N/A</v>
      </c>
      <c r="W34" s="4" t="e">
        <f>"Conc:  "&amp;IF('FORMATO DIL'!L44&gt;0,IF(OR(B34="GONADOTROPINA CORIONICA",B34="HEPARINA",B34="INSULINA CRISTALINA",B34="INSULINA NPH",B34="PENICILINA CRIST.",B34="POLIMIXINA B"),'FORMATO DIL'!L44&amp;"U.I/mL",'FORMATO DIL'!L44&amp;"mg/mL"),'DATOS ETIQ'!C34)</f>
        <v>#N/A</v>
      </c>
      <c r="X34" s="4" t="e">
        <f>IF(OR('FORMATO DIL'!U44&gt;0,'FORMATO DIL'!V44&gt;0),"  VOL TOTAL:  "&amp;'FORMATO DIL'!U44&amp;"mL"&amp;" a "&amp;'FORMATO DIL'!V44&amp;"mL/h",ROUND((F34/E34),1))</f>
        <v>#VALUE!</v>
      </c>
      <c r="Y34" s="4" t="e">
        <f>B34&amp;" INF SSN 0.9% "&amp;'FR PD 001 V1'!N38</f>
        <v>#N/A</v>
      </c>
      <c r="Z34" s="4" t="str">
        <f>"ID :"&amp;K34&amp;"   F. Nac:  "&amp;UPPER(TEXT('FORMATO DIL'!F44,"ddmmmyy"))</f>
        <v>ID :0   F. Nac:  00ENE00</v>
      </c>
      <c r="AA34" s="4" t="e">
        <f>IF('FORMATO DIL'!L44&lt;&gt;"",IF(OR(B34="INSULINA NPH",B34="INSULINA CRISTALINA",B34="PENICILINA CRIST."),B34&amp;" "&amp;C34&amp;" "&amp;'FORMATO DIL'!L44&amp;"U.I./mL",B34&amp;" "&amp;C34&amp;" "&amp;'FORMATO DIL'!L44&amp;"mg/mL"),IF(OR(B34="INSULINA NPH",B34="INSULINA CRISTALINA",B34="PENICILINA CRIST."),B34&amp;" "&amp;C34&amp;" "&amp;D34&amp;"U.I./mL",B34&amp;" "&amp;C34&amp;" "&amp;D34&amp;"mg/mL"))</f>
        <v>#N/A</v>
      </c>
      <c r="AB34" s="4" t="e">
        <f>+VLOOKUP(A34,ESTANDAR!$A$2:$K$645,11,0)</f>
        <v>#N/A</v>
      </c>
      <c r="AC34" s="4" t="e">
        <f>IF(AND('FORMATO DIL'!U44&gt;0,'FORMATO DIL'!V44&gt;0),"Do: "&amp;F34&amp;V34&amp;"  VolTotal: "&amp;'FORMATO DIL'!U44&amp;"mL"&amp;" a "&amp;'FORMATO DIL'!V44&amp;"mL/h",IF('FORMATO DIL'!U44&gt;0,"Do: "&amp;F34&amp;V34&amp;"  VolTotal: "&amp;'FORMATO DIL'!U44&amp;"mL","Do: "&amp;F34&amp;V34&amp;"  VolDo: "&amp;G34&amp;"mL"))</f>
        <v>#N/A</v>
      </c>
      <c r="AD34" s="4" t="e">
        <f>IF(OR('FORMATO DIL'!$A$1="MN_HOSPITAL MEISSEN/UCI NEO",'FORMATO DIL'!$A$1="MP_HOSPITAL MEISSEN/PED",'FORMATO DIL'!$A$1="MA_HOSPITAL MEISSEN/UCI ADULTO"),AC34,IF(AND('FORMATO DIL'!$V$9&lt;&gt;"",'FORMATO DIL'!U44&lt;&gt;""),"Do: "&amp;'FR PD 001 V1'!J38&amp;"mg   VolDo: "&amp;'FORMATO DIL'!U44&amp;"mL",IF(AND('FORMATO DIL'!$U$9&lt;&gt;"",'FORMATO DIL'!U44&lt;&gt;""),"Do: "&amp;'FR PD 001 V1'!J38&amp;"mg   VolDo: "&amp;'DATOS ETIQ'!G34&amp;"mL  "&amp;"VolTotal:  "&amp;'FORMATO DIL'!U44&amp;"mL",IF('DATOS ETIQ'!P34=1,"Do: "&amp;'DATOS ETIQ'!F34&amp;'DATOS ETIQ'!V34&amp;"   VolDo: "&amp;'DATOS ETIQ'!G34&amp;"mL","Dilución 1/"&amp;'DATOS ETIQ'!P34&amp;"  "&amp;'DATOS ETIQ'!E34&amp;'DATOS ETIQ'!V34&amp;"/mL   Do: "&amp;'DATOS ETIQ'!F34&amp;'DATOS ETIQ'!V34&amp;"   VolDo: "&amp;'DATOS ETIQ'!G34&amp;"mL"))))</f>
        <v>#N/A</v>
      </c>
    </row>
    <row r="35" spans="1:30">
      <c r="A35" s="175">
        <f>'FR PD 001 V1'!G39</f>
        <v>0</v>
      </c>
      <c r="B35" s="175" t="e">
        <f>VLOOKUP(A35,ESTANDAR!A:B,2,0)</f>
        <v>#N/A</v>
      </c>
      <c r="C35" s="175" t="e">
        <f>VLOOKUP(A35,ESTANDAR!A:D,4,0)</f>
        <v>#N/A</v>
      </c>
      <c r="D35" s="184" t="e">
        <f>IF('FORMATO DIL'!B$6="NEO+PED",VLOOKUP(A35,ESTANDAR!A:G,6,0),VLOOKUP(A35,ESTANDAR!A:G,7,0))</f>
        <v>#N/A</v>
      </c>
      <c r="E35" s="175" t="str">
        <f>'FR PD 001 V1'!L39</f>
        <v>ERROR</v>
      </c>
      <c r="F35" s="175">
        <f>'FR PD 001 V1'!J39</f>
        <v>0</v>
      </c>
      <c r="G35" s="175">
        <f>ROUND('FR PD 001 V1'!M39,2)</f>
        <v>0</v>
      </c>
      <c r="H35" s="178" t="e">
        <f ca="1">'FR PD 001 V1'!P39</f>
        <v>#N/A</v>
      </c>
      <c r="I35" s="175" t="str">
        <f>'FR PD 001 V1'!O39</f>
        <v/>
      </c>
      <c r="J35" s="175" t="str">
        <f>LEFT('FR PD 001 V1'!B39,30)</f>
        <v/>
      </c>
      <c r="K35" s="175">
        <f>'FR PD 001 V1'!C39</f>
        <v>0</v>
      </c>
      <c r="L35" s="175" t="str">
        <f>'FORMATO DIL'!B$7</f>
        <v>JGARCIA</v>
      </c>
      <c r="M35" s="175" t="str">
        <f>'FORMATO DIL'!B$8</f>
        <v>ADELTORO</v>
      </c>
      <c r="N35" s="175" t="str">
        <f>'FORMATO DIL'!B$2</f>
        <v>C.JPC/SEXTO NTE/SCOOP</v>
      </c>
      <c r="O35" s="175" t="str">
        <f>'FR PD 001 V1'!E39</f>
        <v>NA</v>
      </c>
      <c r="P35" s="181" t="e">
        <f t="shared" si="0"/>
        <v>#N/A</v>
      </c>
      <c r="Q35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ADULTO"),AA35,IF(LEFT(R35,3)="INF",Y35,IF(OR(B35="INSULINA NPH",B35="INSULINA CRISTALINA",B35="PENICILINA CRIST."),B35&amp;" "&amp;C35&amp;" "&amp;D35&amp;"U.I./mL",B35&amp;" "&amp;C35&amp;" "&amp;D35&amp;"mg/mL")))</f>
        <v>#N/A</v>
      </c>
      <c r="R35" s="4">
        <f>IF(OR('FR PD 001 V1'!S39="JER 1mL",'FR PD 001 V1'!S39="JER 3mL",'FR PD 001 V1'!S39="JER 5mL",'FR PD 001 V1'!S39="JER 10mL",'FR PD 001 V1'!S39="JER 20mL",'FR PD 001 V1'!S39="JER 50mL"),"JERINGA",'FR PD 001 V1'!S39)</f>
        <v>0</v>
      </c>
      <c r="S35" s="4" t="e">
        <f>IF(OR('FORMATO DIL'!$A$1="MN_HOSPITAL MEISSEN/UCI NEO",'FORMATO DIL'!$A$1="MP_HOSPITAL MEISSEN/PED",'FORMATO DIL'!$A$1="MA_HOSPITAL MEISSEN/UCI ADULTO"),'FORMATO DIL'!O45,IF(VLOOKUP(A35,ESTANDAR!$A$2:$O$682,15,0)=0,"      -------",VLOOKUP(A35,ESTANDAR!$A$2:$O$682,15,0)))</f>
        <v>#N/A</v>
      </c>
      <c r="T35" s="4" t="e">
        <f t="shared" ca="1" si="1"/>
        <v>#N/A</v>
      </c>
      <c r="U35" s="4" t="e">
        <f>IF(AND('FORMATO DIL'!U45&gt;0,'FORMATO DIL'!V45&gt;0),"Do: "&amp;F35&amp;V35&amp;"  VolTotal: "&amp;'FORMATO DIL'!U45&amp;"mL"&amp;" a "&amp;'FORMATO DIL'!V45&amp;"mL/h","Do: "&amp;F35&amp;V35&amp;"  VolDo: "&amp;G35&amp;"mL")</f>
        <v>#N/A</v>
      </c>
      <c r="V35" s="4" t="e">
        <f t="shared" si="2"/>
        <v>#N/A</v>
      </c>
      <c r="W35" s="4" t="e">
        <f>"Conc:  "&amp;IF('FORMATO DIL'!L45&gt;0,IF(OR(B35="GONADOTROPINA CORIONICA",B35="HEPARINA",B35="INSULINA CRISTALINA",B35="INSULINA NPH",B35="PENICILINA CRIST.",B35="POLIMIXINA B"),'FORMATO DIL'!L45&amp;"U.I/mL",'FORMATO DIL'!L45&amp;"mg/mL"),'DATOS ETIQ'!C35)</f>
        <v>#N/A</v>
      </c>
      <c r="X35" s="4" t="e">
        <f>IF(OR('FORMATO DIL'!U45&gt;0,'FORMATO DIL'!V45&gt;0),"  VOL TOTAL:  "&amp;'FORMATO DIL'!U45&amp;"mL"&amp;" a "&amp;'FORMATO DIL'!V45&amp;"mL/h",ROUND((F35/E35),1))</f>
        <v>#VALUE!</v>
      </c>
      <c r="Y35" s="4" t="e">
        <f>B35&amp;" INF SSN 0.9% "&amp;'FR PD 001 V1'!N39</f>
        <v>#N/A</v>
      </c>
      <c r="Z35" s="4" t="str">
        <f>"ID :"&amp;K35&amp;"   F. Nac:  "&amp;UPPER(TEXT('FORMATO DIL'!F45,"ddmmmyy"))</f>
        <v>ID :0   F. Nac:  00ENE00</v>
      </c>
      <c r="AA35" s="4" t="e">
        <f>IF('FORMATO DIL'!L45&lt;&gt;"",IF(OR(B35="INSULINA NPH",B35="INSULINA CRISTALINA",B35="PENICILINA CRIST."),B35&amp;" "&amp;C35&amp;" "&amp;'FORMATO DIL'!L45&amp;"U.I./mL",B35&amp;" "&amp;C35&amp;" "&amp;'FORMATO DIL'!L45&amp;"mg/mL"),IF(OR(B35="INSULINA NPH",B35="INSULINA CRISTALINA",B35="PENICILINA CRIST."),B35&amp;" "&amp;C35&amp;" "&amp;D35&amp;"U.I./mL",B35&amp;" "&amp;C35&amp;" "&amp;D35&amp;"mg/mL"))</f>
        <v>#N/A</v>
      </c>
      <c r="AB35" s="4" t="e">
        <f>+VLOOKUP(A35,ESTANDAR!$A$2:$K$645,11,0)</f>
        <v>#N/A</v>
      </c>
      <c r="AC35" s="4" t="e">
        <f>IF(AND('FORMATO DIL'!U45&gt;0,'FORMATO DIL'!V45&gt;0),"Do: "&amp;F35&amp;V35&amp;"  VolTotal: "&amp;'FORMATO DIL'!U45&amp;"mL"&amp;" a "&amp;'FORMATO DIL'!V45&amp;"mL/h",IF('FORMATO DIL'!U45&gt;0,"Do: "&amp;F35&amp;V35&amp;"  VolTotal: "&amp;'FORMATO DIL'!U45&amp;"mL","Do: "&amp;F35&amp;V35&amp;"  VolDo: "&amp;G35&amp;"mL"))</f>
        <v>#N/A</v>
      </c>
      <c r="AD35" s="4" t="e">
        <f>IF(OR('FORMATO DIL'!$A$1="MN_HOSPITAL MEISSEN/UCI NEO",'FORMATO DIL'!$A$1="MP_HOSPITAL MEISSEN/PED",'FORMATO DIL'!$A$1="MA_HOSPITAL MEISSEN/UCI ADULTO"),AC35,IF(AND('FORMATO DIL'!$V$9&lt;&gt;"",'FORMATO DIL'!U45&lt;&gt;""),"Do: "&amp;'FR PD 001 V1'!J39&amp;"mg   VolDo: "&amp;'FORMATO DIL'!U45&amp;"mL",IF(AND('FORMATO DIL'!$U$9&lt;&gt;"",'FORMATO DIL'!U45&lt;&gt;""),"Do: "&amp;'FR PD 001 V1'!J39&amp;"mg   VolDo: "&amp;'DATOS ETIQ'!G35&amp;"mL  "&amp;"VolTotal:  "&amp;'FORMATO DIL'!U45&amp;"mL",IF('DATOS ETIQ'!P35=1,"Do: "&amp;'DATOS ETIQ'!F35&amp;'DATOS ETIQ'!V35&amp;"   VolDo: "&amp;'DATOS ETIQ'!G35&amp;"mL","Dilución 1/"&amp;'DATOS ETIQ'!P35&amp;"  "&amp;'DATOS ETIQ'!E35&amp;'DATOS ETIQ'!V35&amp;"/mL   Do: "&amp;'DATOS ETIQ'!F35&amp;'DATOS ETIQ'!V35&amp;"   VolDo: "&amp;'DATOS ETIQ'!G35&amp;"mL"))))</f>
        <v>#N/A</v>
      </c>
    </row>
    <row r="36" spans="1:30">
      <c r="A36" s="175">
        <f>'FR PD 001 V1'!G40</f>
        <v>0</v>
      </c>
      <c r="B36" s="175" t="e">
        <f>VLOOKUP(A36,ESTANDAR!A:B,2,0)</f>
        <v>#N/A</v>
      </c>
      <c r="C36" s="175" t="e">
        <f>VLOOKUP(A36,ESTANDAR!A:D,4,0)</f>
        <v>#N/A</v>
      </c>
      <c r="D36" s="184" t="e">
        <f>IF('FORMATO DIL'!B$6="NEO+PED",VLOOKUP(A36,ESTANDAR!A:G,6,0),VLOOKUP(A36,ESTANDAR!A:G,7,0))</f>
        <v>#N/A</v>
      </c>
      <c r="E36" s="175" t="str">
        <f>'FR PD 001 V1'!L40</f>
        <v>ERROR</v>
      </c>
      <c r="F36" s="175">
        <f>'FR PD 001 V1'!J40</f>
        <v>0</v>
      </c>
      <c r="G36" s="175">
        <f>ROUND('FR PD 001 V1'!M40,2)</f>
        <v>0</v>
      </c>
      <c r="H36" s="178" t="e">
        <f ca="1">'FR PD 001 V1'!P40</f>
        <v>#N/A</v>
      </c>
      <c r="I36" s="175" t="str">
        <f>'FR PD 001 V1'!O40</f>
        <v/>
      </c>
      <c r="J36" s="175" t="str">
        <f>LEFT('FR PD 001 V1'!B40,30)</f>
        <v/>
      </c>
      <c r="K36" s="175">
        <f>'FR PD 001 V1'!C40</f>
        <v>0</v>
      </c>
      <c r="L36" s="175" t="str">
        <f>'FORMATO DIL'!B$7</f>
        <v>JGARCIA</v>
      </c>
      <c r="M36" s="175" t="str">
        <f>'FORMATO DIL'!B$8</f>
        <v>ADELTORO</v>
      </c>
      <c r="N36" s="175" t="str">
        <f>'FORMATO DIL'!B$2</f>
        <v>C.JPC/SEXTO NTE/SCOOP</v>
      </c>
      <c r="O36" s="175" t="str">
        <f>'FR PD 001 V1'!E40</f>
        <v>NA</v>
      </c>
      <c r="P36" s="181" t="e">
        <f t="shared" si="0"/>
        <v>#N/A</v>
      </c>
      <c r="Q36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ADULTO"),AA36,IF(LEFT(R36,3)="INF",Y36,IF(OR(B36="INSULINA NPH",B36="INSULINA CRISTALINA",B36="PENICILINA CRIST."),B36&amp;" "&amp;C36&amp;" "&amp;D36&amp;"U.I./mL",B36&amp;" "&amp;C36&amp;" "&amp;D36&amp;"mg/mL")))</f>
        <v>#N/A</v>
      </c>
      <c r="R36" s="4">
        <f>IF(OR('FR PD 001 V1'!S40="JER 1mL",'FR PD 001 V1'!S40="JER 3mL",'FR PD 001 V1'!S40="JER 5mL",'FR PD 001 V1'!S40="JER 10mL",'FR PD 001 V1'!S40="JER 20mL",'FR PD 001 V1'!S40="JER 50mL"),"JERINGA",'FR PD 001 V1'!S40)</f>
        <v>0</v>
      </c>
      <c r="S36" s="4" t="e">
        <f>IF(OR('FORMATO DIL'!$A$1="MN_HOSPITAL MEISSEN/UCI NEO",'FORMATO DIL'!$A$1="MP_HOSPITAL MEISSEN/PED",'FORMATO DIL'!$A$1="MA_HOSPITAL MEISSEN/UCI ADULTO"),'FORMATO DIL'!O46,IF(VLOOKUP(A36,ESTANDAR!$A$2:$O$682,15,0)=0,"      -------",VLOOKUP(A36,ESTANDAR!$A$2:$O$682,15,0)))</f>
        <v>#N/A</v>
      </c>
      <c r="T36" s="4" t="e">
        <f t="shared" ca="1" si="1"/>
        <v>#N/A</v>
      </c>
      <c r="U36" s="4" t="e">
        <f>IF(AND('FORMATO DIL'!U46&gt;0,'FORMATO DIL'!V46&gt;0),"Do: "&amp;F36&amp;V36&amp;"  VolTotal: "&amp;'FORMATO DIL'!U46&amp;"mL"&amp;" a "&amp;'FORMATO DIL'!V46&amp;"mL/h","Do: "&amp;F36&amp;V36&amp;"  VolDo: "&amp;G36&amp;"mL")</f>
        <v>#N/A</v>
      </c>
      <c r="V36" s="4" t="e">
        <f t="shared" si="2"/>
        <v>#N/A</v>
      </c>
      <c r="W36" s="4" t="e">
        <f>"Conc:  "&amp;IF('FORMATO DIL'!L46&gt;0,IF(OR(B36="GONADOTROPINA CORIONICA",B36="HEPARINA",B36="INSULINA CRISTALINA",B36="INSULINA NPH",B36="PENICILINA CRIST.",B36="POLIMIXINA B"),'FORMATO DIL'!L46&amp;"U.I/mL",'FORMATO DIL'!L46&amp;"mg/mL"),'DATOS ETIQ'!C36)</f>
        <v>#N/A</v>
      </c>
      <c r="X36" s="4" t="e">
        <f>IF(OR('FORMATO DIL'!U46&gt;0,'FORMATO DIL'!V46&gt;0),"  VOL TOTAL:  "&amp;'FORMATO DIL'!U46&amp;"mL"&amp;" a "&amp;'FORMATO DIL'!V46&amp;"mL/h",ROUND((F36/E36),1))</f>
        <v>#VALUE!</v>
      </c>
      <c r="Y36" s="4" t="e">
        <f>B36&amp;" INF SSN 0.9% "&amp;'FR PD 001 V1'!N40</f>
        <v>#N/A</v>
      </c>
      <c r="Z36" s="4" t="str">
        <f>"ID :"&amp;K36&amp;"   F. Nac:  "&amp;UPPER(TEXT('FORMATO DIL'!F46,"ddmmmyy"))</f>
        <v>ID :0   F. Nac:  00ENE00</v>
      </c>
      <c r="AA36" s="4" t="e">
        <f>IF('FORMATO DIL'!L46&lt;&gt;"",IF(OR(B36="INSULINA NPH",B36="INSULINA CRISTALINA",B36="PENICILINA CRIST."),B36&amp;" "&amp;C36&amp;" "&amp;'FORMATO DIL'!L46&amp;"U.I./mL",B36&amp;" "&amp;C36&amp;" "&amp;'FORMATO DIL'!L46&amp;"mg/mL"),IF(OR(B36="INSULINA NPH",B36="INSULINA CRISTALINA",B36="PENICILINA CRIST."),B36&amp;" "&amp;C36&amp;" "&amp;D36&amp;"U.I./mL",B36&amp;" "&amp;C36&amp;" "&amp;D36&amp;"mg/mL"))</f>
        <v>#N/A</v>
      </c>
      <c r="AB36" s="4" t="e">
        <f>+VLOOKUP(A36,ESTANDAR!$A$2:$K$645,11,0)</f>
        <v>#N/A</v>
      </c>
      <c r="AC36" s="4" t="e">
        <f>IF(AND('FORMATO DIL'!U46&gt;0,'FORMATO DIL'!V46&gt;0),"Do: "&amp;F36&amp;V36&amp;"  VolTotal: "&amp;'FORMATO DIL'!U46&amp;"mL"&amp;" a "&amp;'FORMATO DIL'!V46&amp;"mL/h",IF('FORMATO DIL'!U46&gt;0,"Do: "&amp;F36&amp;V36&amp;"  VolTotal: "&amp;'FORMATO DIL'!U46&amp;"mL","Do: "&amp;F36&amp;V36&amp;"  VolDo: "&amp;G36&amp;"mL"))</f>
        <v>#N/A</v>
      </c>
      <c r="AD36" s="4" t="e">
        <f>IF(OR('FORMATO DIL'!$A$1="MN_HOSPITAL MEISSEN/UCI NEO",'FORMATO DIL'!$A$1="MP_HOSPITAL MEISSEN/PED",'FORMATO DIL'!$A$1="MA_HOSPITAL MEISSEN/UCI ADULTO"),AC36,IF(AND('FORMATO DIL'!$V$9&lt;&gt;"",'FORMATO DIL'!U46&lt;&gt;""),"Do: "&amp;'FR PD 001 V1'!J40&amp;"mg   VolDo: "&amp;'FORMATO DIL'!U46&amp;"mL",IF(AND('FORMATO DIL'!$U$9&lt;&gt;"",'FORMATO DIL'!U46&lt;&gt;""),"Do: "&amp;'FR PD 001 V1'!J40&amp;"mg   VolDo: "&amp;'DATOS ETIQ'!G36&amp;"mL  "&amp;"VolTotal:  "&amp;'FORMATO DIL'!U46&amp;"mL",IF('DATOS ETIQ'!P36=1,"Do: "&amp;'DATOS ETIQ'!F36&amp;'DATOS ETIQ'!V36&amp;"   VolDo: "&amp;'DATOS ETIQ'!G36&amp;"mL","Dilución 1/"&amp;'DATOS ETIQ'!P36&amp;"  "&amp;'DATOS ETIQ'!E36&amp;'DATOS ETIQ'!V36&amp;"/mL   Do: "&amp;'DATOS ETIQ'!F36&amp;'DATOS ETIQ'!V36&amp;"   VolDo: "&amp;'DATOS ETIQ'!G36&amp;"mL"))))</f>
        <v>#N/A</v>
      </c>
    </row>
    <row r="37" spans="1:30">
      <c r="A37" s="175">
        <f>'FR PD 001 V1'!G41</f>
        <v>0</v>
      </c>
      <c r="B37" s="175" t="e">
        <f>VLOOKUP(A37,ESTANDAR!A:B,2,0)</f>
        <v>#N/A</v>
      </c>
      <c r="C37" s="175" t="e">
        <f>VLOOKUP(A37,ESTANDAR!A:D,4,0)</f>
        <v>#N/A</v>
      </c>
      <c r="D37" s="184" t="e">
        <f>IF('FORMATO DIL'!B$6="NEO+PED",VLOOKUP(A37,ESTANDAR!A:G,6,0),VLOOKUP(A37,ESTANDAR!A:G,7,0))</f>
        <v>#N/A</v>
      </c>
      <c r="E37" s="175" t="str">
        <f>'FR PD 001 V1'!L41</f>
        <v>ERROR</v>
      </c>
      <c r="F37" s="175">
        <f>'FR PD 001 V1'!J41</f>
        <v>0</v>
      </c>
      <c r="G37" s="175">
        <f>ROUND('FR PD 001 V1'!M41,2)</f>
        <v>0</v>
      </c>
      <c r="H37" s="178" t="e">
        <f ca="1">'FR PD 001 V1'!P41</f>
        <v>#N/A</v>
      </c>
      <c r="I37" s="175" t="str">
        <f>'FR PD 001 V1'!O41</f>
        <v/>
      </c>
      <c r="J37" s="175" t="str">
        <f>LEFT('FR PD 001 V1'!B41,30)</f>
        <v/>
      </c>
      <c r="K37" s="175">
        <f>'FR PD 001 V1'!C41</f>
        <v>0</v>
      </c>
      <c r="L37" s="175" t="str">
        <f>'FORMATO DIL'!B$7</f>
        <v>JGARCIA</v>
      </c>
      <c r="M37" s="175" t="str">
        <f>'FORMATO DIL'!B$8</f>
        <v>ADELTORO</v>
      </c>
      <c r="N37" s="175" t="str">
        <f>'FORMATO DIL'!B$2</f>
        <v>C.JPC/SEXTO NTE/SCOOP</v>
      </c>
      <c r="O37" s="175" t="str">
        <f>'FR PD 001 V1'!E41</f>
        <v>NA</v>
      </c>
      <c r="P37" s="181" t="e">
        <f t="shared" si="0"/>
        <v>#N/A</v>
      </c>
      <c r="Q37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ADULTO"),AA37,IF(LEFT(R37,3)="INF",Y37,IF(OR(B37="INSULINA NPH",B37="INSULINA CRISTALINA",B37="PENICILINA CRIST."),B37&amp;" "&amp;C37&amp;" "&amp;D37&amp;"U.I./mL",B37&amp;" "&amp;C37&amp;" "&amp;D37&amp;"mg/mL")))</f>
        <v>#N/A</v>
      </c>
      <c r="R37" s="4">
        <f>IF(OR('FR PD 001 V1'!S41="JER 1mL",'FR PD 001 V1'!S41="JER 3mL",'FR PD 001 V1'!S41="JER 5mL",'FR PD 001 V1'!S41="JER 10mL",'FR PD 001 V1'!S41="JER 20mL",'FR PD 001 V1'!S41="JER 50mL"),"JERINGA",'FR PD 001 V1'!S41)</f>
        <v>0</v>
      </c>
      <c r="S37" s="4" t="e">
        <f>IF(OR('FORMATO DIL'!$A$1="MN_HOSPITAL MEISSEN/UCI NEO",'FORMATO DIL'!$A$1="MP_HOSPITAL MEISSEN/PED",'FORMATO DIL'!$A$1="MA_HOSPITAL MEISSEN/UCI ADULTO"),'FORMATO DIL'!O47,IF(VLOOKUP(A37,ESTANDAR!$A$2:$O$682,15,0)=0,"      -------",VLOOKUP(A37,ESTANDAR!$A$2:$O$682,15,0)))</f>
        <v>#N/A</v>
      </c>
      <c r="T37" s="4" t="e">
        <f t="shared" ca="1" si="1"/>
        <v>#N/A</v>
      </c>
      <c r="U37" s="4" t="e">
        <f>IF(AND('FORMATO DIL'!U47&gt;0,'FORMATO DIL'!V47&gt;0),"Do: "&amp;F37&amp;V37&amp;"  VolTotal: "&amp;'FORMATO DIL'!U47&amp;"mL"&amp;" a "&amp;'FORMATO DIL'!V47&amp;"mL/h","Do: "&amp;F37&amp;V37&amp;"  VolDo: "&amp;G37&amp;"mL")</f>
        <v>#N/A</v>
      </c>
      <c r="V37" s="4" t="e">
        <f t="shared" si="2"/>
        <v>#N/A</v>
      </c>
      <c r="W37" s="4" t="e">
        <f>"Conc:  "&amp;IF('FORMATO DIL'!L47&gt;0,IF(OR(B37="GONADOTROPINA CORIONICA",B37="HEPARINA",B37="INSULINA CRISTALINA",B37="INSULINA NPH",B37="PENICILINA CRIST.",B37="POLIMIXINA B"),'FORMATO DIL'!L47&amp;"U.I/mL",'FORMATO DIL'!L47&amp;"mg/mL"),'DATOS ETIQ'!C37)</f>
        <v>#N/A</v>
      </c>
      <c r="X37" s="4" t="e">
        <f>IF(OR('FORMATO DIL'!U47&gt;0,'FORMATO DIL'!V47&gt;0),"  VOL TOTAL:  "&amp;'FORMATO DIL'!U47&amp;"mL"&amp;" a "&amp;'FORMATO DIL'!V47&amp;"mL/h",ROUND((F37/E37),1))</f>
        <v>#VALUE!</v>
      </c>
      <c r="Y37" s="4" t="e">
        <f>B37&amp;" INF SSN 0.9% "&amp;'FR PD 001 V1'!N41</f>
        <v>#N/A</v>
      </c>
      <c r="Z37" s="4" t="str">
        <f>"ID :"&amp;K37&amp;"   F. Nac:  "&amp;UPPER(TEXT('FORMATO DIL'!F47,"ddmmmyy"))</f>
        <v>ID :0   F. Nac:  00ENE00</v>
      </c>
      <c r="AA37" s="4" t="e">
        <f>IF('FORMATO DIL'!L47&lt;&gt;"",IF(OR(B37="INSULINA NPH",B37="INSULINA CRISTALINA",B37="PENICILINA CRIST."),B37&amp;" "&amp;C37&amp;" "&amp;'FORMATO DIL'!L47&amp;"U.I./mL",B37&amp;" "&amp;C37&amp;" "&amp;'FORMATO DIL'!L47&amp;"mg/mL"),IF(OR(B37="INSULINA NPH",B37="INSULINA CRISTALINA",B37="PENICILINA CRIST."),B37&amp;" "&amp;C37&amp;" "&amp;D37&amp;"U.I./mL",B37&amp;" "&amp;C37&amp;" "&amp;D37&amp;"mg/mL"))</f>
        <v>#N/A</v>
      </c>
      <c r="AB37" s="4" t="e">
        <f>+VLOOKUP(A37,ESTANDAR!$A$2:$K$645,11,0)</f>
        <v>#N/A</v>
      </c>
      <c r="AC37" s="4" t="e">
        <f>IF(AND('FORMATO DIL'!U47&gt;0,'FORMATO DIL'!V47&gt;0),"Do: "&amp;F37&amp;V37&amp;"  VolTotal: "&amp;'FORMATO DIL'!U47&amp;"mL"&amp;" a "&amp;'FORMATO DIL'!V47&amp;"mL/h",IF('FORMATO DIL'!U47&gt;0,"Do: "&amp;F37&amp;V37&amp;"  VolTotal: "&amp;'FORMATO DIL'!U47&amp;"mL","Do: "&amp;F37&amp;V37&amp;"  VolDo: "&amp;G37&amp;"mL"))</f>
        <v>#N/A</v>
      </c>
      <c r="AD37" s="4" t="e">
        <f>IF(OR('FORMATO DIL'!$A$1="MN_HOSPITAL MEISSEN/UCI NEO",'FORMATO DIL'!$A$1="MP_HOSPITAL MEISSEN/PED",'FORMATO DIL'!$A$1="MA_HOSPITAL MEISSEN/UCI ADULTO"),AC37,IF(AND('FORMATO DIL'!$V$9&lt;&gt;"",'FORMATO DIL'!U47&lt;&gt;""),"Do: "&amp;'FR PD 001 V1'!J41&amp;"mg   VolDo: "&amp;'FORMATO DIL'!U47&amp;"mL",IF(AND('FORMATO DIL'!$U$9&lt;&gt;"",'FORMATO DIL'!U47&lt;&gt;""),"Do: "&amp;'FR PD 001 V1'!J41&amp;"mg   VolDo: "&amp;'DATOS ETIQ'!G37&amp;"mL  "&amp;"VolTotal:  "&amp;'FORMATO DIL'!U47&amp;"mL",IF('DATOS ETIQ'!P37=1,"Do: "&amp;'DATOS ETIQ'!F37&amp;'DATOS ETIQ'!V37&amp;"   VolDo: "&amp;'DATOS ETIQ'!G37&amp;"mL","Dilución 1/"&amp;'DATOS ETIQ'!P37&amp;"  "&amp;'DATOS ETIQ'!E37&amp;'DATOS ETIQ'!V37&amp;"/mL   Do: "&amp;'DATOS ETIQ'!F37&amp;'DATOS ETIQ'!V37&amp;"   VolDo: "&amp;'DATOS ETIQ'!G37&amp;"mL"))))</f>
        <v>#N/A</v>
      </c>
    </row>
    <row r="38" spans="1:30">
      <c r="A38" s="175">
        <f>'FR PD 001 V1'!G42</f>
        <v>0</v>
      </c>
      <c r="B38" s="175" t="e">
        <f>VLOOKUP(A38,ESTANDAR!A:B,2,0)</f>
        <v>#N/A</v>
      </c>
      <c r="C38" s="175" t="e">
        <f>VLOOKUP(A38,ESTANDAR!A:D,4,0)</f>
        <v>#N/A</v>
      </c>
      <c r="D38" s="184" t="e">
        <f>IF('FORMATO DIL'!B$6="NEO+PED",VLOOKUP(A38,ESTANDAR!A:G,6,0),VLOOKUP(A38,ESTANDAR!A:G,7,0))</f>
        <v>#N/A</v>
      </c>
      <c r="E38" s="175" t="str">
        <f>'FR PD 001 V1'!L42</f>
        <v>ERROR</v>
      </c>
      <c r="F38" s="175">
        <f>'FR PD 001 V1'!J42</f>
        <v>0</v>
      </c>
      <c r="G38" s="175">
        <f>ROUND('FR PD 001 V1'!M42,2)</f>
        <v>0</v>
      </c>
      <c r="H38" s="178" t="e">
        <f ca="1">'FR PD 001 V1'!P42</f>
        <v>#N/A</v>
      </c>
      <c r="I38" s="175" t="str">
        <f>'FR PD 001 V1'!O42</f>
        <v/>
      </c>
      <c r="J38" s="175" t="str">
        <f>LEFT('FR PD 001 V1'!B42,30)</f>
        <v/>
      </c>
      <c r="K38" s="175">
        <f>'FR PD 001 V1'!C42</f>
        <v>0</v>
      </c>
      <c r="L38" s="175" t="str">
        <f>'FORMATO DIL'!B$7</f>
        <v>JGARCIA</v>
      </c>
      <c r="M38" s="175" t="str">
        <f>'FORMATO DIL'!B$8</f>
        <v>ADELTORO</v>
      </c>
      <c r="N38" s="175" t="str">
        <f>'FORMATO DIL'!B$2</f>
        <v>C.JPC/SEXTO NTE/SCOOP</v>
      </c>
      <c r="O38" s="175" t="str">
        <f>'FR PD 001 V1'!E42</f>
        <v>NA</v>
      </c>
      <c r="P38" s="181" t="e">
        <f t="shared" si="0"/>
        <v>#N/A</v>
      </c>
      <c r="Q38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ADULTO"),AA38,IF(LEFT(R38,3)="INF",Y38,IF(OR(B38="INSULINA NPH",B38="INSULINA CRISTALINA",B38="PENICILINA CRIST."),B38&amp;" "&amp;C38&amp;" "&amp;D38&amp;"U.I./mL",B38&amp;" "&amp;C38&amp;" "&amp;D38&amp;"mg/mL")))</f>
        <v>#N/A</v>
      </c>
      <c r="R38" s="4">
        <f>IF(OR('FR PD 001 V1'!S42="JER 1mL",'FR PD 001 V1'!S42="JER 3mL",'FR PD 001 V1'!S42="JER 5mL",'FR PD 001 V1'!S42="JER 10mL",'FR PD 001 V1'!S42="JER 20mL",'FR PD 001 V1'!S42="JER 50mL"),"JERINGA",'FR PD 001 V1'!S42)</f>
        <v>0</v>
      </c>
      <c r="S38" s="4" t="e">
        <f>IF(OR('FORMATO DIL'!$A$1="MN_HOSPITAL MEISSEN/UCI NEO",'FORMATO DIL'!$A$1="MP_HOSPITAL MEISSEN/PED",'FORMATO DIL'!$A$1="MA_HOSPITAL MEISSEN/UCI ADULTO"),'FORMATO DIL'!O48,IF(VLOOKUP(A38,ESTANDAR!$A$2:$O$682,15,0)=0,"      -------",VLOOKUP(A38,ESTANDAR!$A$2:$O$682,15,0)))</f>
        <v>#N/A</v>
      </c>
      <c r="T38" s="4" t="e">
        <f t="shared" ca="1" si="1"/>
        <v>#N/A</v>
      </c>
      <c r="U38" s="4" t="e">
        <f>IF(AND('FORMATO DIL'!U48&gt;0,'FORMATO DIL'!V48&gt;0),"Do: "&amp;F38&amp;V38&amp;"  VolTotal: "&amp;'FORMATO DIL'!U48&amp;"mL"&amp;" a "&amp;'FORMATO DIL'!V48&amp;"mL/h","Do: "&amp;F38&amp;V38&amp;"  VolDo: "&amp;G38&amp;"mL")</f>
        <v>#N/A</v>
      </c>
      <c r="V38" s="4" t="e">
        <f t="shared" si="2"/>
        <v>#N/A</v>
      </c>
      <c r="W38" s="4" t="e">
        <f>"Conc:  "&amp;IF('FORMATO DIL'!L48&gt;0,IF(OR(B38="GONADOTROPINA CORIONICA",B38="HEPARINA",B38="INSULINA CRISTALINA",B38="INSULINA NPH",B38="PENICILINA CRIST.",B38="POLIMIXINA B"),'FORMATO DIL'!L48&amp;"U.I/mL",'FORMATO DIL'!L48&amp;"mg/mL"),'DATOS ETIQ'!C38)</f>
        <v>#N/A</v>
      </c>
      <c r="X38" s="4" t="e">
        <f>IF(OR('FORMATO DIL'!U48&gt;0,'FORMATO DIL'!V48&gt;0),"  VOL TOTAL:  "&amp;'FORMATO DIL'!U48&amp;"mL"&amp;" a "&amp;'FORMATO DIL'!V48&amp;"mL/h",ROUND((F38/E38),1))</f>
        <v>#VALUE!</v>
      </c>
      <c r="Y38" s="4" t="e">
        <f>B38&amp;" INF SSN 0.9% "&amp;'FR PD 001 V1'!N42</f>
        <v>#N/A</v>
      </c>
      <c r="Z38" s="4" t="str">
        <f>"ID :"&amp;K38&amp;"   F. Nac:  "&amp;UPPER(TEXT('FORMATO DIL'!F48,"ddmmmyy"))</f>
        <v>ID :0   F. Nac:  00ENE00</v>
      </c>
      <c r="AA38" s="4" t="e">
        <f>IF('FORMATO DIL'!L48&lt;&gt;"",IF(OR(B38="INSULINA NPH",B38="INSULINA CRISTALINA",B38="PENICILINA CRIST."),B38&amp;" "&amp;C38&amp;" "&amp;'FORMATO DIL'!L48&amp;"U.I./mL",B38&amp;" "&amp;C38&amp;" "&amp;'FORMATO DIL'!L48&amp;"mg/mL"),IF(OR(B38="INSULINA NPH",B38="INSULINA CRISTALINA",B38="PENICILINA CRIST."),B38&amp;" "&amp;C38&amp;" "&amp;D38&amp;"U.I./mL",B38&amp;" "&amp;C38&amp;" "&amp;D38&amp;"mg/mL"))</f>
        <v>#N/A</v>
      </c>
      <c r="AB38" s="4" t="e">
        <f>+VLOOKUP(A38,ESTANDAR!$A$2:$K$645,11,0)</f>
        <v>#N/A</v>
      </c>
      <c r="AC38" s="4" t="e">
        <f>IF(AND('FORMATO DIL'!U48&gt;0,'FORMATO DIL'!V48&gt;0),"Do: "&amp;F38&amp;V38&amp;"  VolTotal: "&amp;'FORMATO DIL'!U48&amp;"mL"&amp;" a "&amp;'FORMATO DIL'!V48&amp;"mL/h",IF('FORMATO DIL'!U48&gt;0,"Do: "&amp;F38&amp;V38&amp;"  VolTotal: "&amp;'FORMATO DIL'!U48&amp;"mL","Do: "&amp;F38&amp;V38&amp;"  VolDo: "&amp;G38&amp;"mL"))</f>
        <v>#N/A</v>
      </c>
      <c r="AD38" s="4" t="e">
        <f>IF(OR('FORMATO DIL'!$A$1="MN_HOSPITAL MEISSEN/UCI NEO",'FORMATO DIL'!$A$1="MP_HOSPITAL MEISSEN/PED",'FORMATO DIL'!$A$1="MA_HOSPITAL MEISSEN/UCI ADULTO"),AC38,IF(AND('FORMATO DIL'!$V$9&lt;&gt;"",'FORMATO DIL'!U48&lt;&gt;""),"Do: "&amp;'FR PD 001 V1'!J42&amp;"mg   VolDo: "&amp;'FORMATO DIL'!U48&amp;"mL",IF(AND('FORMATO DIL'!$U$9&lt;&gt;"",'FORMATO DIL'!U48&lt;&gt;""),"Do: "&amp;'FR PD 001 V1'!J42&amp;"mg   VolDo: "&amp;'DATOS ETIQ'!G38&amp;"mL  "&amp;"VolTotal:  "&amp;'FORMATO DIL'!U48&amp;"mL",IF('DATOS ETIQ'!P38=1,"Do: "&amp;'DATOS ETIQ'!F38&amp;'DATOS ETIQ'!V38&amp;"   VolDo: "&amp;'DATOS ETIQ'!G38&amp;"mL","Dilución 1/"&amp;'DATOS ETIQ'!P38&amp;"  "&amp;'DATOS ETIQ'!E38&amp;'DATOS ETIQ'!V38&amp;"/mL   Do: "&amp;'DATOS ETIQ'!F38&amp;'DATOS ETIQ'!V38&amp;"   VolDo: "&amp;'DATOS ETIQ'!G38&amp;"mL"))))</f>
        <v>#N/A</v>
      </c>
    </row>
    <row r="39" spans="1:30">
      <c r="A39" s="175">
        <f>'FR PD 001 V1'!G43</f>
        <v>0</v>
      </c>
      <c r="B39" s="175" t="e">
        <f>VLOOKUP(A39,ESTANDAR!A:B,2,0)</f>
        <v>#N/A</v>
      </c>
      <c r="C39" s="175" t="e">
        <f>VLOOKUP(A39,ESTANDAR!A:D,4,0)</f>
        <v>#N/A</v>
      </c>
      <c r="D39" s="184" t="e">
        <f>IF('FORMATO DIL'!B$6="NEO+PED",VLOOKUP(A39,ESTANDAR!A:G,6,0),VLOOKUP(A39,ESTANDAR!A:G,7,0))</f>
        <v>#N/A</v>
      </c>
      <c r="E39" s="175" t="str">
        <f>'FR PD 001 V1'!L43</f>
        <v>ERROR</v>
      </c>
      <c r="F39" s="175">
        <f>'FR PD 001 V1'!J43</f>
        <v>0</v>
      </c>
      <c r="G39" s="175">
        <f>ROUND('FR PD 001 V1'!M43,2)</f>
        <v>0</v>
      </c>
      <c r="H39" s="178" t="e">
        <f ca="1">'FR PD 001 V1'!P43</f>
        <v>#N/A</v>
      </c>
      <c r="I39" s="175" t="str">
        <f>'FR PD 001 V1'!O43</f>
        <v/>
      </c>
      <c r="J39" s="175" t="str">
        <f>LEFT('FR PD 001 V1'!B43,30)</f>
        <v/>
      </c>
      <c r="K39" s="175">
        <f>'FR PD 001 V1'!C43</f>
        <v>0</v>
      </c>
      <c r="L39" s="175" t="str">
        <f>'FORMATO DIL'!B$7</f>
        <v>JGARCIA</v>
      </c>
      <c r="M39" s="175" t="str">
        <f>'FORMATO DIL'!B$8</f>
        <v>ADELTORO</v>
      </c>
      <c r="N39" s="175" t="str">
        <f>'FORMATO DIL'!B$2</f>
        <v>C.JPC/SEXTO NTE/SCOOP</v>
      </c>
      <c r="O39" s="175" t="str">
        <f>'FR PD 001 V1'!E43</f>
        <v>NA</v>
      </c>
      <c r="P39" s="181" t="e">
        <f t="shared" si="0"/>
        <v>#N/A</v>
      </c>
      <c r="Q39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ADULTO"),AA39,IF(LEFT(R39,3)="INF",Y39,IF(OR(B39="INSULINA NPH",B39="INSULINA CRISTALINA",B39="PENICILINA CRIST."),B39&amp;" "&amp;C39&amp;" "&amp;D39&amp;"U.I./mL",B39&amp;" "&amp;C39&amp;" "&amp;D39&amp;"mg/mL")))</f>
        <v>#N/A</v>
      </c>
      <c r="R39" s="4">
        <f>IF(OR('FR PD 001 V1'!S43="JER 1mL",'FR PD 001 V1'!S43="JER 3mL",'FR PD 001 V1'!S43="JER 5mL",'FR PD 001 V1'!S43="JER 10mL",'FR PD 001 V1'!S43="JER 20mL",'FR PD 001 V1'!S43="JER 50mL"),"JERINGA",'FR PD 001 V1'!S43)</f>
        <v>0</v>
      </c>
      <c r="S39" s="4" t="e">
        <f>IF(OR('FORMATO DIL'!$A$1="MN_HOSPITAL MEISSEN/UCI NEO",'FORMATO DIL'!$A$1="MP_HOSPITAL MEISSEN/PED",'FORMATO DIL'!$A$1="MA_HOSPITAL MEISSEN/UCI ADULTO"),'FORMATO DIL'!O49,IF(VLOOKUP(A39,ESTANDAR!$A$2:$O$682,15,0)=0,"      -------",VLOOKUP(A39,ESTANDAR!$A$2:$O$682,15,0)))</f>
        <v>#N/A</v>
      </c>
      <c r="T39" s="4" t="e">
        <f t="shared" ca="1" si="1"/>
        <v>#N/A</v>
      </c>
      <c r="U39" s="4" t="e">
        <f>IF(AND('FORMATO DIL'!U49&gt;0,'FORMATO DIL'!V49&gt;0),"Do: "&amp;F39&amp;V39&amp;"  VolTotal: "&amp;'FORMATO DIL'!U49&amp;"mL"&amp;" a "&amp;'FORMATO DIL'!V49&amp;"mL/h","Do: "&amp;F39&amp;V39&amp;"  VolDo: "&amp;G39&amp;"mL")</f>
        <v>#N/A</v>
      </c>
      <c r="V39" s="4" t="e">
        <f t="shared" si="2"/>
        <v>#N/A</v>
      </c>
      <c r="W39" s="4" t="e">
        <f>"Conc:  "&amp;IF('FORMATO DIL'!L49&gt;0,IF(OR(B39="GONADOTROPINA CORIONICA",B39="HEPARINA",B39="INSULINA CRISTALINA",B39="INSULINA NPH",B39="PENICILINA CRIST.",B39="POLIMIXINA B"),'FORMATO DIL'!L49&amp;"U.I/mL",'FORMATO DIL'!L49&amp;"mg/mL"),'DATOS ETIQ'!C39)</f>
        <v>#N/A</v>
      </c>
      <c r="X39" s="4" t="e">
        <f>IF(OR('FORMATO DIL'!U49&gt;0,'FORMATO DIL'!V49&gt;0),"  VOL TOTAL:  "&amp;'FORMATO DIL'!U49&amp;"mL"&amp;" a "&amp;'FORMATO DIL'!V49&amp;"mL/h",ROUND((F39/E39),1))</f>
        <v>#VALUE!</v>
      </c>
      <c r="Y39" s="4" t="e">
        <f>B39&amp;" INF SSN 0.9% "&amp;'FR PD 001 V1'!N43</f>
        <v>#N/A</v>
      </c>
      <c r="Z39" s="4" t="str">
        <f>"ID :"&amp;K39&amp;"   F. Nac:  "&amp;UPPER(TEXT('FORMATO DIL'!F49,"ddmmmyy"))</f>
        <v>ID :0   F. Nac:  00ENE00</v>
      </c>
      <c r="AA39" s="4" t="e">
        <f>IF('FORMATO DIL'!L49&lt;&gt;"",IF(OR(B39="INSULINA NPH",B39="INSULINA CRISTALINA",B39="PENICILINA CRIST."),B39&amp;" "&amp;C39&amp;" "&amp;'FORMATO DIL'!L49&amp;"U.I./mL",B39&amp;" "&amp;C39&amp;" "&amp;'FORMATO DIL'!L49&amp;"mg/mL"),IF(OR(B39="INSULINA NPH",B39="INSULINA CRISTALINA",B39="PENICILINA CRIST."),B39&amp;" "&amp;C39&amp;" "&amp;D39&amp;"U.I./mL",B39&amp;" "&amp;C39&amp;" "&amp;D39&amp;"mg/mL"))</f>
        <v>#N/A</v>
      </c>
      <c r="AB39" s="4" t="e">
        <f>+VLOOKUP(A39,ESTANDAR!$A$2:$K$645,11,0)</f>
        <v>#N/A</v>
      </c>
      <c r="AC39" s="4" t="e">
        <f>IF(AND('FORMATO DIL'!U49&gt;0,'FORMATO DIL'!V49&gt;0),"Do: "&amp;F39&amp;V39&amp;"  VolTotal: "&amp;'FORMATO DIL'!U49&amp;"mL"&amp;" a "&amp;'FORMATO DIL'!V49&amp;"mL/h",IF('FORMATO DIL'!U49&gt;0,"Do: "&amp;F39&amp;V39&amp;"  VolTotal: "&amp;'FORMATO DIL'!U49&amp;"mL","Do: "&amp;F39&amp;V39&amp;"  VolDo: "&amp;G39&amp;"mL"))</f>
        <v>#N/A</v>
      </c>
      <c r="AD39" s="4" t="e">
        <f>IF(OR('FORMATO DIL'!$A$1="MN_HOSPITAL MEISSEN/UCI NEO",'FORMATO DIL'!$A$1="MP_HOSPITAL MEISSEN/PED",'FORMATO DIL'!$A$1="MA_HOSPITAL MEISSEN/UCI ADULTO"),AC39,IF(AND('FORMATO DIL'!$V$9&lt;&gt;"",'FORMATO DIL'!U49&lt;&gt;""),"Do: "&amp;'FR PD 001 V1'!J43&amp;"mg   VolDo: "&amp;'FORMATO DIL'!U49&amp;"mL",IF(AND('FORMATO DIL'!$U$9&lt;&gt;"",'FORMATO DIL'!U49&lt;&gt;""),"Do: "&amp;'FR PD 001 V1'!J43&amp;"mg   VolDo: "&amp;'DATOS ETIQ'!G39&amp;"mL  "&amp;"VolTotal:  "&amp;'FORMATO DIL'!U49&amp;"mL",IF('DATOS ETIQ'!P39=1,"Do: "&amp;'DATOS ETIQ'!F39&amp;'DATOS ETIQ'!V39&amp;"   VolDo: "&amp;'DATOS ETIQ'!G39&amp;"mL","Dilución 1/"&amp;'DATOS ETIQ'!P39&amp;"  "&amp;'DATOS ETIQ'!E39&amp;'DATOS ETIQ'!V39&amp;"/mL   Do: "&amp;'DATOS ETIQ'!F39&amp;'DATOS ETIQ'!V39&amp;"   VolDo: "&amp;'DATOS ETIQ'!G39&amp;"mL"))))</f>
        <v>#N/A</v>
      </c>
    </row>
    <row r="40" spans="1:30">
      <c r="A40" s="175">
        <f>'FR PD 001 V1'!G44</f>
        <v>0</v>
      </c>
      <c r="B40" s="175" t="e">
        <f>VLOOKUP(A40,ESTANDAR!A:B,2,0)</f>
        <v>#N/A</v>
      </c>
      <c r="C40" s="175" t="e">
        <f>VLOOKUP(A40,ESTANDAR!A:D,4,0)</f>
        <v>#N/A</v>
      </c>
      <c r="D40" s="184" t="e">
        <f>IF('FORMATO DIL'!B$6="NEO+PED",VLOOKUP(A40,ESTANDAR!A:G,6,0),VLOOKUP(A40,ESTANDAR!A:G,7,0))</f>
        <v>#N/A</v>
      </c>
      <c r="E40" s="175" t="str">
        <f>'FR PD 001 V1'!L44</f>
        <v>ERROR</v>
      </c>
      <c r="F40" s="175">
        <f>'FR PD 001 V1'!J44</f>
        <v>0</v>
      </c>
      <c r="G40" s="175">
        <f>ROUND('FR PD 001 V1'!M44,2)</f>
        <v>0</v>
      </c>
      <c r="H40" s="178" t="e">
        <f ca="1">'FR PD 001 V1'!P44</f>
        <v>#N/A</v>
      </c>
      <c r="I40" s="175" t="str">
        <f>'FR PD 001 V1'!O44</f>
        <v/>
      </c>
      <c r="J40" s="175" t="str">
        <f>LEFT('FR PD 001 V1'!B44,30)</f>
        <v/>
      </c>
      <c r="K40" s="175">
        <f>'FR PD 001 V1'!C44</f>
        <v>0</v>
      </c>
      <c r="L40" s="175" t="str">
        <f>'FORMATO DIL'!B$7</f>
        <v>JGARCIA</v>
      </c>
      <c r="M40" s="175" t="str">
        <f>'FORMATO DIL'!B$8</f>
        <v>ADELTORO</v>
      </c>
      <c r="N40" s="175" t="str">
        <f>'FORMATO DIL'!B$2</f>
        <v>C.JPC/SEXTO NTE/SCOOP</v>
      </c>
      <c r="O40" s="175" t="str">
        <f>'FR PD 001 V1'!E44</f>
        <v>NA</v>
      </c>
      <c r="P40" s="181" t="e">
        <f t="shared" si="0"/>
        <v>#N/A</v>
      </c>
      <c r="Q40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ADULTO"),AA40,IF(LEFT(R40,3)="INF",Y40,IF(OR(B40="INSULINA NPH",B40="INSULINA CRISTALINA",B40="PENICILINA CRIST."),B40&amp;" "&amp;C40&amp;" "&amp;D40&amp;"U.I./mL",B40&amp;" "&amp;C40&amp;" "&amp;D40&amp;"mg/mL")))</f>
        <v>#N/A</v>
      </c>
      <c r="R40" s="4">
        <f>IF(OR('FR PD 001 V1'!S44="JER 1mL",'FR PD 001 V1'!S44="JER 3mL",'FR PD 001 V1'!S44="JER 5mL",'FR PD 001 V1'!S44="JER 10mL",'FR PD 001 V1'!S44="JER 20mL",'FR PD 001 V1'!S44="JER 50mL"),"JERINGA",'FR PD 001 V1'!S44)</f>
        <v>0</v>
      </c>
      <c r="S40" s="4" t="e">
        <f>IF(OR('FORMATO DIL'!$A$1="MN_HOSPITAL MEISSEN/UCI NEO",'FORMATO DIL'!$A$1="MP_HOSPITAL MEISSEN/PED",'FORMATO DIL'!$A$1="MA_HOSPITAL MEISSEN/UCI ADULTO"),'FORMATO DIL'!O50,IF(VLOOKUP(A40,ESTANDAR!$A$2:$O$682,15,0)=0,"      -------",VLOOKUP(A40,ESTANDAR!$A$2:$O$682,15,0)))</f>
        <v>#N/A</v>
      </c>
      <c r="T40" s="4" t="e">
        <f t="shared" ca="1" si="1"/>
        <v>#N/A</v>
      </c>
      <c r="U40" s="4" t="e">
        <f>IF(AND('FORMATO DIL'!U50&gt;0,'FORMATO DIL'!V50&gt;0),"Do: "&amp;F40&amp;V40&amp;"  VolTotal: "&amp;'FORMATO DIL'!U50&amp;"mL"&amp;" a "&amp;'FORMATO DIL'!V50&amp;"mL/h","Do: "&amp;F40&amp;V40&amp;"  VolDo: "&amp;G40&amp;"mL")</f>
        <v>#N/A</v>
      </c>
      <c r="V40" s="4" t="e">
        <f t="shared" si="2"/>
        <v>#N/A</v>
      </c>
      <c r="W40" s="4" t="e">
        <f>"Conc:  "&amp;IF('FORMATO DIL'!L50&gt;0,IF(OR(B40="GONADOTROPINA CORIONICA",B40="HEPARINA",B40="INSULINA CRISTALINA",B40="INSULINA NPH",B40="PENICILINA CRIST.",B40="POLIMIXINA B"),'FORMATO DIL'!L50&amp;"U.I/mL",'FORMATO DIL'!L50&amp;"mg/mL"),'DATOS ETIQ'!C40)</f>
        <v>#N/A</v>
      </c>
      <c r="X40" s="4" t="e">
        <f>IF(OR('FORMATO DIL'!U50&gt;0,'FORMATO DIL'!V50&gt;0),"  VOL TOTAL:  "&amp;'FORMATO DIL'!U50&amp;"mL"&amp;" a "&amp;'FORMATO DIL'!V50&amp;"mL/h",ROUND((F40/E40),1))</f>
        <v>#VALUE!</v>
      </c>
      <c r="Y40" s="4" t="e">
        <f>B40&amp;" INF SSN 0.9% "&amp;'FR PD 001 V1'!N44</f>
        <v>#N/A</v>
      </c>
      <c r="Z40" s="4" t="str">
        <f>"ID :"&amp;K40&amp;"   F. Nac:  "&amp;UPPER(TEXT('FORMATO DIL'!F50,"ddmmmyy"))</f>
        <v>ID :0   F. Nac:  00ENE00</v>
      </c>
      <c r="AA40" s="4" t="e">
        <f>IF('FORMATO DIL'!L50&lt;&gt;"",IF(OR(B40="INSULINA NPH",B40="INSULINA CRISTALINA",B40="PENICILINA CRIST."),B40&amp;" "&amp;C40&amp;" "&amp;'FORMATO DIL'!L50&amp;"U.I./mL",B40&amp;" "&amp;C40&amp;" "&amp;'FORMATO DIL'!L50&amp;"mg/mL"),IF(OR(B40="INSULINA NPH",B40="INSULINA CRISTALINA",B40="PENICILINA CRIST."),B40&amp;" "&amp;C40&amp;" "&amp;D40&amp;"U.I./mL",B40&amp;" "&amp;C40&amp;" "&amp;D40&amp;"mg/mL"))</f>
        <v>#N/A</v>
      </c>
      <c r="AB40" s="4" t="e">
        <f>+VLOOKUP(A40,ESTANDAR!$A$2:$K$645,11,0)</f>
        <v>#N/A</v>
      </c>
      <c r="AC40" s="4" t="e">
        <f>IF(AND('FORMATO DIL'!U50&gt;0,'FORMATO DIL'!V50&gt;0),"Do: "&amp;F40&amp;V40&amp;"  VolTotal: "&amp;'FORMATO DIL'!U50&amp;"mL"&amp;" a "&amp;'FORMATO DIL'!V50&amp;"mL/h",IF('FORMATO DIL'!U50&gt;0,"Do: "&amp;F40&amp;V40&amp;"  VolTotal: "&amp;'FORMATO DIL'!U50&amp;"mL","Do: "&amp;F40&amp;V40&amp;"  VolDo: "&amp;G40&amp;"mL"))</f>
        <v>#N/A</v>
      </c>
      <c r="AD40" s="4" t="e">
        <f>IF(OR('FORMATO DIL'!$A$1="MN_HOSPITAL MEISSEN/UCI NEO",'FORMATO DIL'!$A$1="MP_HOSPITAL MEISSEN/PED",'FORMATO DIL'!$A$1="MA_HOSPITAL MEISSEN/UCI ADULTO"),AC40,IF(AND('FORMATO DIL'!$V$9&lt;&gt;"",'FORMATO DIL'!U50&lt;&gt;""),"Do: "&amp;'FR PD 001 V1'!J44&amp;"mg   VolDo: "&amp;'FORMATO DIL'!U50&amp;"mL",IF(AND('FORMATO DIL'!$U$9&lt;&gt;"",'FORMATO DIL'!U50&lt;&gt;""),"Do: "&amp;'FR PD 001 V1'!J44&amp;"mg   VolDo: "&amp;'DATOS ETIQ'!G40&amp;"mL  "&amp;"VolTotal:  "&amp;'FORMATO DIL'!U50&amp;"mL",IF('DATOS ETIQ'!P40=1,"Do: "&amp;'DATOS ETIQ'!F40&amp;'DATOS ETIQ'!V40&amp;"   VolDo: "&amp;'DATOS ETIQ'!G40&amp;"mL","Dilución 1/"&amp;'DATOS ETIQ'!P40&amp;"  "&amp;'DATOS ETIQ'!E40&amp;'DATOS ETIQ'!V40&amp;"/mL   Do: "&amp;'DATOS ETIQ'!F40&amp;'DATOS ETIQ'!V40&amp;"   VolDo: "&amp;'DATOS ETIQ'!G40&amp;"mL"))))</f>
        <v>#N/A</v>
      </c>
    </row>
    <row r="41" spans="1:30">
      <c r="A41" s="175">
        <f>'FR PD 001 V1'!G45</f>
        <v>0</v>
      </c>
      <c r="B41" s="175" t="e">
        <f>VLOOKUP(A41,ESTANDAR!A:B,2,0)</f>
        <v>#N/A</v>
      </c>
      <c r="C41" s="175" t="e">
        <f>VLOOKUP(A41,ESTANDAR!A:D,4,0)</f>
        <v>#N/A</v>
      </c>
      <c r="D41" s="184" t="e">
        <f>IF('FORMATO DIL'!B$6="NEO+PED",VLOOKUP(A41,ESTANDAR!A:G,6,0),VLOOKUP(A41,ESTANDAR!A:G,7,0))</f>
        <v>#N/A</v>
      </c>
      <c r="E41" s="175" t="str">
        <f>'FR PD 001 V1'!L45</f>
        <v>ERROR</v>
      </c>
      <c r="F41" s="175">
        <f>'FR PD 001 V1'!J45</f>
        <v>0</v>
      </c>
      <c r="G41" s="175">
        <f>ROUND('FR PD 001 V1'!M45,2)</f>
        <v>0</v>
      </c>
      <c r="H41" s="178" t="e">
        <f ca="1">'FR PD 001 V1'!P45</f>
        <v>#N/A</v>
      </c>
      <c r="I41" s="175" t="str">
        <f>'FR PD 001 V1'!O45</f>
        <v/>
      </c>
      <c r="J41" s="175" t="str">
        <f>LEFT('FR PD 001 V1'!B45,30)</f>
        <v/>
      </c>
      <c r="K41" s="175">
        <f>'FR PD 001 V1'!C45</f>
        <v>0</v>
      </c>
      <c r="L41" s="175" t="str">
        <f>'FORMATO DIL'!B$7</f>
        <v>JGARCIA</v>
      </c>
      <c r="M41" s="175" t="str">
        <f>'FORMATO DIL'!B$8</f>
        <v>ADELTORO</v>
      </c>
      <c r="N41" s="175" t="str">
        <f>'FORMATO DIL'!B$2</f>
        <v>C.JPC/SEXTO NTE/SCOOP</v>
      </c>
      <c r="O41" s="175" t="str">
        <f>'FR PD 001 V1'!E45</f>
        <v>NA</v>
      </c>
      <c r="P41" s="181" t="e">
        <f t="shared" si="0"/>
        <v>#N/A</v>
      </c>
      <c r="Q41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ADULTO"),AA41,IF(LEFT(R41,3)="INF",Y41,IF(OR(B41="INSULINA NPH",B41="INSULINA CRISTALINA",B41="PENICILINA CRIST."),B41&amp;" "&amp;C41&amp;" "&amp;D41&amp;"U.I./mL",B41&amp;" "&amp;C41&amp;" "&amp;D41&amp;"mg/mL")))</f>
        <v>#N/A</v>
      </c>
      <c r="R41" s="4">
        <f>IF(OR('FR PD 001 V1'!S45="JER 1mL",'FR PD 001 V1'!S45="JER 3mL",'FR PD 001 V1'!S45="JER 5mL",'FR PD 001 V1'!S45="JER 10mL",'FR PD 001 V1'!S45="JER 20mL",'FR PD 001 V1'!S45="JER 50mL"),"JERINGA",'FR PD 001 V1'!S45)</f>
        <v>0</v>
      </c>
      <c r="S41" s="4" t="e">
        <f>IF(OR('FORMATO DIL'!$A$1="MN_HOSPITAL MEISSEN/UCI NEO",'FORMATO DIL'!$A$1="MP_HOSPITAL MEISSEN/PED",'FORMATO DIL'!$A$1="MA_HOSPITAL MEISSEN/UCI ADULTO"),'FORMATO DIL'!O51,IF(VLOOKUP(A41,ESTANDAR!$A$2:$O$682,15,0)=0,"      -------",VLOOKUP(A41,ESTANDAR!$A$2:$O$682,15,0)))</f>
        <v>#N/A</v>
      </c>
      <c r="T41" s="4" t="e">
        <f t="shared" ca="1" si="1"/>
        <v>#N/A</v>
      </c>
      <c r="U41" s="4" t="e">
        <f>IF(AND('FORMATO DIL'!U51&gt;0,'FORMATO DIL'!V51&gt;0),"Do: "&amp;F41&amp;V41&amp;"  VolTotal: "&amp;'FORMATO DIL'!U51&amp;"mL"&amp;" a "&amp;'FORMATO DIL'!V51&amp;"mL/h","Do: "&amp;F41&amp;V41&amp;"  VolDo: "&amp;G41&amp;"mL")</f>
        <v>#N/A</v>
      </c>
      <c r="V41" s="4" t="e">
        <f t="shared" si="2"/>
        <v>#N/A</v>
      </c>
      <c r="W41" s="4" t="e">
        <f>"Conc:  "&amp;IF('FORMATO DIL'!L51&gt;0,IF(OR(B41="GONADOTROPINA CORIONICA",B41="HEPARINA",B41="INSULINA CRISTALINA",B41="INSULINA NPH",B41="PENICILINA CRIST.",B41="POLIMIXINA B"),'FORMATO DIL'!L51&amp;"U.I/mL",'FORMATO DIL'!L51&amp;"mg/mL"),'DATOS ETIQ'!C41)</f>
        <v>#N/A</v>
      </c>
      <c r="X41" s="4" t="e">
        <f>IF(OR('FORMATO DIL'!U51&gt;0,'FORMATO DIL'!V51&gt;0),"  VOL TOTAL:  "&amp;'FORMATO DIL'!U51&amp;"mL"&amp;" a "&amp;'FORMATO DIL'!V51&amp;"mL/h",ROUND((F41/E41),1))</f>
        <v>#VALUE!</v>
      </c>
      <c r="Y41" s="4" t="e">
        <f>B41&amp;" INF SSN 0.9% "&amp;'FR PD 001 V1'!N45</f>
        <v>#N/A</v>
      </c>
      <c r="Z41" s="4" t="str">
        <f>"ID :"&amp;K41&amp;"   F. Nac:  "&amp;UPPER(TEXT('FORMATO DIL'!F51,"ddmmmyy"))</f>
        <v>ID :0   F. Nac:  00ENE00</v>
      </c>
      <c r="AA41" s="4" t="e">
        <f>IF('FORMATO DIL'!L51&lt;&gt;"",IF(OR(B41="INSULINA NPH",B41="INSULINA CRISTALINA",B41="PENICILINA CRIST."),B41&amp;" "&amp;C41&amp;" "&amp;'FORMATO DIL'!L51&amp;"U.I./mL",B41&amp;" "&amp;C41&amp;" "&amp;'FORMATO DIL'!L51&amp;"mg/mL"),IF(OR(B41="INSULINA NPH",B41="INSULINA CRISTALINA",B41="PENICILINA CRIST."),B41&amp;" "&amp;C41&amp;" "&amp;D41&amp;"U.I./mL",B41&amp;" "&amp;C41&amp;" "&amp;D41&amp;"mg/mL"))</f>
        <v>#N/A</v>
      </c>
      <c r="AB41" s="4" t="e">
        <f>+VLOOKUP(A41,ESTANDAR!$A$2:$K$645,11,0)</f>
        <v>#N/A</v>
      </c>
      <c r="AC41" s="4" t="e">
        <f>IF(AND('FORMATO DIL'!U51&gt;0,'FORMATO DIL'!V51&gt;0),"Do: "&amp;F41&amp;V41&amp;"  VolTotal: "&amp;'FORMATO DIL'!U51&amp;"mL"&amp;" a "&amp;'FORMATO DIL'!V51&amp;"mL/h",IF('FORMATO DIL'!U51&gt;0,"Do: "&amp;F41&amp;V41&amp;"  VolTotal: "&amp;'FORMATO DIL'!U51&amp;"mL","Do: "&amp;F41&amp;V41&amp;"  VolDo: "&amp;G41&amp;"mL"))</f>
        <v>#N/A</v>
      </c>
      <c r="AD41" s="4" t="e">
        <f>IF(OR('FORMATO DIL'!$A$1="MN_HOSPITAL MEISSEN/UCI NEO",'FORMATO DIL'!$A$1="MP_HOSPITAL MEISSEN/PED",'FORMATO DIL'!$A$1="MA_HOSPITAL MEISSEN/UCI ADULTO"),AC41,IF(AND('FORMATO DIL'!$V$9&lt;&gt;"",'FORMATO DIL'!U51&lt;&gt;""),"Do: "&amp;'FR PD 001 V1'!J45&amp;"mg   VolDo: "&amp;'FORMATO DIL'!U51&amp;"mL",IF(AND('FORMATO DIL'!$U$9&lt;&gt;"",'FORMATO DIL'!U51&lt;&gt;""),"Do: "&amp;'FR PD 001 V1'!J45&amp;"mg   VolDo: "&amp;'DATOS ETIQ'!G41&amp;"mL  "&amp;"VolTotal:  "&amp;'FORMATO DIL'!U51&amp;"mL",IF('DATOS ETIQ'!P41=1,"Do: "&amp;'DATOS ETIQ'!F41&amp;'DATOS ETIQ'!V41&amp;"   VolDo: "&amp;'DATOS ETIQ'!G41&amp;"mL","Dilución 1/"&amp;'DATOS ETIQ'!P41&amp;"  "&amp;'DATOS ETIQ'!E41&amp;'DATOS ETIQ'!V41&amp;"/mL   Do: "&amp;'DATOS ETIQ'!F41&amp;'DATOS ETIQ'!V41&amp;"   VolDo: "&amp;'DATOS ETIQ'!G41&amp;"mL"))))</f>
        <v>#N/A</v>
      </c>
    </row>
    <row r="42" spans="1:30">
      <c r="A42" s="175">
        <f>'FR PD 001 V1'!G46</f>
        <v>0</v>
      </c>
      <c r="B42" s="175" t="e">
        <f>VLOOKUP(A42,ESTANDAR!A:B,2,0)</f>
        <v>#N/A</v>
      </c>
      <c r="C42" s="175" t="e">
        <f>VLOOKUP(A42,ESTANDAR!A:D,4,0)</f>
        <v>#N/A</v>
      </c>
      <c r="D42" s="184" t="e">
        <f>IF('FORMATO DIL'!B$6="NEO+PED",VLOOKUP(A42,ESTANDAR!A:G,6,0),VLOOKUP(A42,ESTANDAR!A:G,7,0))</f>
        <v>#N/A</v>
      </c>
      <c r="E42" s="175" t="str">
        <f>'FR PD 001 V1'!L46</f>
        <v>ERROR</v>
      </c>
      <c r="F42" s="175">
        <f>'FR PD 001 V1'!J46</f>
        <v>0</v>
      </c>
      <c r="G42" s="175">
        <f>ROUND('FR PD 001 V1'!M46,2)</f>
        <v>0</v>
      </c>
      <c r="H42" s="178" t="e">
        <f ca="1">'FR PD 001 V1'!P46</f>
        <v>#N/A</v>
      </c>
      <c r="I42" s="175" t="str">
        <f>'FR PD 001 V1'!O46</f>
        <v/>
      </c>
      <c r="J42" s="175" t="str">
        <f>LEFT('FR PD 001 V1'!B46,30)</f>
        <v/>
      </c>
      <c r="K42" s="175">
        <f>'FR PD 001 V1'!C46</f>
        <v>0</v>
      </c>
      <c r="L42" s="175" t="str">
        <f>'FORMATO DIL'!B$7</f>
        <v>JGARCIA</v>
      </c>
      <c r="M42" s="175" t="str">
        <f>'FORMATO DIL'!B$8</f>
        <v>ADELTORO</v>
      </c>
      <c r="N42" s="175" t="str">
        <f>'FORMATO DIL'!B$2</f>
        <v>C.JPC/SEXTO NTE/SCOOP</v>
      </c>
      <c r="O42" s="175" t="str">
        <f>'FR PD 001 V1'!E46</f>
        <v>NA</v>
      </c>
      <c r="P42" s="181" t="e">
        <f t="shared" si="0"/>
        <v>#N/A</v>
      </c>
      <c r="Q42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ADULTO"),AA42,IF(LEFT(R42,3)="INF",Y42,IF(OR(B42="INSULINA NPH",B42="INSULINA CRISTALINA",B42="PENICILINA CRIST."),B42&amp;" "&amp;C42&amp;" "&amp;D42&amp;"U.I./mL",B42&amp;" "&amp;C42&amp;" "&amp;D42&amp;"mg/mL")))</f>
        <v>#N/A</v>
      </c>
      <c r="R42" s="4">
        <f>IF(OR('FR PD 001 V1'!S46="JER 1mL",'FR PD 001 V1'!S46="JER 3mL",'FR PD 001 V1'!S46="JER 5mL",'FR PD 001 V1'!S46="JER 10mL",'FR PD 001 V1'!S46="JER 20mL",'FR PD 001 V1'!S46="JER 50mL"),"JERINGA",'FR PD 001 V1'!S46)</f>
        <v>0</v>
      </c>
      <c r="S42" s="4" t="e">
        <f>IF(OR('FORMATO DIL'!$A$1="MN_HOSPITAL MEISSEN/UCI NEO",'FORMATO DIL'!$A$1="MP_HOSPITAL MEISSEN/PED",'FORMATO DIL'!$A$1="MA_HOSPITAL MEISSEN/UCI ADULTO"),'FORMATO DIL'!O52,IF(VLOOKUP(A42,ESTANDAR!$A$2:$O$682,15,0)=0,"      -------",VLOOKUP(A42,ESTANDAR!$A$2:$O$682,15,0)))</f>
        <v>#N/A</v>
      </c>
      <c r="T42" s="4" t="e">
        <f t="shared" ca="1" si="1"/>
        <v>#N/A</v>
      </c>
      <c r="U42" s="4" t="e">
        <f>IF(AND('FORMATO DIL'!U52&gt;0,'FORMATO DIL'!V52&gt;0),"Do: "&amp;F42&amp;V42&amp;"  VolTotal: "&amp;'FORMATO DIL'!U52&amp;"mL"&amp;" a "&amp;'FORMATO DIL'!V52&amp;"mL/h","Do: "&amp;F42&amp;V42&amp;"  VolDo: "&amp;G42&amp;"mL")</f>
        <v>#N/A</v>
      </c>
      <c r="V42" s="4" t="e">
        <f t="shared" si="2"/>
        <v>#N/A</v>
      </c>
      <c r="W42" s="4" t="e">
        <f>"Conc:  "&amp;IF('FORMATO DIL'!L52&gt;0,IF(OR(B42="GONADOTROPINA CORIONICA",B42="HEPARINA",B42="INSULINA CRISTALINA",B42="INSULINA NPH",B42="PENICILINA CRIST.",B42="POLIMIXINA B"),'FORMATO DIL'!L52&amp;"U.I/mL",'FORMATO DIL'!L52&amp;"mg/mL"),'DATOS ETIQ'!C42)</f>
        <v>#N/A</v>
      </c>
      <c r="X42" s="4" t="e">
        <f>IF(OR('FORMATO DIL'!U52&gt;0,'FORMATO DIL'!V52&gt;0),"  VOL TOTAL:  "&amp;'FORMATO DIL'!U52&amp;"mL"&amp;" a "&amp;'FORMATO DIL'!V52&amp;"mL/h",ROUND((F42/E42),1))</f>
        <v>#VALUE!</v>
      </c>
      <c r="Y42" s="4" t="e">
        <f>B42&amp;" INF SSN 0.9% "&amp;'FR PD 001 V1'!N46</f>
        <v>#N/A</v>
      </c>
      <c r="Z42" s="4" t="str">
        <f>"ID :"&amp;K42&amp;"   F. Nac:  "&amp;UPPER(TEXT('FORMATO DIL'!F52,"ddmmmyy"))</f>
        <v>ID :0   F. Nac:  00ENE00</v>
      </c>
      <c r="AA42" s="4" t="e">
        <f>IF('FORMATO DIL'!L52&lt;&gt;"",IF(OR(B42="INSULINA NPH",B42="INSULINA CRISTALINA",B42="PENICILINA CRIST."),B42&amp;" "&amp;C42&amp;" "&amp;'FORMATO DIL'!L52&amp;"U.I./mL",B42&amp;" "&amp;C42&amp;" "&amp;'FORMATO DIL'!L52&amp;"mg/mL"),IF(OR(B42="INSULINA NPH",B42="INSULINA CRISTALINA",B42="PENICILINA CRIST."),B42&amp;" "&amp;C42&amp;" "&amp;D42&amp;"U.I./mL",B42&amp;" "&amp;C42&amp;" "&amp;D42&amp;"mg/mL"))</f>
        <v>#N/A</v>
      </c>
      <c r="AB42" s="4" t="e">
        <f>+VLOOKUP(A42,ESTANDAR!$A$2:$K$645,11,0)</f>
        <v>#N/A</v>
      </c>
      <c r="AC42" s="4" t="e">
        <f>IF(AND('FORMATO DIL'!U52&gt;0,'FORMATO DIL'!V52&gt;0),"Do: "&amp;F42&amp;V42&amp;"  VolTotal: "&amp;'FORMATO DIL'!U52&amp;"mL"&amp;" a "&amp;'FORMATO DIL'!V52&amp;"mL/h",IF('FORMATO DIL'!U52&gt;0,"Do: "&amp;F42&amp;V42&amp;"  VolTotal: "&amp;'FORMATO DIL'!U52&amp;"mL","Do: "&amp;F42&amp;V42&amp;"  VolDo: "&amp;G42&amp;"mL"))</f>
        <v>#N/A</v>
      </c>
      <c r="AD42" s="4" t="e">
        <f>IF(OR('FORMATO DIL'!$A$1="MN_HOSPITAL MEISSEN/UCI NEO",'FORMATO DIL'!$A$1="MP_HOSPITAL MEISSEN/PED",'FORMATO DIL'!$A$1="MA_HOSPITAL MEISSEN/UCI ADULTO"),AC42,IF(AND('FORMATO DIL'!$V$9&lt;&gt;"",'FORMATO DIL'!U52&lt;&gt;""),"Do: "&amp;'FR PD 001 V1'!J46&amp;"mg   VolDo: "&amp;'FORMATO DIL'!U52&amp;"mL",IF(AND('FORMATO DIL'!$U$9&lt;&gt;"",'FORMATO DIL'!U52&lt;&gt;""),"Do: "&amp;'FR PD 001 V1'!J46&amp;"mg   VolDo: "&amp;'DATOS ETIQ'!G42&amp;"mL  "&amp;"VolTotal:  "&amp;'FORMATO DIL'!U52&amp;"mL",IF('DATOS ETIQ'!P42=1,"Do: "&amp;'DATOS ETIQ'!F42&amp;'DATOS ETIQ'!V42&amp;"   VolDo: "&amp;'DATOS ETIQ'!G42&amp;"mL","Dilución 1/"&amp;'DATOS ETIQ'!P42&amp;"  "&amp;'DATOS ETIQ'!E42&amp;'DATOS ETIQ'!V42&amp;"/mL   Do: "&amp;'DATOS ETIQ'!F42&amp;'DATOS ETIQ'!V42&amp;"   VolDo: "&amp;'DATOS ETIQ'!G42&amp;"mL"))))</f>
        <v>#N/A</v>
      </c>
    </row>
    <row r="43" spans="1:30">
      <c r="A43" s="175">
        <f>'FR PD 001 V1'!G47</f>
        <v>0</v>
      </c>
      <c r="B43" s="175" t="e">
        <f>VLOOKUP(A43,ESTANDAR!A:B,2,0)</f>
        <v>#N/A</v>
      </c>
      <c r="C43" s="175" t="e">
        <f>VLOOKUP(A43,ESTANDAR!A:D,4,0)</f>
        <v>#N/A</v>
      </c>
      <c r="D43" s="184" t="e">
        <f>IF('FORMATO DIL'!B$6="NEO+PED",VLOOKUP(A43,ESTANDAR!A:G,6,0),VLOOKUP(A43,ESTANDAR!A:G,7,0))</f>
        <v>#N/A</v>
      </c>
      <c r="E43" s="175" t="str">
        <f>'FR PD 001 V1'!L47</f>
        <v>ERROR</v>
      </c>
      <c r="F43" s="175">
        <f>'FR PD 001 V1'!J47</f>
        <v>0</v>
      </c>
      <c r="G43" s="175">
        <f>ROUND('FR PD 001 V1'!M47,2)</f>
        <v>0</v>
      </c>
      <c r="H43" s="178" t="e">
        <f ca="1">'FR PD 001 V1'!P47</f>
        <v>#N/A</v>
      </c>
      <c r="I43" s="175" t="str">
        <f>'FR PD 001 V1'!O47</f>
        <v/>
      </c>
      <c r="J43" s="175" t="str">
        <f>LEFT('FR PD 001 V1'!B47,30)</f>
        <v/>
      </c>
      <c r="K43" s="175">
        <f>'FR PD 001 V1'!C47</f>
        <v>0</v>
      </c>
      <c r="L43" s="175" t="str">
        <f>'FORMATO DIL'!B$7</f>
        <v>JGARCIA</v>
      </c>
      <c r="M43" s="175" t="str">
        <f>'FORMATO DIL'!B$8</f>
        <v>ADELTORO</v>
      </c>
      <c r="N43" s="175" t="str">
        <f>'FORMATO DIL'!B$2</f>
        <v>C.JPC/SEXTO NTE/SCOOP</v>
      </c>
      <c r="O43" s="175" t="str">
        <f>'FR PD 001 V1'!E47</f>
        <v>NA</v>
      </c>
      <c r="P43" s="181" t="e">
        <f t="shared" si="0"/>
        <v>#N/A</v>
      </c>
      <c r="Q43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ADULTO"),AA43,IF(LEFT(R43,3)="INF",Y43,IF(OR(B43="INSULINA NPH",B43="INSULINA CRISTALINA",B43="PENICILINA CRIST."),B43&amp;" "&amp;C43&amp;" "&amp;D43&amp;"U.I./mL",B43&amp;" "&amp;C43&amp;" "&amp;D43&amp;"mg/mL")))</f>
        <v>#N/A</v>
      </c>
      <c r="R43" s="4">
        <f>IF(OR('FR PD 001 V1'!S47="JER 1mL",'FR PD 001 V1'!S47="JER 3mL",'FR PD 001 V1'!S47="JER 5mL",'FR PD 001 V1'!S47="JER 10mL",'FR PD 001 V1'!S47="JER 20mL",'FR PD 001 V1'!S47="JER 50mL"),"JERINGA",'FR PD 001 V1'!S47)</f>
        <v>0</v>
      </c>
      <c r="S43" s="4" t="e">
        <f>IF(OR('FORMATO DIL'!$A$1="MN_HOSPITAL MEISSEN/UCI NEO",'FORMATO DIL'!$A$1="MP_HOSPITAL MEISSEN/PED",'FORMATO DIL'!$A$1="MA_HOSPITAL MEISSEN/UCI ADULTO"),'FORMATO DIL'!O53,IF(VLOOKUP(A43,ESTANDAR!$A$2:$O$682,15,0)=0,"      -------",VLOOKUP(A43,ESTANDAR!$A$2:$O$682,15,0)))</f>
        <v>#N/A</v>
      </c>
      <c r="T43" s="4" t="e">
        <f t="shared" ca="1" si="1"/>
        <v>#N/A</v>
      </c>
      <c r="U43" s="4" t="e">
        <f>IF(AND('FORMATO DIL'!U53&gt;0,'FORMATO DIL'!V53&gt;0),"Do: "&amp;F43&amp;V43&amp;"  VolTotal: "&amp;'FORMATO DIL'!U53&amp;"mL"&amp;" a "&amp;'FORMATO DIL'!V53&amp;"mL/h","Do: "&amp;F43&amp;V43&amp;"  VolDo: "&amp;G43&amp;"mL")</f>
        <v>#N/A</v>
      </c>
      <c r="V43" s="4" t="e">
        <f t="shared" si="2"/>
        <v>#N/A</v>
      </c>
      <c r="W43" s="4" t="e">
        <f>"Conc:  "&amp;IF('FORMATO DIL'!L53&gt;0,IF(OR(B43="GONADOTROPINA CORIONICA",B43="HEPARINA",B43="INSULINA CRISTALINA",B43="INSULINA NPH",B43="PENICILINA CRIST.",B43="POLIMIXINA B"),'FORMATO DIL'!L53&amp;"U.I/mL",'FORMATO DIL'!L53&amp;"mg/mL"),'DATOS ETIQ'!C43)</f>
        <v>#N/A</v>
      </c>
      <c r="X43" s="4" t="e">
        <f>IF(OR('FORMATO DIL'!U53&gt;0,'FORMATO DIL'!V53&gt;0),"  VOL TOTAL:  "&amp;'FORMATO DIL'!U53&amp;"mL"&amp;" a "&amp;'FORMATO DIL'!V53&amp;"mL/h",ROUND((F43/E43),1))</f>
        <v>#VALUE!</v>
      </c>
      <c r="Y43" s="4" t="e">
        <f>B43&amp;" INF SSN 0.9% "&amp;'FR PD 001 V1'!N47</f>
        <v>#N/A</v>
      </c>
      <c r="Z43" s="4" t="str">
        <f>"ID :"&amp;K43&amp;"   F. Nac:  "&amp;UPPER(TEXT('FORMATO DIL'!F53,"ddmmmyy"))</f>
        <v>ID :0   F. Nac:  00ENE00</v>
      </c>
      <c r="AA43" s="4" t="e">
        <f>IF('FORMATO DIL'!L53&lt;&gt;"",IF(OR(B43="INSULINA NPH",B43="INSULINA CRISTALINA",B43="PENICILINA CRIST."),B43&amp;" "&amp;C43&amp;" "&amp;'FORMATO DIL'!L53&amp;"U.I./mL",B43&amp;" "&amp;C43&amp;" "&amp;'FORMATO DIL'!L53&amp;"mg/mL"),IF(OR(B43="INSULINA NPH",B43="INSULINA CRISTALINA",B43="PENICILINA CRIST."),B43&amp;" "&amp;C43&amp;" "&amp;D43&amp;"U.I./mL",B43&amp;" "&amp;C43&amp;" "&amp;D43&amp;"mg/mL"))</f>
        <v>#N/A</v>
      </c>
      <c r="AB43" s="4" t="e">
        <f>+VLOOKUP(A43,ESTANDAR!$A$2:$K$645,11,0)</f>
        <v>#N/A</v>
      </c>
      <c r="AC43" s="4" t="e">
        <f>IF(AND('FORMATO DIL'!U53&gt;0,'FORMATO DIL'!V53&gt;0),"Do: "&amp;F43&amp;V43&amp;"  VolTotal: "&amp;'FORMATO DIL'!U53&amp;"mL"&amp;" a "&amp;'FORMATO DIL'!V53&amp;"mL/h",IF('FORMATO DIL'!U53&gt;0,"Do: "&amp;F43&amp;V43&amp;"  VolTotal: "&amp;'FORMATO DIL'!U53&amp;"mL","Do: "&amp;F43&amp;V43&amp;"  VolDo: "&amp;G43&amp;"mL"))</f>
        <v>#N/A</v>
      </c>
      <c r="AD43" s="4" t="e">
        <f>IF(OR('FORMATO DIL'!$A$1="MN_HOSPITAL MEISSEN/UCI NEO",'FORMATO DIL'!$A$1="MP_HOSPITAL MEISSEN/PED",'FORMATO DIL'!$A$1="MA_HOSPITAL MEISSEN/UCI ADULTO"),AC43,IF(AND('FORMATO DIL'!$V$9&lt;&gt;"",'FORMATO DIL'!U53&lt;&gt;""),"Do: "&amp;'FR PD 001 V1'!J47&amp;"mg   VolDo: "&amp;'FORMATO DIL'!U53&amp;"mL",IF(AND('FORMATO DIL'!$U$9&lt;&gt;"",'FORMATO DIL'!U53&lt;&gt;""),"Do: "&amp;'FR PD 001 V1'!J47&amp;"mg   VolDo: "&amp;'DATOS ETIQ'!G43&amp;"mL  "&amp;"VolTotal:  "&amp;'FORMATO DIL'!U53&amp;"mL",IF('DATOS ETIQ'!P43=1,"Do: "&amp;'DATOS ETIQ'!F43&amp;'DATOS ETIQ'!V43&amp;"   VolDo: "&amp;'DATOS ETIQ'!G43&amp;"mL","Dilución 1/"&amp;'DATOS ETIQ'!P43&amp;"  "&amp;'DATOS ETIQ'!E43&amp;'DATOS ETIQ'!V43&amp;"/mL   Do: "&amp;'DATOS ETIQ'!F43&amp;'DATOS ETIQ'!V43&amp;"   VolDo: "&amp;'DATOS ETIQ'!G43&amp;"mL"))))</f>
        <v>#N/A</v>
      </c>
    </row>
    <row r="44" spans="1:30">
      <c r="A44" s="175">
        <f>'FR PD 001 V1'!G48</f>
        <v>0</v>
      </c>
      <c r="B44" s="175" t="e">
        <f>VLOOKUP(A44,ESTANDAR!A:B,2,0)</f>
        <v>#N/A</v>
      </c>
      <c r="C44" s="175" t="e">
        <f>VLOOKUP(A44,ESTANDAR!A:D,4,0)</f>
        <v>#N/A</v>
      </c>
      <c r="D44" s="184" t="e">
        <f>IF('FORMATO DIL'!B$6="NEO+PED",VLOOKUP(A44,ESTANDAR!A:G,6,0),VLOOKUP(A44,ESTANDAR!A:G,7,0))</f>
        <v>#N/A</v>
      </c>
      <c r="E44" s="175" t="str">
        <f>'FR PD 001 V1'!L48</f>
        <v>ERROR</v>
      </c>
      <c r="F44" s="175">
        <f>'FR PD 001 V1'!J48</f>
        <v>0</v>
      </c>
      <c r="G44" s="175">
        <f>ROUND('FR PD 001 V1'!M48,2)</f>
        <v>0</v>
      </c>
      <c r="H44" s="178" t="e">
        <f ca="1">'FR PD 001 V1'!P48</f>
        <v>#N/A</v>
      </c>
      <c r="I44" s="175" t="str">
        <f>'FR PD 001 V1'!O48</f>
        <v/>
      </c>
      <c r="J44" s="175" t="str">
        <f>LEFT('FR PD 001 V1'!B48,30)</f>
        <v/>
      </c>
      <c r="K44" s="175">
        <f>'FR PD 001 V1'!C48</f>
        <v>0</v>
      </c>
      <c r="L44" s="175" t="str">
        <f>'FORMATO DIL'!B$7</f>
        <v>JGARCIA</v>
      </c>
      <c r="M44" s="175" t="str">
        <f>'FORMATO DIL'!B$8</f>
        <v>ADELTORO</v>
      </c>
      <c r="N44" s="175" t="str">
        <f>'FORMATO DIL'!B$2</f>
        <v>C.JPC/SEXTO NTE/SCOOP</v>
      </c>
      <c r="O44" s="175" t="str">
        <f>'FR PD 001 V1'!E48</f>
        <v>NA</v>
      </c>
      <c r="P44" s="181" t="e">
        <f t="shared" si="0"/>
        <v>#N/A</v>
      </c>
      <c r="Q44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ADULTO"),AA44,IF(LEFT(R44,3)="INF",Y44,IF(OR(B44="INSULINA NPH",B44="INSULINA CRISTALINA",B44="PENICILINA CRIST."),B44&amp;" "&amp;C44&amp;" "&amp;D44&amp;"U.I./mL",B44&amp;" "&amp;C44&amp;" "&amp;D44&amp;"mg/mL")))</f>
        <v>#N/A</v>
      </c>
      <c r="R44" s="4">
        <f>IF(OR('FR PD 001 V1'!S48="JER 1mL",'FR PD 001 V1'!S48="JER 3mL",'FR PD 001 V1'!S48="JER 5mL",'FR PD 001 V1'!S48="JER 10mL",'FR PD 001 V1'!S48="JER 20mL",'FR PD 001 V1'!S48="JER 50mL"),"JERINGA",'FR PD 001 V1'!S48)</f>
        <v>0</v>
      </c>
      <c r="S44" s="4" t="e">
        <f>IF(OR('FORMATO DIL'!$A$1="MN_HOSPITAL MEISSEN/UCI NEO",'FORMATO DIL'!$A$1="MP_HOSPITAL MEISSEN/PED",'FORMATO DIL'!$A$1="MA_HOSPITAL MEISSEN/UCI ADULTO"),'FORMATO DIL'!O54,IF(VLOOKUP(A44,ESTANDAR!$A$2:$O$682,15,0)=0,"      -------",VLOOKUP(A44,ESTANDAR!$A$2:$O$682,15,0)))</f>
        <v>#N/A</v>
      </c>
      <c r="T44" s="4" t="e">
        <f t="shared" ca="1" si="1"/>
        <v>#N/A</v>
      </c>
      <c r="U44" s="4" t="e">
        <f>IF(AND('FORMATO DIL'!U54&gt;0,'FORMATO DIL'!V54&gt;0),"Do: "&amp;F44&amp;V44&amp;"  VolTotal: "&amp;'FORMATO DIL'!U54&amp;"mL"&amp;" a "&amp;'FORMATO DIL'!V54&amp;"mL/h","Do: "&amp;F44&amp;V44&amp;"  VolDo: "&amp;G44&amp;"mL")</f>
        <v>#N/A</v>
      </c>
      <c r="V44" s="4" t="e">
        <f t="shared" si="2"/>
        <v>#N/A</v>
      </c>
      <c r="W44" s="4" t="e">
        <f>"Conc:  "&amp;IF('FORMATO DIL'!L54&gt;0,IF(OR(B44="GONADOTROPINA CORIONICA",B44="HEPARINA",B44="INSULINA CRISTALINA",B44="INSULINA NPH",B44="PENICILINA CRIST.",B44="POLIMIXINA B"),'FORMATO DIL'!L54&amp;"U.I/mL",'FORMATO DIL'!L54&amp;"mg/mL"),'DATOS ETIQ'!C44)</f>
        <v>#N/A</v>
      </c>
      <c r="X44" s="4" t="e">
        <f>IF(OR('FORMATO DIL'!U54&gt;0,'FORMATO DIL'!V54&gt;0),"  VOL TOTAL:  "&amp;'FORMATO DIL'!U54&amp;"mL"&amp;" a "&amp;'FORMATO DIL'!V54&amp;"mL/h",ROUND((F44/E44),1))</f>
        <v>#VALUE!</v>
      </c>
      <c r="Y44" s="4" t="e">
        <f>B44&amp;" INF SSN 0.9% "&amp;'FR PD 001 V1'!N48</f>
        <v>#N/A</v>
      </c>
      <c r="Z44" s="4" t="str">
        <f>"ID :"&amp;K44&amp;"   F. Nac:  "&amp;UPPER(TEXT('FORMATO DIL'!F54,"ddmmmyy"))</f>
        <v>ID :0   F. Nac:  00ENE00</v>
      </c>
      <c r="AA44" s="4" t="e">
        <f>IF('FORMATO DIL'!L54&lt;&gt;"",IF(OR(B44="INSULINA NPH",B44="INSULINA CRISTALINA",B44="PENICILINA CRIST."),B44&amp;" "&amp;C44&amp;" "&amp;'FORMATO DIL'!L54&amp;"U.I./mL",B44&amp;" "&amp;C44&amp;" "&amp;'FORMATO DIL'!L54&amp;"mg/mL"),IF(OR(B44="INSULINA NPH",B44="INSULINA CRISTALINA",B44="PENICILINA CRIST."),B44&amp;" "&amp;C44&amp;" "&amp;D44&amp;"U.I./mL",B44&amp;" "&amp;C44&amp;" "&amp;D44&amp;"mg/mL"))</f>
        <v>#N/A</v>
      </c>
      <c r="AB44" s="4" t="e">
        <f>+VLOOKUP(A44,ESTANDAR!$A$2:$K$645,11,0)</f>
        <v>#N/A</v>
      </c>
      <c r="AC44" s="4" t="e">
        <f>IF(AND('FORMATO DIL'!U54&gt;0,'FORMATO DIL'!V54&gt;0),"Do: "&amp;F44&amp;V44&amp;"  VolTotal: "&amp;'FORMATO DIL'!U54&amp;"mL"&amp;" a "&amp;'FORMATO DIL'!V54&amp;"mL/h",IF('FORMATO DIL'!U54&gt;0,"Do: "&amp;F44&amp;V44&amp;"  VolTotal: "&amp;'FORMATO DIL'!U54&amp;"mL","Do: "&amp;F44&amp;V44&amp;"  VolDo: "&amp;G44&amp;"mL"))</f>
        <v>#N/A</v>
      </c>
      <c r="AD44" s="4" t="e">
        <f>IF(OR('FORMATO DIL'!$A$1="MN_HOSPITAL MEISSEN/UCI NEO",'FORMATO DIL'!$A$1="MP_HOSPITAL MEISSEN/PED",'FORMATO DIL'!$A$1="MA_HOSPITAL MEISSEN/UCI ADULTO"),AC44,IF(AND('FORMATO DIL'!$V$9&lt;&gt;"",'FORMATO DIL'!U54&lt;&gt;""),"Do: "&amp;'FR PD 001 V1'!J48&amp;"mg   VolDo: "&amp;'FORMATO DIL'!U54&amp;"mL",IF(AND('FORMATO DIL'!$U$9&lt;&gt;"",'FORMATO DIL'!U54&lt;&gt;""),"Do: "&amp;'FR PD 001 V1'!J48&amp;"mg   VolDo: "&amp;'DATOS ETIQ'!G44&amp;"mL  "&amp;"VolTotal:  "&amp;'FORMATO DIL'!U54&amp;"mL",IF('DATOS ETIQ'!P44=1,"Do: "&amp;'DATOS ETIQ'!F44&amp;'DATOS ETIQ'!V44&amp;"   VolDo: "&amp;'DATOS ETIQ'!G44&amp;"mL","Dilución 1/"&amp;'DATOS ETIQ'!P44&amp;"  "&amp;'DATOS ETIQ'!E44&amp;'DATOS ETIQ'!V44&amp;"/mL   Do: "&amp;'DATOS ETIQ'!F44&amp;'DATOS ETIQ'!V44&amp;"   VolDo: "&amp;'DATOS ETIQ'!G44&amp;"mL"))))</f>
        <v>#N/A</v>
      </c>
    </row>
    <row r="45" spans="1:30">
      <c r="A45" s="175">
        <f>'FR PD 001 V1'!G49</f>
        <v>0</v>
      </c>
      <c r="B45" s="175" t="e">
        <f>VLOOKUP(A45,ESTANDAR!A:B,2,0)</f>
        <v>#N/A</v>
      </c>
      <c r="C45" s="175" t="e">
        <f>VLOOKUP(A45,ESTANDAR!A:D,4,0)</f>
        <v>#N/A</v>
      </c>
      <c r="D45" s="184" t="e">
        <f>IF('FORMATO DIL'!B$6="NEO+PED",VLOOKUP(A45,ESTANDAR!A:G,6,0),VLOOKUP(A45,ESTANDAR!A:G,7,0))</f>
        <v>#N/A</v>
      </c>
      <c r="E45" s="175" t="str">
        <f>'FR PD 001 V1'!L49</f>
        <v>ERROR</v>
      </c>
      <c r="F45" s="175">
        <f>'FR PD 001 V1'!J49</f>
        <v>0</v>
      </c>
      <c r="G45" s="175">
        <f>ROUND('FR PD 001 V1'!M49,2)</f>
        <v>0</v>
      </c>
      <c r="H45" s="178" t="e">
        <f ca="1">'FR PD 001 V1'!P49</f>
        <v>#N/A</v>
      </c>
      <c r="I45" s="175" t="str">
        <f>'FR PD 001 V1'!O49</f>
        <v/>
      </c>
      <c r="J45" s="175" t="str">
        <f>LEFT('FR PD 001 V1'!B49,30)</f>
        <v/>
      </c>
      <c r="K45" s="175">
        <f>'FR PD 001 V1'!C49</f>
        <v>0</v>
      </c>
      <c r="L45" s="175" t="str">
        <f>'FORMATO DIL'!B$7</f>
        <v>JGARCIA</v>
      </c>
      <c r="M45" s="175" t="str">
        <f>'FORMATO DIL'!B$8</f>
        <v>ADELTORO</v>
      </c>
      <c r="N45" s="175" t="str">
        <f>'FORMATO DIL'!B$2</f>
        <v>C.JPC/SEXTO NTE/SCOOP</v>
      </c>
      <c r="O45" s="175" t="str">
        <f>'FR PD 001 V1'!E49</f>
        <v>NA</v>
      </c>
      <c r="P45" s="181" t="e">
        <f t="shared" si="0"/>
        <v>#N/A</v>
      </c>
      <c r="Q45" s="175" t="e">
        <f>IF(OR('FORMATO DIL'!$A$1="TP_HOSPITAL TUNAL / PED PISO",'FORMATO DIL'!$A$1="TC_HOSPITAL TUNAL / UCIN",'FORMATO DIL'!$A$1="TU_HOSPITAL TUNAL / UCI P",'FORMATO DIL'!$A$1="MN_HOSPITAL MEISSEN/UCI NEO",'FORMATO DIL'!$A$1="MP_HOSPITAL MEISSEN/PED",'FORMATO DIL'!$A$1="MA_HOSPITAL MEISSEN/UCI ADULTO"),AA45,IF(LEFT(R45,3)="INF",Y45,IF(OR(B45="INSULINA NPH",B45="INSULINA CRISTALINA",B45="PENICILINA CRIST."),B45&amp;" "&amp;C45&amp;" "&amp;D45&amp;"U.I./mL",B45&amp;" "&amp;C45&amp;" "&amp;D45&amp;"mg/mL")))</f>
        <v>#N/A</v>
      </c>
      <c r="R45" s="4">
        <f>IF(OR('FR PD 001 V1'!S49="JER 1mL",'FR PD 001 V1'!S49="JER 3mL",'FR PD 001 V1'!S49="JER 5mL",'FR PD 001 V1'!S49="JER 10mL",'FR PD 001 V1'!S49="JER 20mL",'FR PD 001 V1'!S49="JER 50mL"),"JERINGA",'FR PD 001 V1'!S49)</f>
        <v>0</v>
      </c>
      <c r="S45" s="4" t="e">
        <f>IF(OR('FORMATO DIL'!$A$1="MN_HOSPITAL MEISSEN/UCI NEO",'FORMATO DIL'!$A$1="MP_HOSPITAL MEISSEN/PED",'FORMATO DIL'!$A$1="MA_HOSPITAL MEISSEN/UCI ADULTO"),'FORMATO DIL'!O55,IF(VLOOKUP(A45,ESTANDAR!$A$2:$O$682,15,0)=0,"      -------",VLOOKUP(A45,ESTANDAR!$A$2:$O$682,15,0)))</f>
        <v>#N/A</v>
      </c>
      <c r="T45" s="4" t="e">
        <f t="shared" ca="1" si="1"/>
        <v>#N/A</v>
      </c>
      <c r="U45" s="4" t="e">
        <f>IF(AND('FORMATO DIL'!U55&gt;0,'FORMATO DIL'!V55&gt;0),"Do: "&amp;F45&amp;V45&amp;"  VolTotal: "&amp;'FORMATO DIL'!U55&amp;"mL"&amp;" a "&amp;'FORMATO DIL'!V55&amp;"mL/h","Do: "&amp;F45&amp;V45&amp;"  VolDo: "&amp;G45&amp;"mL")</f>
        <v>#N/A</v>
      </c>
      <c r="V45" s="4" t="e">
        <f t="shared" si="2"/>
        <v>#N/A</v>
      </c>
      <c r="W45" s="4" t="e">
        <f>"Conc:  "&amp;IF('FORMATO DIL'!L55&gt;0,IF(OR(B45="GONADOTROPINA CORIONICA",B45="HEPARINA",B45="INSULINA CRISTALINA",B45="INSULINA NPH",B45="PENICILINA CRIST.",B45="POLIMIXINA B"),'FORMATO DIL'!L55&amp;"U.I/mL",'FORMATO DIL'!L55&amp;"mg/mL"),'DATOS ETIQ'!C45)</f>
        <v>#N/A</v>
      </c>
      <c r="X45" s="4" t="e">
        <f>IF(OR('FORMATO DIL'!U55&gt;0,'FORMATO DIL'!V55&gt;0),"  VOL TOTAL:  "&amp;'FORMATO DIL'!U55&amp;"mL"&amp;" a "&amp;'FORMATO DIL'!V55&amp;"mL/h",ROUND((F45/E45),1))</f>
        <v>#VALUE!</v>
      </c>
      <c r="Y45" s="4" t="e">
        <f>B45&amp;" INF SSN 0.9% "&amp;'FR PD 001 V1'!N49</f>
        <v>#N/A</v>
      </c>
      <c r="Z45" s="4" t="str">
        <f>"ID :"&amp;K45&amp;"   F. Nac:  "&amp;UPPER(TEXT('FORMATO DIL'!F55,"ddmmmyy"))</f>
        <v>ID :0   F. Nac:  00ENE00</v>
      </c>
      <c r="AA45" s="4" t="e">
        <f>IF('FORMATO DIL'!L55&lt;&gt;"",IF(OR(B45="INSULINA NPH",B45="INSULINA CRISTALINA",B45="PENICILINA CRIST."),B45&amp;" "&amp;C45&amp;" "&amp;'FORMATO DIL'!L55&amp;"U.I./mL",B45&amp;" "&amp;C45&amp;" "&amp;'FORMATO DIL'!L55&amp;"mg/mL"),IF(OR(B45="INSULINA NPH",B45="INSULINA CRISTALINA",B45="PENICILINA CRIST."),B45&amp;" "&amp;C45&amp;" "&amp;D45&amp;"U.I./mL",B45&amp;" "&amp;C45&amp;" "&amp;D45&amp;"mg/mL"))</f>
        <v>#N/A</v>
      </c>
      <c r="AB45" s="4" t="e">
        <f>+VLOOKUP(A45,ESTANDAR!$A$2:$K$645,11,0)</f>
        <v>#N/A</v>
      </c>
      <c r="AC45" s="4" t="e">
        <f>IF(AND('FORMATO DIL'!U55&gt;0,'FORMATO DIL'!V55&gt;0),"Do: "&amp;F45&amp;V45&amp;"  VolTotal: "&amp;'FORMATO DIL'!U55&amp;"mL"&amp;" a "&amp;'FORMATO DIL'!V55&amp;"mL/h",IF('FORMATO DIL'!U55&gt;0,"Do: "&amp;F45&amp;V45&amp;"  VolTotal: "&amp;'FORMATO DIL'!U55&amp;"mL","Do: "&amp;F45&amp;V45&amp;"  VolDo: "&amp;G45&amp;"mL"))</f>
        <v>#N/A</v>
      </c>
      <c r="AD45" s="4" t="e">
        <f>IF(OR('FORMATO DIL'!$A$1="MN_HOSPITAL MEISSEN/UCI NEO",'FORMATO DIL'!$A$1="MP_HOSPITAL MEISSEN/PED",'FORMATO DIL'!$A$1="MA_HOSPITAL MEISSEN/UCI ADULTO"),AC45,IF(AND('FORMATO DIL'!$V$9&lt;&gt;"",'FORMATO DIL'!U55&lt;&gt;""),"Do: "&amp;'FR PD 001 V1'!J49&amp;"mg   VolDo: "&amp;'FORMATO DIL'!U55&amp;"mL",IF(AND('FORMATO DIL'!$U$9&lt;&gt;"",'FORMATO DIL'!U55&lt;&gt;""),"Do: "&amp;'FR PD 001 V1'!J49&amp;"mg   VolDo: "&amp;'DATOS ETIQ'!G45&amp;"mL  "&amp;"VolTotal:  "&amp;'FORMATO DIL'!U55&amp;"mL",IF('DATOS ETIQ'!P45=1,"Do: "&amp;'DATOS ETIQ'!F45&amp;'DATOS ETIQ'!V45&amp;"   VolDo: "&amp;'DATOS ETIQ'!G45&amp;"mL","Dilución 1/"&amp;'DATOS ETIQ'!P45&amp;"  "&amp;'DATOS ETIQ'!E45&amp;'DATOS ETIQ'!V45&amp;"/mL   Do: "&amp;'DATOS ETIQ'!F45&amp;'DATOS ETIQ'!V45&amp;"   VolDo: "&amp;'DATOS ETIQ'!G45&amp;"mL"))))</f>
        <v>#N/A</v>
      </c>
    </row>
  </sheetData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O103"/>
  <sheetViews>
    <sheetView topLeftCell="F1" workbookViewId="0">
      <selection activeCell="M1" sqref="M1:O1"/>
    </sheetView>
  </sheetViews>
  <sheetFormatPr defaultColWidth="11.42578125" defaultRowHeight="15"/>
  <cols>
    <col min="1" max="1" width="43.140625" bestFit="1" customWidth="1"/>
    <col min="3" max="3" width="11.42578125" style="27"/>
    <col min="5" max="5" width="53.7109375" style="594" bestFit="1" customWidth="1"/>
    <col min="6" max="6" width="12" style="594" bestFit="1" customWidth="1"/>
    <col min="7" max="7" width="11.42578125" style="599"/>
    <col min="9" max="9" width="46" style="594" bestFit="1" customWidth="1"/>
    <col min="10" max="10" width="12" style="594" bestFit="1" customWidth="1"/>
    <col min="11" max="11" width="11.42578125" style="599"/>
    <col min="13" max="13" width="46.28515625" bestFit="1" customWidth="1"/>
    <col min="14" max="14" width="9.85546875" bestFit="1" customWidth="1"/>
    <col min="15" max="15" width="10.28515625" style="604" bestFit="1" customWidth="1"/>
  </cols>
  <sheetData>
    <row r="1" spans="1:15">
      <c r="A1" s="895"/>
      <c r="B1" s="895"/>
      <c r="C1" s="895"/>
      <c r="E1" s="895"/>
      <c r="F1" s="895"/>
      <c r="G1" s="895"/>
      <c r="I1" s="895"/>
      <c r="J1" s="895"/>
      <c r="K1" s="895"/>
      <c r="M1" s="899"/>
      <c r="N1" s="899"/>
      <c r="O1" s="899"/>
    </row>
    <row r="2" spans="1:15">
      <c r="A2" s="895" t="s">
        <v>1219</v>
      </c>
      <c r="B2" s="895"/>
      <c r="C2" s="895"/>
      <c r="E2" s="895" t="s">
        <v>1267</v>
      </c>
      <c r="F2" s="895"/>
      <c r="G2" s="895"/>
      <c r="I2" s="895" t="s">
        <v>1269</v>
      </c>
      <c r="J2" s="895"/>
      <c r="K2" s="895"/>
      <c r="M2" s="900" t="s">
        <v>1368</v>
      </c>
      <c r="N2" s="900"/>
      <c r="O2" s="900"/>
    </row>
    <row r="3" spans="1:15">
      <c r="A3" s="896" t="s">
        <v>1370</v>
      </c>
      <c r="B3" s="897"/>
      <c r="C3" s="898"/>
      <c r="E3" s="896" t="s">
        <v>1370</v>
      </c>
      <c r="F3" s="897"/>
      <c r="G3" s="898"/>
      <c r="I3" s="896" t="s">
        <v>1370</v>
      </c>
      <c r="J3" s="897"/>
      <c r="K3" s="898"/>
      <c r="M3" s="896" t="s">
        <v>1370</v>
      </c>
      <c r="N3" s="897"/>
      <c r="O3" s="898"/>
    </row>
    <row r="4" spans="1:15">
      <c r="A4" s="590" t="s">
        <v>1198</v>
      </c>
      <c r="B4" s="590" t="s">
        <v>7</v>
      </c>
      <c r="C4" s="590" t="s">
        <v>1220</v>
      </c>
      <c r="E4" s="590" t="s">
        <v>1198</v>
      </c>
      <c r="F4" s="590" t="s">
        <v>7</v>
      </c>
      <c r="G4" s="590" t="s">
        <v>1268</v>
      </c>
      <c r="I4" s="590" t="s">
        <v>1198</v>
      </c>
      <c r="J4" s="590" t="s">
        <v>7</v>
      </c>
      <c r="K4" s="590" t="s">
        <v>1268</v>
      </c>
      <c r="M4" s="585" t="s">
        <v>1136</v>
      </c>
      <c r="N4" s="585" t="s">
        <v>7</v>
      </c>
      <c r="O4" s="602" t="s">
        <v>1369</v>
      </c>
    </row>
    <row r="5" spans="1:15">
      <c r="A5" s="3" t="s">
        <v>1221</v>
      </c>
      <c r="B5" s="3" t="s">
        <v>436</v>
      </c>
      <c r="C5" s="595">
        <v>20</v>
      </c>
      <c r="E5" s="591" t="s">
        <v>1199</v>
      </c>
      <c r="F5" s="591" t="s">
        <v>436</v>
      </c>
      <c r="G5" s="598">
        <v>0</v>
      </c>
      <c r="I5" s="591" t="s">
        <v>1270</v>
      </c>
      <c r="J5" s="591" t="s">
        <v>1142</v>
      </c>
      <c r="K5" s="598">
        <v>39</v>
      </c>
      <c r="M5" s="586" t="s">
        <v>1137</v>
      </c>
      <c r="N5" s="586" t="s">
        <v>436</v>
      </c>
      <c r="O5" s="603">
        <v>21</v>
      </c>
    </row>
    <row r="6" spans="1:15">
      <c r="A6" s="596" t="s">
        <v>1222</v>
      </c>
      <c r="B6" s="3" t="s">
        <v>436</v>
      </c>
      <c r="C6" s="595">
        <v>0</v>
      </c>
      <c r="E6" s="591" t="s">
        <v>1200</v>
      </c>
      <c r="F6" s="592" t="s">
        <v>436</v>
      </c>
      <c r="G6" s="598">
        <v>88</v>
      </c>
      <c r="I6" s="591" t="s">
        <v>1271</v>
      </c>
      <c r="J6" s="591" t="s">
        <v>436</v>
      </c>
      <c r="K6" s="598">
        <v>0</v>
      </c>
      <c r="M6" s="586" t="s">
        <v>1138</v>
      </c>
      <c r="N6" s="586" t="s">
        <v>436</v>
      </c>
      <c r="O6" s="603">
        <v>0</v>
      </c>
    </row>
    <row r="7" spans="1:15">
      <c r="A7" s="3" t="s">
        <v>1223</v>
      </c>
      <c r="B7" s="3" t="s">
        <v>436</v>
      </c>
      <c r="C7" s="595">
        <v>17</v>
      </c>
      <c r="E7" s="591" t="s">
        <v>1201</v>
      </c>
      <c r="F7" s="591" t="s">
        <v>436</v>
      </c>
      <c r="G7" s="598">
        <v>96</v>
      </c>
      <c r="I7" s="591" t="s">
        <v>1272</v>
      </c>
      <c r="J7" s="591" t="s">
        <v>436</v>
      </c>
      <c r="K7" s="598">
        <v>19</v>
      </c>
      <c r="M7" s="586" t="s">
        <v>1139</v>
      </c>
      <c r="N7" s="586" t="s">
        <v>436</v>
      </c>
      <c r="O7" s="603">
        <v>15</v>
      </c>
    </row>
    <row r="8" spans="1:15">
      <c r="A8" s="597" t="s">
        <v>1224</v>
      </c>
      <c r="B8" s="3" t="s">
        <v>436</v>
      </c>
      <c r="C8" s="595">
        <v>226</v>
      </c>
      <c r="E8" s="591" t="s">
        <v>1202</v>
      </c>
      <c r="F8" s="591" t="s">
        <v>436</v>
      </c>
      <c r="G8" s="598">
        <v>0</v>
      </c>
      <c r="I8" s="592" t="s">
        <v>1273</v>
      </c>
      <c r="J8" s="592" t="s">
        <v>436</v>
      </c>
      <c r="K8" s="598">
        <v>21</v>
      </c>
      <c r="M8" s="586" t="s">
        <v>1140</v>
      </c>
      <c r="N8" s="586" t="s">
        <v>436</v>
      </c>
      <c r="O8" s="603">
        <v>84</v>
      </c>
    </row>
    <row r="9" spans="1:15">
      <c r="A9" s="597" t="s">
        <v>1225</v>
      </c>
      <c r="B9" s="3" t="s">
        <v>436</v>
      </c>
      <c r="C9" s="595">
        <v>0</v>
      </c>
      <c r="E9" s="591" t="s">
        <v>1203</v>
      </c>
      <c r="F9" s="591" t="s">
        <v>436</v>
      </c>
      <c r="G9" s="598">
        <v>11</v>
      </c>
      <c r="I9" s="591" t="s">
        <v>1140</v>
      </c>
      <c r="J9" s="591" t="s">
        <v>436</v>
      </c>
      <c r="K9" s="598">
        <v>61</v>
      </c>
      <c r="M9" s="586" t="s">
        <v>1141</v>
      </c>
      <c r="N9" s="586" t="s">
        <v>1142</v>
      </c>
      <c r="O9" s="603">
        <v>0</v>
      </c>
    </row>
    <row r="10" spans="1:15">
      <c r="A10" s="597" t="s">
        <v>1226</v>
      </c>
      <c r="B10" s="3" t="s">
        <v>436</v>
      </c>
      <c r="C10" s="595">
        <v>896</v>
      </c>
      <c r="E10" s="591" t="s">
        <v>1204</v>
      </c>
      <c r="F10" s="591" t="s">
        <v>436</v>
      </c>
      <c r="G10" s="598">
        <v>0</v>
      </c>
      <c r="I10" s="591" t="s">
        <v>1274</v>
      </c>
      <c r="J10" s="591" t="s">
        <v>1142</v>
      </c>
      <c r="K10" s="598">
        <v>17</v>
      </c>
      <c r="M10" s="586" t="s">
        <v>1143</v>
      </c>
      <c r="N10" s="586" t="s">
        <v>1142</v>
      </c>
      <c r="O10" s="603">
        <v>0</v>
      </c>
    </row>
    <row r="11" spans="1:15">
      <c r="A11" s="3" t="s">
        <v>1227</v>
      </c>
      <c r="B11" s="3" t="s">
        <v>436</v>
      </c>
      <c r="C11" s="595">
        <v>7</v>
      </c>
      <c r="E11" s="591" t="s">
        <v>1205</v>
      </c>
      <c r="F11" s="591" t="s">
        <v>436</v>
      </c>
      <c r="G11" s="598">
        <v>50</v>
      </c>
      <c r="I11" s="591" t="s">
        <v>1275</v>
      </c>
      <c r="J11" s="591" t="s">
        <v>1142</v>
      </c>
      <c r="K11" s="598">
        <v>8</v>
      </c>
      <c r="M11" s="586" t="s">
        <v>1144</v>
      </c>
      <c r="N11" s="586" t="s">
        <v>436</v>
      </c>
      <c r="O11" s="603">
        <v>2</v>
      </c>
    </row>
    <row r="12" spans="1:15">
      <c r="A12" s="3" t="s">
        <v>1228</v>
      </c>
      <c r="B12" s="3" t="s">
        <v>436</v>
      </c>
      <c r="C12" s="595">
        <v>0</v>
      </c>
      <c r="E12" s="591" t="s">
        <v>1206</v>
      </c>
      <c r="F12" s="591" t="s">
        <v>436</v>
      </c>
      <c r="G12" s="598">
        <v>0</v>
      </c>
      <c r="I12" s="591" t="s">
        <v>1276</v>
      </c>
      <c r="J12" s="600" t="s">
        <v>1142</v>
      </c>
      <c r="K12" s="598">
        <v>30</v>
      </c>
      <c r="M12" s="586" t="s">
        <v>1145</v>
      </c>
      <c r="N12" s="586" t="s">
        <v>436</v>
      </c>
      <c r="O12" s="603">
        <v>0</v>
      </c>
    </row>
    <row r="13" spans="1:15">
      <c r="A13" s="3" t="s">
        <v>1229</v>
      </c>
      <c r="B13" s="3" t="s">
        <v>436</v>
      </c>
      <c r="C13" s="595">
        <v>275</v>
      </c>
      <c r="E13" s="593" t="s">
        <v>1207</v>
      </c>
      <c r="F13" s="591" t="s">
        <v>436</v>
      </c>
      <c r="G13" s="598">
        <v>1</v>
      </c>
      <c r="I13" s="591" t="s">
        <v>1277</v>
      </c>
      <c r="J13" s="591" t="s">
        <v>1142</v>
      </c>
      <c r="K13" s="598">
        <v>6</v>
      </c>
      <c r="M13" s="586" t="s">
        <v>1146</v>
      </c>
      <c r="N13" s="586" t="s">
        <v>436</v>
      </c>
      <c r="O13" s="603">
        <v>10</v>
      </c>
    </row>
    <row r="14" spans="1:15">
      <c r="A14" s="3" t="s">
        <v>1230</v>
      </c>
      <c r="B14" s="3" t="s">
        <v>436</v>
      </c>
      <c r="C14" s="595">
        <v>-6</v>
      </c>
      <c r="E14" s="591" t="s">
        <v>1208</v>
      </c>
      <c r="F14" s="591" t="s">
        <v>436</v>
      </c>
      <c r="G14" s="598">
        <v>30</v>
      </c>
      <c r="I14" s="591" t="s">
        <v>1278</v>
      </c>
      <c r="J14" s="591" t="s">
        <v>1142</v>
      </c>
      <c r="K14" s="598">
        <v>26</v>
      </c>
      <c r="M14" s="586" t="s">
        <v>1147</v>
      </c>
      <c r="N14" s="586" t="s">
        <v>436</v>
      </c>
      <c r="O14" s="603">
        <v>28</v>
      </c>
    </row>
    <row r="15" spans="1:15">
      <c r="A15" s="3" t="s">
        <v>1231</v>
      </c>
      <c r="B15" s="3" t="s">
        <v>436</v>
      </c>
      <c r="C15" s="595">
        <v>650</v>
      </c>
      <c r="E15" s="591" t="s">
        <v>1209</v>
      </c>
      <c r="F15" s="591" t="s">
        <v>436</v>
      </c>
      <c r="G15" s="598">
        <v>23</v>
      </c>
      <c r="I15" s="591" t="s">
        <v>1279</v>
      </c>
      <c r="J15" s="600" t="s">
        <v>1142</v>
      </c>
      <c r="K15" s="598">
        <v>0</v>
      </c>
      <c r="M15" s="586" t="s">
        <v>1148</v>
      </c>
      <c r="N15" s="586" t="s">
        <v>436</v>
      </c>
      <c r="O15" s="603">
        <v>0</v>
      </c>
    </row>
    <row r="16" spans="1:15">
      <c r="A16" s="3" t="s">
        <v>1232</v>
      </c>
      <c r="B16" s="3" t="s">
        <v>436</v>
      </c>
      <c r="C16" s="595">
        <v>66</v>
      </c>
      <c r="E16" s="591" t="s">
        <v>1210</v>
      </c>
      <c r="F16" s="592" t="s">
        <v>436</v>
      </c>
      <c r="G16" s="598">
        <v>35</v>
      </c>
      <c r="I16" s="591" t="s">
        <v>1280</v>
      </c>
      <c r="J16" s="591" t="s">
        <v>436</v>
      </c>
      <c r="K16" s="598">
        <v>36</v>
      </c>
      <c r="M16" s="586" t="s">
        <v>1149</v>
      </c>
      <c r="N16" s="586" t="s">
        <v>436</v>
      </c>
      <c r="O16" s="603">
        <v>41</v>
      </c>
    </row>
    <row r="17" spans="1:15">
      <c r="A17" s="3" t="s">
        <v>1233</v>
      </c>
      <c r="B17" s="3" t="s">
        <v>436</v>
      </c>
      <c r="C17" s="595">
        <v>0</v>
      </c>
      <c r="E17" s="593" t="s">
        <v>1211</v>
      </c>
      <c r="F17" s="591" t="s">
        <v>436</v>
      </c>
      <c r="G17" s="598">
        <v>0</v>
      </c>
      <c r="I17" s="591" t="s">
        <v>1281</v>
      </c>
      <c r="J17" s="591" t="s">
        <v>436</v>
      </c>
      <c r="K17" s="598">
        <v>0</v>
      </c>
      <c r="M17" s="586" t="s">
        <v>1150</v>
      </c>
      <c r="N17" s="586" t="s">
        <v>1142</v>
      </c>
      <c r="O17" s="603">
        <v>3</v>
      </c>
    </row>
    <row r="18" spans="1:15">
      <c r="A18" s="3" t="s">
        <v>1234</v>
      </c>
      <c r="B18" s="3" t="s">
        <v>436</v>
      </c>
      <c r="C18" s="595">
        <v>187</v>
      </c>
      <c r="E18" s="591" t="s">
        <v>1212</v>
      </c>
      <c r="F18" s="591" t="s">
        <v>436</v>
      </c>
      <c r="G18" s="598">
        <v>40</v>
      </c>
      <c r="I18" s="591" t="s">
        <v>1282</v>
      </c>
      <c r="J18" s="591" t="s">
        <v>1142</v>
      </c>
      <c r="K18" s="598">
        <v>22</v>
      </c>
      <c r="M18" s="586" t="s">
        <v>1151</v>
      </c>
      <c r="N18" s="586" t="s">
        <v>436</v>
      </c>
      <c r="O18" s="603">
        <v>11</v>
      </c>
    </row>
    <row r="19" spans="1:15">
      <c r="A19" s="3" t="s">
        <v>1235</v>
      </c>
      <c r="B19" s="3" t="s">
        <v>436</v>
      </c>
      <c r="C19" s="595">
        <v>100</v>
      </c>
      <c r="E19" s="591" t="s">
        <v>1213</v>
      </c>
      <c r="F19" s="591" t="s">
        <v>436</v>
      </c>
      <c r="G19" s="598">
        <v>92</v>
      </c>
      <c r="I19" s="591" t="s">
        <v>1283</v>
      </c>
      <c r="J19" s="591" t="s">
        <v>436</v>
      </c>
      <c r="K19" s="598">
        <v>18</v>
      </c>
      <c r="M19" s="586" t="s">
        <v>1152</v>
      </c>
      <c r="N19" s="586" t="s">
        <v>1142</v>
      </c>
      <c r="O19" s="603">
        <v>0</v>
      </c>
    </row>
    <row r="20" spans="1:15">
      <c r="A20" s="3" t="s">
        <v>1236</v>
      </c>
      <c r="B20" s="3" t="s">
        <v>436</v>
      </c>
      <c r="C20" s="595">
        <v>23</v>
      </c>
      <c r="E20" s="593" t="s">
        <v>1214</v>
      </c>
      <c r="F20" s="591" t="s">
        <v>436</v>
      </c>
      <c r="G20" s="598">
        <v>31</v>
      </c>
      <c r="I20" s="591" t="s">
        <v>1284</v>
      </c>
      <c r="J20" s="591" t="s">
        <v>436</v>
      </c>
      <c r="K20" s="598">
        <v>0</v>
      </c>
      <c r="M20" s="587" t="s">
        <v>1153</v>
      </c>
      <c r="N20" s="587" t="s">
        <v>436</v>
      </c>
      <c r="O20" s="603">
        <v>42</v>
      </c>
    </row>
    <row r="21" spans="1:15">
      <c r="A21" s="3" t="s">
        <v>1237</v>
      </c>
      <c r="B21" s="3" t="s">
        <v>436</v>
      </c>
      <c r="C21" s="595">
        <v>251</v>
      </c>
      <c r="E21" s="593" t="s">
        <v>1215</v>
      </c>
      <c r="F21" s="591" t="s">
        <v>436</v>
      </c>
      <c r="G21" s="598">
        <v>1</v>
      </c>
      <c r="I21" s="591" t="s">
        <v>1285</v>
      </c>
      <c r="J21" s="591" t="s">
        <v>1142</v>
      </c>
      <c r="K21" s="598">
        <v>3</v>
      </c>
      <c r="M21" s="586" t="s">
        <v>1154</v>
      </c>
      <c r="N21" s="586" t="s">
        <v>436</v>
      </c>
      <c r="O21" s="603">
        <v>34</v>
      </c>
    </row>
    <row r="22" spans="1:15">
      <c r="A22" s="596" t="s">
        <v>1238</v>
      </c>
      <c r="B22" s="3" t="s">
        <v>1239</v>
      </c>
      <c r="C22" s="595">
        <v>-206</v>
      </c>
      <c r="E22" s="592" t="s">
        <v>1216</v>
      </c>
      <c r="F22" s="592" t="s">
        <v>436</v>
      </c>
      <c r="G22" s="598">
        <v>134</v>
      </c>
      <c r="I22" s="591" t="s">
        <v>1286</v>
      </c>
      <c r="J22" s="591" t="s">
        <v>1142</v>
      </c>
      <c r="K22" s="598">
        <v>38</v>
      </c>
      <c r="M22" s="588" t="s">
        <v>1155</v>
      </c>
      <c r="N22" s="586" t="s">
        <v>1156</v>
      </c>
      <c r="O22" s="603">
        <v>0</v>
      </c>
    </row>
    <row r="23" spans="1:15">
      <c r="A23" s="3" t="s">
        <v>1240</v>
      </c>
      <c r="B23" s="3" t="s">
        <v>436</v>
      </c>
      <c r="C23" s="595">
        <v>0</v>
      </c>
      <c r="E23" s="591" t="s">
        <v>1217</v>
      </c>
      <c r="F23" s="591" t="s">
        <v>436</v>
      </c>
      <c r="G23" s="598">
        <v>0</v>
      </c>
      <c r="I23" s="591" t="s">
        <v>1287</v>
      </c>
      <c r="J23" s="591" t="s">
        <v>1142</v>
      </c>
      <c r="K23" s="598">
        <v>18</v>
      </c>
      <c r="M23" s="588" t="s">
        <v>1157</v>
      </c>
      <c r="N23" s="586" t="s">
        <v>1156</v>
      </c>
      <c r="O23" s="603">
        <v>114</v>
      </c>
    </row>
    <row r="24" spans="1:15">
      <c r="A24" s="596" t="s">
        <v>1241</v>
      </c>
      <c r="B24" s="3" t="s">
        <v>1239</v>
      </c>
      <c r="C24" s="595">
        <v>0</v>
      </c>
      <c r="E24" s="591" t="s">
        <v>1218</v>
      </c>
      <c r="F24" s="591" t="s">
        <v>436</v>
      </c>
      <c r="G24" s="598">
        <v>10</v>
      </c>
      <c r="I24" s="592" t="s">
        <v>1288</v>
      </c>
      <c r="J24" s="592" t="s">
        <v>1142</v>
      </c>
      <c r="K24" s="598">
        <v>24</v>
      </c>
      <c r="M24" s="586" t="s">
        <v>1158</v>
      </c>
      <c r="N24" s="586" t="s">
        <v>436</v>
      </c>
      <c r="O24" s="603">
        <v>0</v>
      </c>
    </row>
    <row r="25" spans="1:15">
      <c r="A25" s="3" t="s">
        <v>1242</v>
      </c>
      <c r="B25" s="3" t="s">
        <v>436</v>
      </c>
      <c r="C25" s="595">
        <v>31</v>
      </c>
      <c r="I25" s="592" t="s">
        <v>1289</v>
      </c>
      <c r="J25" s="592" t="s">
        <v>1142</v>
      </c>
      <c r="K25" s="598">
        <v>153</v>
      </c>
      <c r="M25" s="586" t="s">
        <v>1159</v>
      </c>
      <c r="N25" s="586" t="s">
        <v>436</v>
      </c>
      <c r="O25" s="603">
        <v>0</v>
      </c>
    </row>
    <row r="26" spans="1:15">
      <c r="A26" s="3" t="s">
        <v>1243</v>
      </c>
      <c r="B26" s="3" t="s">
        <v>436</v>
      </c>
      <c r="C26" s="595">
        <v>0</v>
      </c>
      <c r="I26" s="592" t="s">
        <v>1290</v>
      </c>
      <c r="J26" s="592" t="s">
        <v>1142</v>
      </c>
      <c r="K26" s="598">
        <v>2</v>
      </c>
      <c r="M26" s="586" t="s">
        <v>1160</v>
      </c>
      <c r="N26" s="586" t="s">
        <v>1142</v>
      </c>
      <c r="O26" s="603">
        <v>0</v>
      </c>
    </row>
    <row r="27" spans="1:15">
      <c r="A27" s="3" t="s">
        <v>1244</v>
      </c>
      <c r="B27" s="3" t="s">
        <v>436</v>
      </c>
      <c r="C27" s="595">
        <v>0</v>
      </c>
      <c r="I27" s="591" t="s">
        <v>1291</v>
      </c>
      <c r="J27" s="591" t="s">
        <v>436</v>
      </c>
      <c r="K27" s="598">
        <v>10</v>
      </c>
      <c r="M27" s="586" t="s">
        <v>1161</v>
      </c>
      <c r="N27" s="586" t="s">
        <v>1142</v>
      </c>
      <c r="O27" s="603">
        <v>0</v>
      </c>
    </row>
    <row r="28" spans="1:15">
      <c r="A28" s="3" t="s">
        <v>1245</v>
      </c>
      <c r="B28" s="3" t="s">
        <v>436</v>
      </c>
      <c r="C28" s="595">
        <v>0</v>
      </c>
      <c r="I28" s="591" t="s">
        <v>1292</v>
      </c>
      <c r="J28" s="600" t="s">
        <v>1142</v>
      </c>
      <c r="K28" s="598">
        <v>0</v>
      </c>
      <c r="M28" s="586" t="s">
        <v>1162</v>
      </c>
      <c r="N28" s="586" t="s">
        <v>1142</v>
      </c>
      <c r="O28" s="603">
        <v>0</v>
      </c>
    </row>
    <row r="29" spans="1:15">
      <c r="A29" s="3" t="s">
        <v>1246</v>
      </c>
      <c r="B29" s="3" t="s">
        <v>436</v>
      </c>
      <c r="C29" s="595">
        <v>0</v>
      </c>
      <c r="I29" s="601" t="s">
        <v>1293</v>
      </c>
      <c r="J29" s="600" t="s">
        <v>1294</v>
      </c>
      <c r="K29" s="598">
        <v>142</v>
      </c>
      <c r="M29" s="586" t="s">
        <v>1163</v>
      </c>
      <c r="N29" s="586" t="s">
        <v>964</v>
      </c>
      <c r="O29" s="603">
        <v>1</v>
      </c>
    </row>
    <row r="30" spans="1:15">
      <c r="A30" s="3" t="s">
        <v>1247</v>
      </c>
      <c r="B30" s="3" t="s">
        <v>436</v>
      </c>
      <c r="C30" s="595">
        <v>138</v>
      </c>
      <c r="I30" s="601" t="s">
        <v>1295</v>
      </c>
      <c r="J30" s="600" t="s">
        <v>1294</v>
      </c>
      <c r="K30" s="598">
        <v>116</v>
      </c>
      <c r="M30" s="586" t="s">
        <v>1164</v>
      </c>
      <c r="N30" s="586" t="s">
        <v>1142</v>
      </c>
      <c r="O30" s="603">
        <v>0</v>
      </c>
    </row>
    <row r="31" spans="1:15">
      <c r="A31" s="3" t="s">
        <v>1248</v>
      </c>
      <c r="B31" s="3" t="s">
        <v>436</v>
      </c>
      <c r="C31" s="595">
        <v>0</v>
      </c>
      <c r="I31" s="601" t="s">
        <v>1296</v>
      </c>
      <c r="J31" s="600" t="s">
        <v>1294</v>
      </c>
      <c r="K31" s="598">
        <v>129</v>
      </c>
      <c r="M31" s="586" t="s">
        <v>1165</v>
      </c>
      <c r="N31" s="586" t="s">
        <v>1142</v>
      </c>
      <c r="O31" s="603">
        <v>0</v>
      </c>
    </row>
    <row r="32" spans="1:15">
      <c r="A32" s="3" t="s">
        <v>1249</v>
      </c>
      <c r="B32" s="3" t="s">
        <v>436</v>
      </c>
      <c r="C32" s="595">
        <v>30</v>
      </c>
      <c r="I32" s="601" t="s">
        <v>1297</v>
      </c>
      <c r="J32" s="600" t="s">
        <v>1294</v>
      </c>
      <c r="K32" s="598">
        <v>72</v>
      </c>
      <c r="M32" s="586" t="s">
        <v>1166</v>
      </c>
      <c r="N32" s="586" t="s">
        <v>1142</v>
      </c>
      <c r="O32" s="603">
        <v>0</v>
      </c>
    </row>
    <row r="33" spans="1:15">
      <c r="A33" s="3" t="s">
        <v>1250</v>
      </c>
      <c r="B33" s="3" t="s">
        <v>436</v>
      </c>
      <c r="C33" s="595">
        <v>0</v>
      </c>
      <c r="I33" s="601" t="s">
        <v>1298</v>
      </c>
      <c r="J33" s="600" t="s">
        <v>1294</v>
      </c>
      <c r="K33" s="598">
        <v>24</v>
      </c>
      <c r="M33" s="586" t="s">
        <v>1167</v>
      </c>
      <c r="N33" s="586" t="s">
        <v>964</v>
      </c>
      <c r="O33" s="603">
        <v>10</v>
      </c>
    </row>
    <row r="34" spans="1:15">
      <c r="A34" s="3" t="s">
        <v>1251</v>
      </c>
      <c r="B34" s="3" t="s">
        <v>436</v>
      </c>
      <c r="C34" s="595">
        <v>0</v>
      </c>
      <c r="I34" s="601" t="s">
        <v>1299</v>
      </c>
      <c r="J34" s="591" t="s">
        <v>1294</v>
      </c>
      <c r="K34" s="598">
        <v>6</v>
      </c>
      <c r="M34" s="586" t="s">
        <v>1168</v>
      </c>
      <c r="N34" s="586" t="s">
        <v>964</v>
      </c>
      <c r="O34" s="603">
        <v>0</v>
      </c>
    </row>
    <row r="35" spans="1:15">
      <c r="A35" s="3" t="s">
        <v>1252</v>
      </c>
      <c r="B35" s="3" t="s">
        <v>436</v>
      </c>
      <c r="C35" s="595">
        <v>70</v>
      </c>
      <c r="I35" s="591" t="s">
        <v>1300</v>
      </c>
      <c r="J35" s="591" t="s">
        <v>436</v>
      </c>
      <c r="K35" s="598">
        <v>0</v>
      </c>
      <c r="M35" s="586" t="s">
        <v>1169</v>
      </c>
      <c r="N35" s="586" t="s">
        <v>436</v>
      </c>
      <c r="O35" s="603">
        <v>0</v>
      </c>
    </row>
    <row r="36" spans="1:15">
      <c r="A36" s="3" t="s">
        <v>1253</v>
      </c>
      <c r="B36" s="3" t="s">
        <v>436</v>
      </c>
      <c r="C36" s="595">
        <v>65</v>
      </c>
      <c r="I36" s="592" t="s">
        <v>1301</v>
      </c>
      <c r="J36" s="592" t="s">
        <v>436</v>
      </c>
      <c r="K36" s="598">
        <v>24</v>
      </c>
      <c r="M36" s="586" t="s">
        <v>1170</v>
      </c>
      <c r="N36" s="586" t="s">
        <v>1142</v>
      </c>
      <c r="O36" s="603">
        <v>0</v>
      </c>
    </row>
    <row r="37" spans="1:15">
      <c r="A37" s="3" t="s">
        <v>1254</v>
      </c>
      <c r="B37" s="3" t="s">
        <v>436</v>
      </c>
      <c r="C37" s="595">
        <v>0</v>
      </c>
      <c r="I37" s="591" t="s">
        <v>1302</v>
      </c>
      <c r="J37" s="591" t="s">
        <v>1142</v>
      </c>
      <c r="K37" s="598">
        <v>37</v>
      </c>
      <c r="M37" s="586" t="s">
        <v>1171</v>
      </c>
      <c r="N37" s="586" t="s">
        <v>436</v>
      </c>
      <c r="O37" s="603">
        <v>29</v>
      </c>
    </row>
    <row r="38" spans="1:15">
      <c r="A38" s="3" t="s">
        <v>1255</v>
      </c>
      <c r="B38" s="3" t="s">
        <v>436</v>
      </c>
      <c r="C38" s="595">
        <v>0</v>
      </c>
      <c r="I38" s="591" t="s">
        <v>1303</v>
      </c>
      <c r="J38" s="591" t="s">
        <v>1142</v>
      </c>
      <c r="K38" s="598">
        <v>3</v>
      </c>
      <c r="M38" s="586" t="s">
        <v>1172</v>
      </c>
      <c r="N38" s="586" t="s">
        <v>436</v>
      </c>
      <c r="O38" s="603">
        <v>26</v>
      </c>
    </row>
    <row r="39" spans="1:15">
      <c r="A39" s="3" t="s">
        <v>1256</v>
      </c>
      <c r="B39" s="3" t="s">
        <v>436</v>
      </c>
      <c r="C39" s="595">
        <v>0</v>
      </c>
      <c r="I39" s="591" t="s">
        <v>1304</v>
      </c>
      <c r="J39" s="591" t="s">
        <v>1142</v>
      </c>
      <c r="K39" s="598">
        <v>0</v>
      </c>
      <c r="M39" s="586" t="s">
        <v>1173</v>
      </c>
      <c r="N39" s="586" t="s">
        <v>436</v>
      </c>
      <c r="O39" s="603">
        <v>57</v>
      </c>
    </row>
    <row r="40" spans="1:15">
      <c r="A40" s="3" t="s">
        <v>1257</v>
      </c>
      <c r="B40" s="3" t="s">
        <v>436</v>
      </c>
      <c r="C40" s="595">
        <v>1353</v>
      </c>
      <c r="I40" s="591" t="s">
        <v>1305</v>
      </c>
      <c r="J40" s="600" t="s">
        <v>1142</v>
      </c>
      <c r="K40" s="598">
        <v>5</v>
      </c>
      <c r="M40" s="587" t="s">
        <v>1174</v>
      </c>
      <c r="N40" s="587" t="s">
        <v>436</v>
      </c>
      <c r="O40" s="603">
        <v>0</v>
      </c>
    </row>
    <row r="41" spans="1:15">
      <c r="A41" s="3" t="s">
        <v>1258</v>
      </c>
      <c r="B41" s="3" t="s">
        <v>436</v>
      </c>
      <c r="C41" s="595">
        <v>135</v>
      </c>
      <c r="I41" s="591" t="s">
        <v>1306</v>
      </c>
      <c r="J41" s="591" t="s">
        <v>436</v>
      </c>
      <c r="K41" s="598">
        <v>124</v>
      </c>
      <c r="M41" s="586" t="s">
        <v>1175</v>
      </c>
      <c r="N41" s="586" t="s">
        <v>436</v>
      </c>
      <c r="O41" s="603">
        <v>0</v>
      </c>
    </row>
    <row r="42" spans="1:15">
      <c r="A42" s="3" t="s">
        <v>1259</v>
      </c>
      <c r="B42" s="3" t="s">
        <v>436</v>
      </c>
      <c r="C42" s="595">
        <v>26</v>
      </c>
      <c r="I42" s="601" t="s">
        <v>1307</v>
      </c>
      <c r="J42" s="600" t="s">
        <v>1294</v>
      </c>
      <c r="K42" s="598">
        <v>25</v>
      </c>
      <c r="M42" s="586" t="s">
        <v>1176</v>
      </c>
      <c r="N42" s="586" t="s">
        <v>1142</v>
      </c>
      <c r="O42" s="603">
        <v>6</v>
      </c>
    </row>
    <row r="43" spans="1:15">
      <c r="A43" s="3" t="s">
        <v>1260</v>
      </c>
      <c r="B43" s="3" t="s">
        <v>436</v>
      </c>
      <c r="C43" s="595">
        <v>10</v>
      </c>
      <c r="I43" s="601" t="s">
        <v>1308</v>
      </c>
      <c r="J43" s="600" t="s">
        <v>1294</v>
      </c>
      <c r="K43" s="598">
        <v>11</v>
      </c>
      <c r="M43" s="586" t="s">
        <v>1177</v>
      </c>
      <c r="N43" s="586" t="s">
        <v>436</v>
      </c>
      <c r="O43" s="603">
        <v>38</v>
      </c>
    </row>
    <row r="44" spans="1:15">
      <c r="A44" s="3" t="s">
        <v>1261</v>
      </c>
      <c r="B44" s="3" t="s">
        <v>436</v>
      </c>
      <c r="C44" s="595">
        <v>10</v>
      </c>
      <c r="I44" s="591" t="s">
        <v>1309</v>
      </c>
      <c r="J44" s="591" t="s">
        <v>1142</v>
      </c>
      <c r="K44" s="598">
        <v>0</v>
      </c>
      <c r="M44" s="586" t="s">
        <v>1178</v>
      </c>
      <c r="N44" s="586" t="s">
        <v>436</v>
      </c>
      <c r="O44" s="603">
        <v>0</v>
      </c>
    </row>
    <row r="45" spans="1:15">
      <c r="A45" s="3" t="s">
        <v>1262</v>
      </c>
      <c r="B45" s="3" t="s">
        <v>436</v>
      </c>
      <c r="C45" s="595">
        <v>0</v>
      </c>
      <c r="I45" s="591" t="s">
        <v>1310</v>
      </c>
      <c r="J45" s="591" t="s">
        <v>436</v>
      </c>
      <c r="K45" s="598">
        <v>9</v>
      </c>
      <c r="M45" s="586" t="s">
        <v>1179</v>
      </c>
      <c r="N45" s="586" t="s">
        <v>1142</v>
      </c>
      <c r="O45" s="603">
        <v>0</v>
      </c>
    </row>
    <row r="46" spans="1:15">
      <c r="A46" s="3" t="s">
        <v>1260</v>
      </c>
      <c r="B46" s="3" t="s">
        <v>436</v>
      </c>
      <c r="C46" s="595">
        <v>0</v>
      </c>
      <c r="I46" s="591" t="s">
        <v>1311</v>
      </c>
      <c r="J46" s="591" t="s">
        <v>1142</v>
      </c>
      <c r="K46" s="598">
        <v>145</v>
      </c>
      <c r="M46" s="587" t="s">
        <v>1180</v>
      </c>
      <c r="N46" s="587" t="s">
        <v>436</v>
      </c>
      <c r="O46" s="603">
        <v>21</v>
      </c>
    </row>
    <row r="47" spans="1:15">
      <c r="A47" s="3" t="s">
        <v>1263</v>
      </c>
      <c r="B47" s="3" t="s">
        <v>436</v>
      </c>
      <c r="C47" s="595">
        <v>241</v>
      </c>
      <c r="I47" s="591" t="s">
        <v>1312</v>
      </c>
      <c r="J47" s="591" t="s">
        <v>1142</v>
      </c>
      <c r="K47" s="598">
        <v>0</v>
      </c>
      <c r="M47" s="586" t="s">
        <v>1181</v>
      </c>
      <c r="N47" s="586" t="s">
        <v>436</v>
      </c>
      <c r="O47" s="603">
        <v>0</v>
      </c>
    </row>
    <row r="48" spans="1:15">
      <c r="A48" s="3" t="s">
        <v>1264</v>
      </c>
      <c r="B48" s="3" t="s">
        <v>436</v>
      </c>
      <c r="C48" s="595">
        <v>48</v>
      </c>
      <c r="I48" s="591" t="s">
        <v>1313</v>
      </c>
      <c r="J48" s="591" t="s">
        <v>1142</v>
      </c>
      <c r="K48" s="598">
        <v>13</v>
      </c>
      <c r="M48" s="587" t="s">
        <v>1182</v>
      </c>
      <c r="N48" s="587" t="s">
        <v>436</v>
      </c>
      <c r="O48" s="603">
        <v>40</v>
      </c>
    </row>
    <row r="49" spans="1:15">
      <c r="A49" s="3" t="s">
        <v>1265</v>
      </c>
      <c r="B49" s="3" t="s">
        <v>436</v>
      </c>
      <c r="C49" s="595">
        <v>69</v>
      </c>
      <c r="I49" s="591" t="s">
        <v>1314</v>
      </c>
      <c r="J49" s="591" t="s">
        <v>1142</v>
      </c>
      <c r="K49" s="598">
        <v>0</v>
      </c>
      <c r="M49" s="586" t="s">
        <v>1183</v>
      </c>
      <c r="N49" s="586" t="s">
        <v>436</v>
      </c>
      <c r="O49" s="603">
        <v>29</v>
      </c>
    </row>
    <row r="50" spans="1:15">
      <c r="A50" s="596" t="s">
        <v>1266</v>
      </c>
      <c r="B50" s="3" t="s">
        <v>1239</v>
      </c>
      <c r="C50" s="595">
        <v>133</v>
      </c>
      <c r="I50" s="591" t="s">
        <v>1315</v>
      </c>
      <c r="J50" s="591" t="s">
        <v>964</v>
      </c>
      <c r="K50" s="598">
        <v>200</v>
      </c>
      <c r="M50" s="586" t="s">
        <v>1184</v>
      </c>
      <c r="N50" s="586" t="s">
        <v>436</v>
      </c>
      <c r="O50" s="603">
        <v>0</v>
      </c>
    </row>
    <row r="51" spans="1:15" ht="22.5">
      <c r="A51" s="3"/>
      <c r="B51" s="3"/>
      <c r="C51" s="595">
        <v>0</v>
      </c>
      <c r="I51" s="591" t="s">
        <v>1316</v>
      </c>
      <c r="J51" s="591" t="s">
        <v>964</v>
      </c>
      <c r="K51" s="598">
        <v>127</v>
      </c>
      <c r="M51" s="586" t="s">
        <v>1185</v>
      </c>
      <c r="N51" s="586" t="s">
        <v>436</v>
      </c>
      <c r="O51" s="603">
        <v>75</v>
      </c>
    </row>
    <row r="52" spans="1:15">
      <c r="A52" s="3"/>
      <c r="B52" s="3"/>
      <c r="C52" s="595">
        <v>0</v>
      </c>
      <c r="I52" s="592" t="s">
        <v>1317</v>
      </c>
      <c r="J52" s="592" t="s">
        <v>436</v>
      </c>
      <c r="K52" s="598">
        <v>14</v>
      </c>
      <c r="M52" s="587" t="s">
        <v>1186</v>
      </c>
      <c r="N52" s="587" t="s">
        <v>436</v>
      </c>
      <c r="O52" s="603">
        <v>26</v>
      </c>
    </row>
    <row r="53" spans="1:15">
      <c r="A53" s="3"/>
      <c r="B53" s="3"/>
      <c r="C53" s="595">
        <v>0</v>
      </c>
      <c r="I53" s="591" t="s">
        <v>1318</v>
      </c>
      <c r="J53" s="591" t="s">
        <v>1142</v>
      </c>
      <c r="K53" s="598">
        <v>26</v>
      </c>
      <c r="M53" s="586" t="s">
        <v>1187</v>
      </c>
      <c r="N53" s="586" t="s">
        <v>436</v>
      </c>
      <c r="O53" s="603">
        <v>0</v>
      </c>
    </row>
    <row r="54" spans="1:15">
      <c r="A54" s="3"/>
      <c r="B54" s="3"/>
      <c r="C54" s="595">
        <v>0</v>
      </c>
      <c r="I54" s="591" t="s">
        <v>1319</v>
      </c>
      <c r="J54" s="591" t="s">
        <v>436</v>
      </c>
      <c r="K54" s="598">
        <v>88</v>
      </c>
      <c r="M54" s="587" t="s">
        <v>1188</v>
      </c>
      <c r="N54" s="587" t="s">
        <v>436</v>
      </c>
      <c r="O54" s="603">
        <v>12</v>
      </c>
    </row>
    <row r="55" spans="1:15">
      <c r="A55" s="3"/>
      <c r="B55" s="3"/>
      <c r="C55" s="595">
        <v>0</v>
      </c>
      <c r="I55" s="591" t="s">
        <v>1320</v>
      </c>
      <c r="J55" s="591" t="s">
        <v>1142</v>
      </c>
      <c r="K55" s="598">
        <v>4</v>
      </c>
      <c r="M55" s="587" t="s">
        <v>1189</v>
      </c>
      <c r="N55" s="587" t="s">
        <v>436</v>
      </c>
      <c r="O55" s="603">
        <v>32</v>
      </c>
    </row>
    <row r="56" spans="1:15">
      <c r="A56" s="3"/>
      <c r="B56" s="3"/>
      <c r="C56" s="595">
        <v>0</v>
      </c>
      <c r="I56" s="591" t="s">
        <v>1321</v>
      </c>
      <c r="J56" s="600" t="s">
        <v>436</v>
      </c>
      <c r="K56" s="598">
        <v>8</v>
      </c>
      <c r="M56" s="587" t="s">
        <v>1190</v>
      </c>
      <c r="N56" s="587" t="s">
        <v>436</v>
      </c>
      <c r="O56" s="603">
        <v>0</v>
      </c>
    </row>
    <row r="57" spans="1:15">
      <c r="A57" s="3"/>
      <c r="B57" s="3"/>
      <c r="C57" s="595">
        <v>0</v>
      </c>
      <c r="I57" s="591" t="s">
        <v>1322</v>
      </c>
      <c r="J57" s="591" t="s">
        <v>1142</v>
      </c>
      <c r="K57" s="598">
        <v>19</v>
      </c>
      <c r="M57" s="586" t="s">
        <v>1191</v>
      </c>
      <c r="N57" s="586" t="s">
        <v>436</v>
      </c>
      <c r="O57" s="603">
        <v>62</v>
      </c>
    </row>
    <row r="58" spans="1:15">
      <c r="A58" s="3"/>
      <c r="B58" s="3"/>
      <c r="C58" s="595">
        <v>0</v>
      </c>
      <c r="I58" s="591" t="s">
        <v>1323</v>
      </c>
      <c r="J58" s="591" t="s">
        <v>436</v>
      </c>
      <c r="K58" s="598">
        <v>54</v>
      </c>
      <c r="M58" s="586" t="s">
        <v>1192</v>
      </c>
      <c r="N58" s="586" t="s">
        <v>1142</v>
      </c>
      <c r="O58" s="603">
        <v>0</v>
      </c>
    </row>
    <row r="59" spans="1:15">
      <c r="A59" s="3"/>
      <c r="B59" s="3"/>
      <c r="C59" s="595">
        <v>0</v>
      </c>
      <c r="I59" s="591" t="s">
        <v>1324</v>
      </c>
      <c r="J59" s="591" t="s">
        <v>1142</v>
      </c>
      <c r="K59" s="598">
        <v>15</v>
      </c>
      <c r="M59" s="586" t="s">
        <v>1193</v>
      </c>
      <c r="N59" s="586" t="s">
        <v>1142</v>
      </c>
      <c r="O59" s="603">
        <v>0</v>
      </c>
    </row>
    <row r="60" spans="1:15">
      <c r="A60" s="3"/>
      <c r="B60" s="3"/>
      <c r="C60" s="595">
        <v>0</v>
      </c>
      <c r="I60" s="591" t="s">
        <v>1325</v>
      </c>
      <c r="J60" s="591" t="s">
        <v>1142</v>
      </c>
      <c r="K60" s="598">
        <v>10</v>
      </c>
      <c r="M60" s="586" t="s">
        <v>1194</v>
      </c>
      <c r="N60" s="586" t="s">
        <v>436</v>
      </c>
      <c r="O60" s="603">
        <v>0</v>
      </c>
    </row>
    <row r="61" spans="1:15">
      <c r="A61" s="3"/>
      <c r="B61" s="3"/>
      <c r="C61" s="595">
        <v>0</v>
      </c>
      <c r="I61" s="591" t="s">
        <v>1326</v>
      </c>
      <c r="J61" s="591" t="s">
        <v>1142</v>
      </c>
      <c r="K61" s="598">
        <v>4</v>
      </c>
      <c r="M61" s="586" t="s">
        <v>1195</v>
      </c>
      <c r="N61" s="586" t="s">
        <v>436</v>
      </c>
      <c r="O61" s="603">
        <v>0</v>
      </c>
    </row>
    <row r="62" spans="1:15">
      <c r="A62" s="3"/>
      <c r="B62" s="3"/>
      <c r="C62" s="595">
        <v>0</v>
      </c>
      <c r="I62" s="591" t="s">
        <v>1327</v>
      </c>
      <c r="J62" s="591" t="s">
        <v>1294</v>
      </c>
      <c r="K62" s="598">
        <v>2</v>
      </c>
      <c r="M62" s="589" t="s">
        <v>1196</v>
      </c>
      <c r="N62" s="586" t="s">
        <v>436</v>
      </c>
      <c r="O62" s="603">
        <v>32</v>
      </c>
    </row>
    <row r="63" spans="1:15">
      <c r="A63" s="3"/>
      <c r="B63" s="3"/>
      <c r="C63" s="595">
        <v>0</v>
      </c>
      <c r="I63" s="591" t="s">
        <v>1328</v>
      </c>
      <c r="J63" s="591" t="s">
        <v>1294</v>
      </c>
      <c r="K63" s="598">
        <v>4</v>
      </c>
      <c r="M63" s="589" t="s">
        <v>1197</v>
      </c>
      <c r="N63" s="586" t="s">
        <v>436</v>
      </c>
      <c r="O63" s="603">
        <v>25</v>
      </c>
    </row>
    <row r="64" spans="1:15">
      <c r="A64" s="3"/>
      <c r="B64" s="3"/>
      <c r="C64" s="595">
        <v>0</v>
      </c>
      <c r="I64" s="591" t="s">
        <v>1329</v>
      </c>
      <c r="J64" s="591" t="s">
        <v>1142</v>
      </c>
      <c r="K64" s="598">
        <v>0</v>
      </c>
    </row>
    <row r="65" spans="1:11">
      <c r="A65" s="3"/>
      <c r="B65" s="3"/>
      <c r="C65" s="595">
        <v>0</v>
      </c>
      <c r="I65" s="591" t="s">
        <v>1330</v>
      </c>
      <c r="J65" s="591" t="s">
        <v>1294</v>
      </c>
      <c r="K65" s="598">
        <v>3</v>
      </c>
    </row>
    <row r="66" spans="1:11">
      <c r="A66" s="3"/>
      <c r="B66" s="3"/>
      <c r="C66" s="595">
        <v>0</v>
      </c>
      <c r="I66" s="591" t="s">
        <v>1331</v>
      </c>
      <c r="J66" s="591" t="s">
        <v>1142</v>
      </c>
      <c r="K66" s="598">
        <v>8</v>
      </c>
    </row>
    <row r="67" spans="1:11">
      <c r="A67" s="3"/>
      <c r="B67" s="3"/>
      <c r="C67" s="595">
        <v>0</v>
      </c>
      <c r="I67" s="591" t="s">
        <v>1332</v>
      </c>
      <c r="J67" s="591" t="s">
        <v>1142</v>
      </c>
      <c r="K67" s="598">
        <v>0</v>
      </c>
    </row>
    <row r="68" spans="1:11">
      <c r="A68" s="3"/>
      <c r="B68" s="3"/>
      <c r="C68" s="595">
        <v>0</v>
      </c>
      <c r="I68" s="591" t="s">
        <v>1333</v>
      </c>
      <c r="J68" s="591" t="s">
        <v>436</v>
      </c>
      <c r="K68" s="598">
        <v>8</v>
      </c>
    </row>
    <row r="69" spans="1:11">
      <c r="A69" s="3"/>
      <c r="B69" s="3"/>
      <c r="C69" s="595">
        <v>0</v>
      </c>
      <c r="I69" s="591" t="s">
        <v>1334</v>
      </c>
      <c r="J69" s="591" t="s">
        <v>1142</v>
      </c>
      <c r="K69" s="598">
        <v>0</v>
      </c>
    </row>
    <row r="70" spans="1:11">
      <c r="A70" s="3"/>
      <c r="B70" s="3"/>
      <c r="C70" s="595">
        <v>0</v>
      </c>
      <c r="I70" s="591" t="s">
        <v>1335</v>
      </c>
      <c r="J70" s="591" t="s">
        <v>436</v>
      </c>
      <c r="K70" s="598">
        <v>0</v>
      </c>
    </row>
    <row r="71" spans="1:11">
      <c r="A71" s="3"/>
      <c r="B71" s="3"/>
      <c r="C71" s="595">
        <v>0</v>
      </c>
      <c r="I71" s="591" t="s">
        <v>1336</v>
      </c>
      <c r="J71" s="591" t="s">
        <v>436</v>
      </c>
      <c r="K71" s="598">
        <v>23</v>
      </c>
    </row>
    <row r="72" spans="1:11">
      <c r="A72" s="3"/>
      <c r="B72" s="3"/>
      <c r="C72" s="595">
        <v>0</v>
      </c>
      <c r="I72" s="591" t="s">
        <v>1337</v>
      </c>
      <c r="J72" s="591" t="s">
        <v>436</v>
      </c>
      <c r="K72" s="598">
        <v>0</v>
      </c>
    </row>
    <row r="73" spans="1:11">
      <c r="A73" s="3"/>
      <c r="B73" s="3"/>
      <c r="C73" s="595">
        <v>0</v>
      </c>
      <c r="I73" s="591" t="s">
        <v>1338</v>
      </c>
      <c r="J73" s="591" t="s">
        <v>1142</v>
      </c>
      <c r="K73" s="598">
        <v>0</v>
      </c>
    </row>
    <row r="74" spans="1:11">
      <c r="A74" s="3"/>
      <c r="B74" s="3"/>
      <c r="C74" s="595">
        <v>0</v>
      </c>
      <c r="I74" s="591" t="s">
        <v>1177</v>
      </c>
      <c r="J74" s="591" t="s">
        <v>436</v>
      </c>
      <c r="K74" s="598">
        <v>0</v>
      </c>
    </row>
    <row r="75" spans="1:11">
      <c r="A75" s="3"/>
      <c r="B75" s="3"/>
      <c r="C75" s="595">
        <v>0</v>
      </c>
      <c r="I75" s="591" t="s">
        <v>1339</v>
      </c>
      <c r="J75" s="591" t="s">
        <v>1142</v>
      </c>
      <c r="K75" s="598">
        <v>19</v>
      </c>
    </row>
    <row r="76" spans="1:11">
      <c r="A76" s="3"/>
      <c r="B76" s="3"/>
      <c r="C76" s="595">
        <v>0</v>
      </c>
      <c r="I76" s="591" t="s">
        <v>1340</v>
      </c>
      <c r="J76" s="591" t="s">
        <v>1142</v>
      </c>
      <c r="K76" s="598">
        <v>19</v>
      </c>
    </row>
    <row r="77" spans="1:11">
      <c r="A77" s="3"/>
      <c r="B77" s="3"/>
      <c r="C77" s="595">
        <v>0</v>
      </c>
      <c r="I77" s="591" t="s">
        <v>1341</v>
      </c>
      <c r="J77" s="591" t="s">
        <v>436</v>
      </c>
      <c r="K77" s="598">
        <v>33</v>
      </c>
    </row>
    <row r="78" spans="1:11">
      <c r="A78" s="3"/>
      <c r="B78" s="3"/>
      <c r="C78" s="595">
        <v>0</v>
      </c>
      <c r="I78" s="591" t="s">
        <v>1342</v>
      </c>
      <c r="J78" s="591" t="s">
        <v>1142</v>
      </c>
      <c r="K78" s="598">
        <v>0</v>
      </c>
    </row>
    <row r="79" spans="1:11">
      <c r="A79" s="3"/>
      <c r="B79" s="3"/>
      <c r="C79" s="595">
        <v>0</v>
      </c>
      <c r="I79" s="591" t="s">
        <v>1343</v>
      </c>
      <c r="J79" s="591" t="s">
        <v>1142</v>
      </c>
      <c r="K79" s="598">
        <v>16</v>
      </c>
    </row>
    <row r="80" spans="1:11">
      <c r="A80" s="3"/>
      <c r="B80" s="3"/>
      <c r="C80" s="595">
        <v>0</v>
      </c>
      <c r="I80" s="591" t="s">
        <v>1344</v>
      </c>
      <c r="J80" s="591" t="s">
        <v>436</v>
      </c>
      <c r="K80" s="598">
        <v>40</v>
      </c>
    </row>
    <row r="81" spans="1:11">
      <c r="A81" s="3"/>
      <c r="B81" s="3"/>
      <c r="C81" s="595">
        <v>0</v>
      </c>
      <c r="I81" s="591" t="s">
        <v>1345</v>
      </c>
      <c r="J81" s="591" t="s">
        <v>1142</v>
      </c>
      <c r="K81" s="598">
        <v>20</v>
      </c>
    </row>
    <row r="82" spans="1:11">
      <c r="A82" s="3"/>
      <c r="B82" s="3"/>
      <c r="C82" s="595">
        <v>0</v>
      </c>
      <c r="I82" s="591" t="s">
        <v>1346</v>
      </c>
      <c r="J82" s="591" t="s">
        <v>1142</v>
      </c>
      <c r="K82" s="598">
        <v>0</v>
      </c>
    </row>
    <row r="83" spans="1:11">
      <c r="A83" s="3"/>
      <c r="B83" s="3"/>
      <c r="C83" s="595">
        <v>0</v>
      </c>
      <c r="I83" s="591" t="s">
        <v>1347</v>
      </c>
      <c r="J83" s="591" t="s">
        <v>1142</v>
      </c>
      <c r="K83" s="598">
        <v>18</v>
      </c>
    </row>
    <row r="84" spans="1:11">
      <c r="A84" s="3"/>
      <c r="B84" s="3"/>
      <c r="C84" s="595">
        <v>0</v>
      </c>
      <c r="I84" s="591" t="s">
        <v>1348</v>
      </c>
      <c r="J84" s="591" t="s">
        <v>436</v>
      </c>
      <c r="K84" s="598">
        <v>0</v>
      </c>
    </row>
    <row r="85" spans="1:11">
      <c r="A85" s="3"/>
      <c r="B85" s="3"/>
      <c r="C85" s="595">
        <v>0</v>
      </c>
      <c r="I85" s="591" t="s">
        <v>1349</v>
      </c>
      <c r="J85" s="600" t="s">
        <v>1142</v>
      </c>
      <c r="K85" s="598">
        <v>0</v>
      </c>
    </row>
    <row r="86" spans="1:11">
      <c r="A86" s="3"/>
      <c r="B86" s="3"/>
      <c r="C86" s="595">
        <v>0</v>
      </c>
      <c r="I86" s="591" t="s">
        <v>1350</v>
      </c>
      <c r="J86" s="591" t="s">
        <v>1142</v>
      </c>
      <c r="K86" s="598">
        <v>3</v>
      </c>
    </row>
    <row r="87" spans="1:11">
      <c r="A87" s="3"/>
      <c r="B87" s="3"/>
      <c r="C87" s="595">
        <v>0</v>
      </c>
      <c r="I87" s="591" t="s">
        <v>1351</v>
      </c>
      <c r="J87" s="591" t="s">
        <v>436</v>
      </c>
      <c r="K87" s="598">
        <v>30</v>
      </c>
    </row>
    <row r="88" spans="1:11">
      <c r="A88" s="3"/>
      <c r="B88" s="3"/>
      <c r="C88" s="595">
        <v>0</v>
      </c>
      <c r="I88" s="591" t="s">
        <v>1352</v>
      </c>
      <c r="J88" s="600" t="s">
        <v>1142</v>
      </c>
      <c r="K88" s="598">
        <v>0</v>
      </c>
    </row>
    <row r="89" spans="1:11">
      <c r="A89" s="3"/>
      <c r="B89" s="3"/>
      <c r="C89" s="595">
        <v>0</v>
      </c>
      <c r="I89" s="591" t="s">
        <v>1353</v>
      </c>
      <c r="J89" s="591" t="s">
        <v>1142</v>
      </c>
      <c r="K89" s="598">
        <v>0</v>
      </c>
    </row>
    <row r="90" spans="1:11">
      <c r="A90" s="3"/>
      <c r="B90" s="3"/>
      <c r="C90" s="595">
        <v>0</v>
      </c>
      <c r="I90" s="591" t="s">
        <v>1354</v>
      </c>
      <c r="J90" s="591" t="s">
        <v>1142</v>
      </c>
      <c r="K90" s="598">
        <v>0</v>
      </c>
    </row>
    <row r="91" spans="1:11">
      <c r="A91" s="3"/>
      <c r="B91" s="3"/>
      <c r="C91" s="595">
        <v>0</v>
      </c>
      <c r="I91" s="591" t="s">
        <v>1355</v>
      </c>
      <c r="J91" s="591" t="s">
        <v>436</v>
      </c>
      <c r="K91" s="598">
        <v>8</v>
      </c>
    </row>
    <row r="92" spans="1:11">
      <c r="A92" s="3"/>
      <c r="B92" s="3"/>
      <c r="C92" s="595">
        <v>0</v>
      </c>
      <c r="I92" s="592" t="s">
        <v>1356</v>
      </c>
      <c r="J92" s="592" t="s">
        <v>1142</v>
      </c>
      <c r="K92" s="598">
        <v>4</v>
      </c>
    </row>
    <row r="93" spans="1:11">
      <c r="A93" s="3"/>
      <c r="B93" s="3"/>
      <c r="C93" s="595">
        <v>0</v>
      </c>
      <c r="I93" s="591" t="s">
        <v>1357</v>
      </c>
      <c r="J93" s="591" t="s">
        <v>436</v>
      </c>
      <c r="K93" s="598">
        <v>0</v>
      </c>
    </row>
    <row r="94" spans="1:11">
      <c r="A94" s="3"/>
      <c r="B94" s="3"/>
      <c r="C94" s="595">
        <v>0</v>
      </c>
      <c r="I94" s="591" t="s">
        <v>1358</v>
      </c>
      <c r="J94" s="591" t="s">
        <v>1142</v>
      </c>
      <c r="K94" s="598">
        <v>0</v>
      </c>
    </row>
    <row r="95" spans="1:11">
      <c r="A95" s="3"/>
      <c r="B95" s="3"/>
      <c r="C95" s="595">
        <v>0</v>
      </c>
      <c r="I95" s="591" t="s">
        <v>1359</v>
      </c>
      <c r="J95" s="591" t="s">
        <v>1142</v>
      </c>
      <c r="K95" s="598">
        <v>0</v>
      </c>
    </row>
    <row r="96" spans="1:11">
      <c r="A96" s="3"/>
      <c r="B96" s="3"/>
      <c r="C96" s="595">
        <v>0</v>
      </c>
      <c r="I96" s="591" t="s">
        <v>1360</v>
      </c>
      <c r="J96" s="591" t="s">
        <v>436</v>
      </c>
      <c r="K96" s="598">
        <v>0</v>
      </c>
    </row>
    <row r="97" spans="1:11">
      <c r="A97" s="3"/>
      <c r="B97" s="3"/>
      <c r="C97" s="595">
        <v>0</v>
      </c>
      <c r="I97" s="591" t="s">
        <v>1361</v>
      </c>
      <c r="J97" s="591" t="s">
        <v>1142</v>
      </c>
      <c r="K97" s="598">
        <v>27</v>
      </c>
    </row>
    <row r="98" spans="1:11">
      <c r="A98" s="3"/>
      <c r="B98" s="3"/>
      <c r="C98" s="595">
        <v>0</v>
      </c>
      <c r="I98" s="591" t="s">
        <v>1362</v>
      </c>
      <c r="J98" s="591" t="s">
        <v>1142</v>
      </c>
      <c r="K98" s="598">
        <v>20</v>
      </c>
    </row>
    <row r="99" spans="1:11">
      <c r="A99" s="3"/>
      <c r="B99" s="3"/>
      <c r="C99" s="595">
        <v>0</v>
      </c>
      <c r="I99" s="591" t="s">
        <v>1363</v>
      </c>
      <c r="J99" s="591" t="s">
        <v>1142</v>
      </c>
      <c r="K99" s="598">
        <v>27</v>
      </c>
    </row>
    <row r="100" spans="1:11">
      <c r="A100" s="3"/>
      <c r="B100" s="3"/>
      <c r="C100" s="595">
        <v>0</v>
      </c>
      <c r="I100" s="591" t="s">
        <v>1364</v>
      </c>
      <c r="J100" s="591" t="s">
        <v>1142</v>
      </c>
      <c r="K100" s="598">
        <v>1</v>
      </c>
    </row>
    <row r="101" spans="1:11">
      <c r="A101" s="3"/>
      <c r="B101" s="3"/>
      <c r="C101" s="595">
        <v>0</v>
      </c>
      <c r="I101" s="591" t="s">
        <v>1365</v>
      </c>
      <c r="J101" s="591" t="s">
        <v>436</v>
      </c>
      <c r="K101" s="598">
        <v>0</v>
      </c>
    </row>
    <row r="102" spans="1:11">
      <c r="I102" s="591" t="s">
        <v>1366</v>
      </c>
      <c r="J102" s="591" t="s">
        <v>436</v>
      </c>
      <c r="K102" s="598">
        <v>0</v>
      </c>
    </row>
    <row r="103" spans="1:11">
      <c r="I103" s="114" t="s">
        <v>1367</v>
      </c>
      <c r="J103" s="591" t="s">
        <v>1142</v>
      </c>
      <c r="K103" s="598">
        <v>4</v>
      </c>
    </row>
  </sheetData>
  <mergeCells count="12">
    <mergeCell ref="A1:C1"/>
    <mergeCell ref="A2:C2"/>
    <mergeCell ref="A3:C3"/>
    <mergeCell ref="E1:G1"/>
    <mergeCell ref="E2:G2"/>
    <mergeCell ref="E3:G3"/>
    <mergeCell ref="I1:K1"/>
    <mergeCell ref="I2:K2"/>
    <mergeCell ref="I3:K3"/>
    <mergeCell ref="M1:O1"/>
    <mergeCell ref="M2:O2"/>
    <mergeCell ref="M3:O3"/>
  </mergeCells>
  <conditionalFormatting sqref="G5:G24">
    <cfRule type="iconSet" priority="3">
      <iconSet>
        <cfvo type="percent" val="0"/>
        <cfvo type="num" val="14"/>
        <cfvo type="num" val="27"/>
      </iconSet>
    </cfRule>
    <cfRule type="iconSet" priority="4">
      <iconSet>
        <cfvo type="percent" val="0"/>
        <cfvo type="num" val="9"/>
        <cfvo type="num" val="19"/>
      </iconSet>
    </cfRule>
  </conditionalFormatting>
  <conditionalFormatting sqref="K5:K104">
    <cfRule type="iconSet" priority="2">
      <iconSet>
        <cfvo type="percent" val="0"/>
        <cfvo type="num" val="9"/>
        <cfvo type="num" val="19"/>
      </iconSet>
    </cfRule>
  </conditionalFormatting>
  <conditionalFormatting sqref="O5:O63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16</vt:i4>
      </vt:variant>
    </vt:vector>
  </HeadingPairs>
  <TitlesOfParts>
    <vt:vector size="39" baseType="lpstr">
      <vt:lpstr>ETIQ (2)</vt:lpstr>
      <vt:lpstr>ETIQ  ONCO</vt:lpstr>
      <vt:lpstr>CAMPAÑA</vt:lpstr>
      <vt:lpstr>ESTANDAR</vt:lpstr>
      <vt:lpstr>FORMATO DIL</vt:lpstr>
      <vt:lpstr>FR PD 001 V1</vt:lpstr>
      <vt:lpstr>FR PD 011 V3</vt:lpstr>
      <vt:lpstr>FR CC 016 V2</vt:lpstr>
      <vt:lpstr>FRPD011 V2</vt:lpstr>
      <vt:lpstr>Hoja3</vt:lpstr>
      <vt:lpstr>FR PD 011</vt:lpstr>
      <vt:lpstr>ETIQ</vt:lpstr>
      <vt:lpstr>ETIQHSJ</vt:lpstr>
      <vt:lpstr>ETIQHSC</vt:lpstr>
      <vt:lpstr>FR CC 010</vt:lpstr>
      <vt:lpstr>FR PD 015</vt:lpstr>
      <vt:lpstr>FR CC 019</vt:lpstr>
      <vt:lpstr>R&amp;T</vt:lpstr>
      <vt:lpstr>FORMATO DIL_MAG</vt:lpstr>
      <vt:lpstr>FR CC 016_MAG</vt:lpstr>
      <vt:lpstr>LOTES</vt:lpstr>
      <vt:lpstr>DATOS ETIQ</vt:lpstr>
      <vt:lpstr>ALMACEN</vt:lpstr>
      <vt:lpstr>CLIENTES_MAG</vt:lpstr>
      <vt:lpstr>ENCABEZA_ETQ</vt:lpstr>
      <vt:lpstr>No_CLIENTES</vt:lpstr>
      <vt:lpstr>NPT_LIST</vt:lpstr>
      <vt:lpstr>ETIQ!Print_Area</vt:lpstr>
      <vt:lpstr>'ETIQ  ONCO'!Print_Area</vt:lpstr>
      <vt:lpstr>'ETIQ (2)'!Print_Area</vt:lpstr>
      <vt:lpstr>ETIQHSC!Print_Area</vt:lpstr>
      <vt:lpstr>ETIQHSJ!Print_Area</vt:lpstr>
      <vt:lpstr>'FORMATO DIL'!Print_Area</vt:lpstr>
      <vt:lpstr>'FORMATO DIL_MAG'!Print_Area</vt:lpstr>
      <vt:lpstr>'FR CC 016 V2'!Print_Area</vt:lpstr>
      <vt:lpstr>'FR CC 016_MAG'!Print_Area</vt:lpstr>
      <vt:lpstr>'FR PD 001 V1'!Print_Area</vt:lpstr>
      <vt:lpstr>'FR PD 011 V3'!Print_Area</vt:lpstr>
      <vt:lpstr>'FRPD011 V2'!Print_Area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2022-08-04T17:08:43Z</dcterms:modified>
</cp:coreProperties>
</file>